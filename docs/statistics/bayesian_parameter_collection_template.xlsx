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开始这里" sheetId="1" state="visible" r:id="rId1"/>
    <sheet xmlns:r="http://schemas.openxmlformats.org/officeDocument/2006/relationships" name="名词解释" sheetId="2" state="visible" r:id="rId2"/>
    <sheet xmlns:r="http://schemas.openxmlformats.org/officeDocument/2006/relationships" name="参数总览" sheetId="3" state="visible" r:id="rId3"/>
    <sheet xmlns:r="http://schemas.openxmlformats.org/officeDocument/2006/relationships" name="原子事实记录" sheetId="4" state="visible" r:id="rId4"/>
    <sheet xmlns:r="http://schemas.openxmlformats.org/officeDocument/2006/relationships" name="根节点统计" sheetId="5" state="visible" r:id="rId5"/>
    <sheet xmlns:r="http://schemas.openxmlformats.org/officeDocument/2006/relationships" name="来源表现统计" sheetId="6" state="visible" r:id="rId6"/>
    <sheet xmlns:r="http://schemas.openxmlformats.org/officeDocument/2006/relationships" name="CPD样本记录" sheetId="7" state="visible" r:id="rId7"/>
    <sheet xmlns:r="http://schemas.openxmlformats.org/officeDocument/2006/relationships" name="CPD组合统计" sheetId="8" state="visible" r:id="rId8"/>
    <sheet xmlns:r="http://schemas.openxmlformats.org/officeDocument/2006/relationships" name="抽取质量统计" sheetId="9" state="visible" r:id="rId9"/>
    <sheet xmlns:r="http://schemas.openxmlformats.org/officeDocument/2006/relationships" name="来源依赖" sheetId="10" state="visible" r:id="rId10"/>
    <sheet xmlns:r="http://schemas.openxmlformats.org/officeDocument/2006/relationships" name="权威锚定复核" sheetId="11" state="visible" r:id="rId11"/>
    <sheet xmlns:r="http://schemas.openxmlformats.org/officeDocument/2006/relationships" name="候选参数" sheetId="12" state="visible" r:id="rId12"/>
    <sheet xmlns:r="http://schemas.openxmlformats.org/officeDocument/2006/relationships" name="模型发布记录" sheetId="13" state="visible" r:id="rId13"/>
    <sheet xmlns:r="http://schemas.openxmlformats.org/officeDocument/2006/relationships" name="不可学习项" sheetId="14" state="visible" r:id="rId14"/>
    <sheet xmlns:r="http://schemas.openxmlformats.org/officeDocument/2006/relationships" name="完整示例" sheetId="15" state="visible" r:id="rId15"/>
    <sheet xmlns:r="http://schemas.openxmlformats.org/officeDocument/2006/relationships" name="人工修改流程" sheetId="16" state="visible" r:id="rId16"/>
    <sheet xmlns:r="http://schemas.openxmlformats.org/officeDocument/2006/relationships" name="枚举值" sheetId="17" state="visible" r:id="rId17"/>
  </sheets>
  <definedNames>
    <definedName name="TruthLabels">'枚举值'!$A$2:$A$4</definedName>
    <definedName name="StanceLabels">'枚举值'!$B$2:$B$4</definedName>
    <definedName name="YesNoValues">'枚举值'!$C$2:$C$3</definedName>
    <definedName name="ReviewStatuses">'枚举值'!$D$2:$D$6</definedName>
    <definedName name="SourceTypes">'枚举值'!$E$2:$E$8</definedName>
    <definedName name="SourceRoles">'枚举值'!$F$2:$F$8</definedName>
    <definedName name="SourceMetrics">'枚举值'!$G$2:$G$5</definedName>
    <definedName name="DataSplits">'枚举值'!$H$2:$H$4</definedName>
    <definedName name="ParameterDecisions">'枚举值'!$I$2:$I$5</definedName>
    <definedName name="CalibrationStatuses">'枚举值'!$J$2:$J$4</definedName>
    <definedName name="ApprovalStatuses">'枚举值'!$K$2:$K$5</definedName>
    <definedName name="PrivacyStatuses">'枚举值'!$L$2:$L$4</definedName>
    <definedName name="AuthorityStatuses">'枚举值'!$M$2:$M$7</definedName>
    <definedName name="_xlnm._FilterDatabase" localSheetId="0" hidden="1">'开始这里'!$A$1:$E$13</definedName>
    <definedName name="_xlnm._FilterDatabase" localSheetId="1" hidden="1">'名词解释'!$A$1:$D$17</definedName>
    <definedName name="_xlnm._FilterDatabase" localSheetId="2" hidden="1">'参数总览'!$A$1:$O$81</definedName>
    <definedName name="_xlnm._FilterDatabase" localSheetId="3" hidden="1">'原子事实记录'!$A$1:$V$2001</definedName>
    <definedName name="_xlnm._FilterDatabase" localSheetId="4" hidden="1">'根节点统计'!$A$1:$S$28</definedName>
    <definedName name="_xlnm._FilterDatabase" localSheetId="5" hidden="1">'来源表现统计'!$A$1:$W$301</definedName>
    <definedName name="_xlnm._FilterDatabase" localSheetId="6" hidden="1">'CPD样本记录'!$A$1:$W$1001</definedName>
    <definedName name="_xlnm._FilterDatabase" localSheetId="7" hidden="1">'CPD组合统计'!$A$1:$Q$301</definedName>
    <definedName name="_xlnm._FilterDatabase" localSheetId="8" hidden="1">'抽取质量统计'!$A$1:$O$301</definedName>
    <definedName name="_xlnm._FilterDatabase" localSheetId="9" hidden="1">'来源依赖'!$A$1:$L$301</definedName>
    <definedName name="_xlnm._FilterDatabase" localSheetId="10" hidden="1">'权威锚定复核'!$A$1:$P$301</definedName>
    <definedName name="_xlnm._FilterDatabase" localSheetId="11" hidden="1">'候选参数'!$A$1:$U$61</definedName>
    <definedName name="_xlnm._FilterDatabase" localSheetId="12" hidden="1">'模型发布记录'!$A$1:$S$301</definedName>
    <definedName name="_xlnm._FilterDatabase" localSheetId="13" hidden="1">'不可学习项'!$A$1:$D$8</definedName>
    <definedName name="_xlnm._FilterDatabase" localSheetId="14" hidden="1">'完整示例'!$A$1:$J$5</definedName>
    <definedName name="_xlnm._FilterDatabase" localSheetId="15" hidden="1">'人工修改流程'!$A$1:$D$9</definedName>
    <definedName name="_xlnm._FilterDatabase" localSheetId="16" hidden="1">'枚举值'!$A$1:$M$8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yyyy-mm-dd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</font>
    <font>
      <name val="Microsoft YaHei"/>
      <sz val="10"/>
    </font>
  </fonts>
  <fills count="5">
    <fill>
      <patternFill/>
    </fill>
    <fill>
      <patternFill patternType="gray125"/>
    </fill>
    <fill>
      <patternFill patternType="solid">
        <fgColor rgb="00173F5F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7C9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5" fontId="2" fillId="4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Va1ha11a_demo</author>
  </authors>
  <commentList>
    <comment ref="A1" authorId="0" shapeId="0">
      <text>
        <t>从本页按1到8执行。工作簿不会自动修改项目参数。</t>
      </text>
    </comment>
  </commentList>
</comments>
</file>

<file path=xl/comments/comment2.xml><?xml version="1.0" encoding="utf-8"?>
<comments xmlns="http://schemas.openxmlformats.org/spreadsheetml/2006/main">
  <authors>
    <author>Va1ha11a_demo</author>
  </authors>
  <commentList>
    <comment ref="H1" authorId="0" shapeId="0">
      <text>
        <t>“可以”仍表示先形成候选、独立验证和审批，不代表可以直接覆盖配置。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20639B"/>
    <outlinePr summaryBelow="1" summaryRight="1"/>
    <pageSetUpPr/>
  </sheetPr>
  <dimension ref="A1:E1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38" customWidth="1" min="3" max="3"/>
    <col width="29" customWidth="1" min="4" max="4"/>
    <col width="23" customWidth="1" min="5" max="5"/>
  </cols>
  <sheetData>
    <row r="1" ht="34" customHeight="1">
      <c r="A1" s="1" t="inlineStr">
        <is>
          <t>步骤</t>
        </is>
      </c>
      <c r="B1" s="1" t="inlineStr">
        <is>
          <t>要做什么</t>
        </is>
      </c>
      <c r="C1" s="1" t="inlineStr">
        <is>
          <t>非统计人员应如何操作</t>
        </is>
      </c>
      <c r="D1" s="1" t="inlineStr">
        <is>
          <t>为什么</t>
        </is>
      </c>
      <c r="E1" s="1" t="inlineStr">
        <is>
          <t>完成标志</t>
        </is>
      </c>
    </row>
    <row r="2">
      <c r="A2" s="2" t="n">
        <v>1</v>
      </c>
      <c r="B2" s="2" t="inlineStr">
        <is>
          <t>先定义统计对象</t>
        </is>
      </c>
      <c r="C2" s="2" t="inlineStr">
        <is>
          <t>一行只记录一个案件事件中的一个原子事实，例如 conduct 或 result_exists。不要把整份笔录当成一个真假标签。</t>
        </is>
      </c>
      <c r="D2" s="2" t="inlineStr">
        <is>
          <t>同一份材料可能包含多个事实，混在一起无法统计。</t>
        </is>
      </c>
      <c r="E2" s="2" t="inlineStr">
        <is>
          <t>已写明模型ID、节点、事件ID。</t>
        </is>
      </c>
    </row>
    <row r="3">
      <c r="A3" s="2" t="n">
        <v>2</v>
      </c>
      <c r="B3" s="2" t="inlineStr">
        <is>
          <t>确定样本范围</t>
        </is>
      </c>
      <c r="C3" s="2" t="inlineStr">
        <is>
          <t>写清起止日期、地区/单位、纳入条件和排除条件。一个月报警数据只能代表该月被纳入的报警样本。</t>
        </is>
      </c>
      <c r="D3" s="2" t="inlineStr">
        <is>
          <t>样本范围不同，计算出的比例不能直接互换。</t>
        </is>
      </c>
      <c r="E3" s="2" t="inlineStr">
        <is>
          <t>数据批次有唯一名称和口径说明。</t>
        </is>
      </c>
    </row>
    <row r="4">
      <c r="A4" s="2" t="n">
        <v>3</v>
      </c>
      <c r="B4" s="2" t="inlineStr">
        <is>
          <t>分别记录来源主张和独立真值</t>
        </is>
      </c>
      <c r="C4" s="2" t="inlineStr">
        <is>
          <t>来源说事实成立填“真”，来源否认填“假”；独立核验人员另填实际“真/假/未知”。</t>
        </is>
      </c>
      <c r="D4" s="2" t="inlineStr">
        <is>
          <t>来源说了什么与事实最终是否成立是两件事。</t>
        </is>
      </c>
      <c r="E4" s="2" t="inlineStr">
        <is>
          <t>原子事实记录的两个标签均由不同职责填写。</t>
        </is>
      </c>
    </row>
    <row r="5">
      <c r="A5" s="2" t="n">
        <v>4</v>
      </c>
      <c r="B5" s="2" t="inlineStr">
        <is>
          <t>未知就填未知</t>
        </is>
      </c>
      <c r="C5" s="2" t="inlineStr">
        <is>
          <t>没有足够材料时必须填“未知”，不能为了凑分母改成“假”。</t>
        </is>
      </c>
      <c r="D5" s="2" t="inlineStr">
        <is>
          <t>未知不是反证；错误处理会系统性压低参数。</t>
        </is>
      </c>
      <c r="E5" s="2" t="inlineStr">
        <is>
          <t>未知原因已填写，且不进入真/假分母。</t>
        </is>
      </c>
    </row>
    <row r="6">
      <c r="A6" s="2" t="n">
        <v>5</v>
      </c>
      <c r="B6" s="2" t="inlineStr">
        <is>
          <t>标记同源和复制</t>
        </is>
      </c>
      <c r="C6" s="2" t="inlineStr">
        <is>
          <t>同一视频截图、引用同一笔录的报告、转述链必须使用同一来源组ID。</t>
        </is>
      </c>
      <c r="D6" s="2" t="inlineStr">
        <is>
          <t>同源材料重复计数会制造虚假的多源印证。</t>
        </is>
      </c>
      <c r="E6" s="2" t="inlineStr">
        <is>
          <t>来源组ID和依赖记录均已复核。</t>
        </is>
      </c>
    </row>
    <row r="7">
      <c r="A7" s="2" t="n">
        <v>6</v>
      </c>
      <c r="B7" s="2" t="inlineStr">
        <is>
          <t>生成统计量</t>
        </is>
      </c>
      <c r="C7" s="2" t="inlineStr">
        <is>
          <t>根节点看真/假计数；来源表现看TP/FP/FN/TN；派生节点收集父节点值和子节点独立真值。</t>
        </is>
      </c>
      <c r="D7" s="2" t="inlineStr">
        <is>
          <t>三类参数需要不同的数据，不能用一个“真实性比例”替代。</t>
        </is>
      </c>
      <c r="E7" s="2" t="inlineStr">
        <is>
          <t>汇总表公式不再显示“先填数据”。</t>
        </is>
      </c>
    </row>
    <row r="8">
      <c r="A8" s="2" t="n">
        <v>7</v>
      </c>
      <c r="B8" s="2" t="inlineStr">
        <is>
          <t>只形成候选参数</t>
        </is>
      </c>
      <c r="C8" s="2" t="inlineStr">
        <is>
          <t>把计算值写入候选参数表，不直接覆盖JSON。逻辑回归的 intercept/weight 必须由离线脚本或统计人员拟合。</t>
        </is>
      </c>
      <c r="D8" s="2" t="inlineStr">
        <is>
          <t>一次手工改值无法保证模型整体稳定。</t>
        </is>
      </c>
      <c r="E8" s="2" t="inlineStr">
        <is>
          <t>候选参数有训练、验证样本量和验证结果。</t>
        </is>
      </c>
    </row>
    <row r="9">
      <c r="A9" s="2" t="n">
        <v>8</v>
      </c>
      <c r="B9" s="2" t="inlineStr">
        <is>
          <t>独立验证和审批</t>
        </is>
      </c>
      <c r="C9" s="2" t="inlineStr">
        <is>
          <t>用未参与拟合的数据回放，对比旧版；通过隐私、法律边界和人工审批后新建版本。</t>
        </is>
      </c>
      <c r="D9" s="2" t="inlineStr">
        <is>
          <t>同一批数据既拟合又验收会高估效果。</t>
        </is>
      </c>
      <c r="E9" s="2" t="inlineStr">
        <is>
          <t>模型发布记录为“已批准”，并记录参数哈希。</t>
        </is>
      </c>
    </row>
    <row r="10">
      <c r="A10" s="2" t="inlineStr">
        <is>
          <t>核心区别</t>
        </is>
      </c>
      <c r="B10" s="2" t="inlineStr">
        <is>
          <t>Beta后验不是单案后验</t>
        </is>
      </c>
      <c r="C10" s="2" t="inlineStr">
        <is>
          <t>例如61/82表示该统计分组的长期比例估计，不等于新案件中某个事实有74.4%概率为真。</t>
        </is>
      </c>
      <c r="D10" s="2" t="inlineStr">
        <is>
          <t>单案后验还要结合当前案件其他独立证据和冻结的网络参数。</t>
        </is>
      </c>
      <c r="E10" s="2" t="inlineStr">
        <is>
          <t>使用者能复述这一差别。</t>
        </is>
      </c>
    </row>
    <row r="11">
      <c r="A11" s="2" t="inlineStr">
        <is>
          <t>样本量提示</t>
        </is>
      </c>
      <c r="B11" s="2" t="inlineStr">
        <is>
          <t>模板阈值只是预警，不是发布保证</t>
        </is>
      </c>
      <c r="C11" s="2" t="inlineStr">
        <is>
          <t>有效样本&lt;30只描述；任一真/假类别&lt;10不拟合；达到100也仍需独立验证。逻辑回归还要看父节点数和类别不平衡。</t>
        </is>
      </c>
      <c r="D11" s="2" t="inlineStr">
        <is>
          <t>不存在适用于所有节点的统一最小样本量。</t>
        </is>
      </c>
      <c r="E11" s="2" t="inlineStr">
        <is>
          <t>统计复核人在发布记录中签署判断。</t>
        </is>
      </c>
    </row>
    <row r="12">
      <c r="A12" s="2" t="inlineStr">
        <is>
          <t>禁止事项</t>
        </is>
      </c>
      <c r="B12" s="2" t="inlineStr">
        <is>
          <t>不能从真实数据自动学习</t>
        </is>
      </c>
      <c r="C12" s="2" t="inlineStr">
        <is>
          <t>法定年龄、金额、期限、证明标准、罪名、处罚、管辖、权威适用范围和网络安全边界不得由历史频率自动修改。</t>
        </is>
      </c>
      <c r="D12" s="2" t="inlineStr">
        <is>
          <t>这些是法律或治理规则，不是经验概率。</t>
        </is>
      </c>
      <c r="E12" s="2" t="inlineStr">
        <is>
          <t>不可学习项已逐项检查。</t>
        </is>
      </c>
    </row>
    <row r="13">
      <c r="A13" s="2" t="inlineStr">
        <is>
          <t>隐私</t>
        </is>
      </c>
      <c r="B13" s="2" t="inlineStr">
        <is>
          <t>工作簿只放去标识化统计</t>
        </is>
      </c>
      <c r="C13" s="2" t="inlineStr">
        <is>
          <t>不得填写姓名、证件号、电话、地址、材料原文、图片或可识别的文件路径。</t>
        </is>
      </c>
      <c r="D13" s="2" t="inlineStr">
        <is>
          <t>统计模板不是案件卷宗。</t>
        </is>
      </c>
      <c r="E13" s="2" t="inlineStr">
        <is>
          <t>隐私检查为“通过”。</t>
        </is>
      </c>
    </row>
  </sheetData>
  <autoFilter ref="A1:E13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0639B"/>
    <outlinePr summaryBelow="1" summaryRight="1"/>
    <pageSetUpPr/>
  </sheetPr>
  <dimension ref="A1:D17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  <col width="36" customWidth="1" min="3" max="3"/>
    <col width="24" customWidth="1" min="4" max="4"/>
  </cols>
  <sheetData>
    <row r="1" ht="34" customHeight="1">
      <c r="A1" s="1" t="inlineStr">
        <is>
          <t>名词</t>
        </is>
      </c>
      <c r="B1" s="1" t="inlineStr">
        <is>
          <t>白话解释</t>
        </is>
      </c>
      <c r="C1" s="1" t="inlineStr">
        <is>
          <t>本项目中的例子</t>
        </is>
      </c>
      <c r="D1" s="1" t="inlineStr">
        <is>
          <t>常见误解</t>
        </is>
      </c>
    </row>
    <row r="2">
      <c r="A2" s="2" t="inlineStr">
        <is>
          <t>样本</t>
        </is>
      </c>
      <c r="B2" s="2" t="inlineStr">
        <is>
          <t>一条可独立核验的观察。</t>
        </is>
      </c>
      <c r="C2" s="2" t="inlineStr">
        <is>
          <t>某案件事件中的一个原子事实。</t>
        </is>
      </c>
      <c r="D2" s="2" t="inlineStr">
        <is>
          <t>一份笔录不一定只等于一个样本。</t>
        </is>
      </c>
    </row>
    <row r="3">
      <c r="A3" s="2" t="inlineStr">
        <is>
          <t>真值</t>
        </is>
      </c>
      <c r="B3" s="2" t="inlineStr">
        <is>
          <t>独立核验后对事实成立与否的参考标签。</t>
        </is>
      </c>
      <c r="C3" s="2" t="inlineStr">
        <is>
          <t>真、假或未知。</t>
        </is>
      </c>
      <c r="D3" s="2" t="inlineStr">
        <is>
          <t>办案角色或模型输出不能自动充当真值。</t>
        </is>
      </c>
    </row>
    <row r="4">
      <c r="A4" s="2" t="inlineStr">
        <is>
          <t>分子</t>
        </is>
      </c>
      <c r="B4" s="2" t="inlineStr">
        <is>
          <t>符合目标条件的数量。</t>
        </is>
      </c>
      <c r="C4" s="2" t="inlineStr">
        <is>
          <t>80条肯定主张中60条核验为真，分子是60。</t>
        </is>
      </c>
      <c r="D4" s="2" t="inlineStr">
        <is>
          <t>不能把未知计入分子。</t>
        </is>
      </c>
    </row>
    <row r="5">
      <c r="A5" s="2" t="inlineStr">
        <is>
          <t>分母</t>
        </is>
      </c>
      <c r="B5" s="2" t="inlineStr">
        <is>
          <t>真正有资格参与比例计算的数量。</t>
        </is>
      </c>
      <c r="C5" s="2" t="inlineStr">
        <is>
          <t>60条正确肯定+20条错误肯定=80。</t>
        </is>
      </c>
      <c r="D5" s="2" t="inlineStr">
        <is>
          <t>未知、排除和同源副本不能混进分母。</t>
        </is>
      </c>
    </row>
    <row r="6">
      <c r="A6" s="2" t="inlineStr">
        <is>
          <t>先验 prior</t>
        </is>
      </c>
      <c r="B6" s="2" t="inlineStr">
        <is>
          <t>没有当前案件软证据时，节点使用的基础值。</t>
        </is>
      </c>
      <c r="C6" s="2" t="inlineStr">
        <is>
          <t>conduct_result.conduct 当前为0.15。</t>
        </is>
      </c>
      <c r="D6" s="2" t="inlineStr">
        <is>
          <t>不是有罪率，也不是任何人的固定可信度。</t>
        </is>
      </c>
    </row>
    <row r="7">
      <c r="A7" s="2" t="inlineStr">
        <is>
          <t>Beta后验</t>
        </is>
      </c>
      <c r="B7" s="2" t="inlineStr">
        <is>
          <t>把历史成功/失败计数与一个平滑先验合并后的比例估计。</t>
        </is>
      </c>
      <c r="C7" s="2" t="inlineStr">
        <is>
          <t>Alpha=1+60，Beta=1+20。</t>
        </is>
      </c>
      <c r="D7" s="2" t="inlineStr">
        <is>
          <t>这是群体参数后验，不是新案件事实后验。</t>
        </is>
      </c>
    </row>
    <row r="8">
      <c r="A8" s="2" t="inlineStr">
        <is>
          <t>后验均值</t>
        </is>
      </c>
      <c r="B8" s="2" t="inlineStr">
        <is>
          <t>Beta分布中最常用的候选比例。</t>
        </is>
      </c>
      <c r="C8" s="2" t="inlineStr">
        <is>
          <t>61/(61+21)=0.7439。</t>
        </is>
      </c>
      <c r="D8" s="2" t="inlineStr">
        <is>
          <t>样本少时仍不能直接发布。</t>
        </is>
      </c>
    </row>
    <row r="9">
      <c r="A9" s="2" t="inlineStr">
        <is>
          <t>95%区间</t>
        </is>
      </c>
      <c r="B9" s="2" t="inlineStr">
        <is>
          <t>参数仍可能落入的合理范围。区间越宽，说明数据越不稳定。</t>
        </is>
      </c>
      <c r="C9" s="2" t="inlineStr">
        <is>
          <t>由BETA.INV公式计算。</t>
        </is>
      </c>
      <c r="D9" s="2" t="inlineStr">
        <is>
          <t>不是说95%的案件一定在这个范围。</t>
        </is>
      </c>
    </row>
    <row r="10">
      <c r="A10" s="2" t="inlineStr">
        <is>
          <t>TP</t>
        </is>
      </c>
      <c r="B10" s="2" t="inlineStr">
        <is>
          <t>来源肯定该事实，独立核验也为真。</t>
        </is>
      </c>
      <c r="C10" s="2" t="inlineStr">
        <is>
          <t>正确肯定。</t>
        </is>
      </c>
      <c r="D10" s="2" t="inlineStr">
        <is>
          <t>TP不是“这个人说真话”的人格评价。</t>
        </is>
      </c>
    </row>
    <row r="11">
      <c r="A11" s="2" t="inlineStr">
        <is>
          <t>FP</t>
        </is>
      </c>
      <c r="B11" s="2" t="inlineStr">
        <is>
          <t>来源肯定该事实，但独立核验为假。</t>
        </is>
      </c>
      <c r="C11" s="2" t="inlineStr">
        <is>
          <t>错误肯定。</t>
        </is>
      </c>
      <c r="D11" s="2" t="inlineStr">
        <is>
          <t>不等于故意虚假陈述。</t>
        </is>
      </c>
    </row>
    <row r="12">
      <c r="A12" s="2" t="inlineStr">
        <is>
          <t>FN</t>
        </is>
      </c>
      <c r="B12" s="2" t="inlineStr">
        <is>
          <t>来源否认该事实，但独立核验为真。</t>
        </is>
      </c>
      <c r="C12" s="2" t="inlineStr">
        <is>
          <t>错误否定。</t>
        </is>
      </c>
      <c r="D12" s="2" t="inlineStr">
        <is>
          <t>不等于主观恶意。</t>
        </is>
      </c>
    </row>
    <row r="13">
      <c r="A13" s="2" t="inlineStr">
        <is>
          <t>TN</t>
        </is>
      </c>
      <c r="B13" s="2" t="inlineStr">
        <is>
          <t>来源否认该事实，独立核验也为假。</t>
        </is>
      </c>
      <c r="C13" s="2" t="inlineStr">
        <is>
          <t>正确否定。</t>
        </is>
      </c>
      <c r="D13" s="2" t="inlineStr">
        <is>
          <t>仍需确认来源是否独立。</t>
        </is>
      </c>
    </row>
    <row r="14">
      <c r="A14" s="2" t="inlineStr">
        <is>
          <t>intercept</t>
        </is>
      </c>
      <c r="B14" s="2" t="inlineStr">
        <is>
          <t>所有父节点值为0时，子节点的基础对数优势。</t>
        </is>
      </c>
      <c r="C14" s="2" t="inlineStr">
        <is>
          <t>causation当前为-3.0。</t>
        </is>
      </c>
      <c r="D14" s="2" t="inlineStr">
        <is>
          <t>不能直接填写成百分比。</t>
        </is>
      </c>
    </row>
    <row r="15">
      <c r="A15" s="2" t="inlineStr">
        <is>
          <t>weight</t>
        </is>
      </c>
      <c r="B15" s="2" t="inlineStr">
        <is>
          <t>某父节点升高时对子节点方向和强度的影响。</t>
        </is>
      </c>
      <c r="C15" s="2" t="inlineStr">
        <is>
          <t>alternative_cause权重为负。</t>
        </is>
      </c>
      <c r="D15" s="2" t="inlineStr">
        <is>
          <t>不能用“正确率74%”直接替换weight。</t>
        </is>
      </c>
    </row>
    <row r="16">
      <c r="A16" s="2" t="inlineStr">
        <is>
          <t>校准</t>
        </is>
      </c>
      <c r="B16" s="2" t="inlineStr">
        <is>
          <t>让模型输出与独立验证数据的实际频率更一致。</t>
        </is>
      </c>
      <c r="C16" s="2" t="inlineStr">
        <is>
          <t>候选参数在独立验证集上比较。</t>
        </is>
      </c>
      <c r="D16" s="2" t="inlineStr">
        <is>
          <t>训练集表现好不等于已校准。</t>
        </is>
      </c>
    </row>
    <row r="17">
      <c r="A17" s="2" t="inlineStr">
        <is>
          <t>单案后验</t>
        </is>
      </c>
      <c r="B17" s="2" t="inlineStr">
        <is>
          <t>冻结参数后，把某一案件的软证据送入网络得到的节点值。</t>
        </is>
      </c>
      <c r="C17" s="2" t="inlineStr">
        <is>
          <t>BayesianInferenceEngine.infer()输出。</t>
        </is>
      </c>
      <c r="D17" s="2" t="inlineStr">
        <is>
          <t>运行单案时不重新训练参数。</t>
        </is>
      </c>
    </row>
  </sheetData>
  <autoFilter ref="A1:D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3" customWidth="1" min="2" max="2"/>
    <col width="12" customWidth="1" min="3" max="3"/>
    <col width="32" customWidth="1" min="4" max="4"/>
    <col width="22" customWidth="1" min="5" max="5"/>
    <col width="31" customWidth="1" min="6" max="6"/>
    <col width="16" customWidth="1" min="7" max="7"/>
    <col width="12" customWidth="1" min="8" max="8"/>
    <col width="35" customWidth="1" min="9" max="9"/>
    <col width="38" customWidth="1" min="10" max="10"/>
    <col width="17" customWidth="1" min="11" max="11"/>
    <col width="34" customWidth="1" min="12" max="12"/>
    <col width="38" customWidth="1" min="13" max="13"/>
    <col width="12" customWidth="1" min="14" max="14"/>
    <col width="30" customWidth="1" min="15" max="15"/>
  </cols>
  <sheetData>
    <row r="1" ht="34" customHeight="1">
      <c r="A1" s="1" t="inlineStr">
        <is>
          <t>参数层</t>
        </is>
      </c>
      <c r="B1" s="1" t="inlineStr">
        <is>
          <t>模型ID</t>
        </is>
      </c>
      <c r="C1" s="1" t="inlineStr">
        <is>
          <t>模型版本</t>
        </is>
      </c>
      <c r="D1" s="1" t="inlineStr">
        <is>
          <t>节点</t>
        </is>
      </c>
      <c r="E1" s="1" t="inlineStr">
        <is>
          <t>参数类型</t>
        </is>
      </c>
      <c r="F1" s="1" t="inlineStr">
        <is>
          <t>父节点/维度</t>
        </is>
      </c>
      <c r="G1" s="1" t="inlineStr">
        <is>
          <t>当前值</t>
        </is>
      </c>
      <c r="H1" s="1" t="inlineStr">
        <is>
          <t>能否根据真实数据修改</t>
        </is>
      </c>
      <c r="I1" s="1" t="inlineStr">
        <is>
          <t>必须收集什么</t>
        </is>
      </c>
      <c r="J1" s="1" t="inlineStr">
        <is>
          <t>如何构建统计量</t>
        </is>
      </c>
      <c r="K1" s="1" t="inlineStr">
        <is>
          <t>估计方法</t>
        </is>
      </c>
      <c r="L1" s="1" t="inlineStr">
        <is>
          <t>最低数据提示</t>
        </is>
      </c>
      <c r="M1" s="1" t="inlineStr">
        <is>
          <t>人工修改位置</t>
        </is>
      </c>
      <c r="N1" s="1" t="inlineStr">
        <is>
          <t>能否自动写回</t>
        </is>
      </c>
      <c r="O1" s="1" t="inlineStr">
        <is>
          <t>说明</t>
        </is>
      </c>
    </row>
    <row r="2">
      <c r="A2" s="2" t="inlineStr">
        <is>
          <t>贝叶斯网络</t>
        </is>
      </c>
      <c r="B2" s="2" t="inlineStr">
        <is>
          <t>conduct_result</t>
        </is>
      </c>
      <c r="C2" s="2" t="inlineStr">
        <is>
          <t>1</t>
        </is>
      </c>
      <c r="D2" s="2" t="inlineStr">
        <is>
          <t>conduct</t>
        </is>
      </c>
      <c r="E2" s="2" t="inlineStr">
        <is>
          <t>prior</t>
        </is>
      </c>
      <c r="F2" s="2" t="inlineStr"/>
      <c r="G2" s="2" t="n">
        <v>0.15</v>
      </c>
      <c r="H2" s="2" t="inlineStr">
        <is>
          <t>可以，需验证</t>
        </is>
      </c>
      <c r="I2" s="2" t="inlineStr">
        <is>
          <t>该节点独立核验为真/假/未知的数量；明确样本范围和数据批次。</t>
        </is>
      </c>
      <c r="J2" s="2" t="inlineStr">
        <is>
          <t>真数/(真数+假数)，未知不进分母；用Beta(Alpha,Beta)平滑。</t>
        </is>
      </c>
      <c r="K2" s="2" t="inlineStr">
        <is>
          <t>Beta-Binomial后验</t>
        </is>
      </c>
      <c r="L2" s="2" t="inlineStr">
        <is>
          <t>有效样本&lt;30仅描述；真或假任一&lt;10不得发布。</t>
        </is>
      </c>
      <c r="M2" s="2" t="inlineStr">
        <is>
          <t>config/bayesian_models/conduct_result_v1.json -&gt; nodes[conduct].prior</t>
        </is>
      </c>
      <c r="N2" s="2" t="inlineStr">
        <is>
          <t>否</t>
        </is>
      </c>
      <c r="O2" s="2" t="inlineStr">
        <is>
          <t>只代表规定样本范围内的基础率；软证据存在时该值会被覆盖。</t>
        </is>
      </c>
    </row>
    <row r="3">
      <c r="A3" s="2" t="inlineStr">
        <is>
          <t>贝叶斯网络</t>
        </is>
      </c>
      <c r="B3" s="2" t="inlineStr">
        <is>
          <t>conduct_result</t>
        </is>
      </c>
      <c r="C3" s="2" t="inlineStr">
        <is>
          <t>1</t>
        </is>
      </c>
      <c r="D3" s="2" t="inlineStr">
        <is>
          <t>result_exists</t>
        </is>
      </c>
      <c r="E3" s="2" t="inlineStr">
        <is>
          <t>prior</t>
        </is>
      </c>
      <c r="F3" s="2" t="inlineStr"/>
      <c r="G3" s="2" t="n">
        <v>0.15</v>
      </c>
      <c r="H3" s="2" t="inlineStr">
        <is>
          <t>可以，需验证</t>
        </is>
      </c>
      <c r="I3" s="2" t="inlineStr">
        <is>
          <t>该节点独立核验为真/假/未知的数量；明确样本范围和数据批次。</t>
        </is>
      </c>
      <c r="J3" s="2" t="inlineStr">
        <is>
          <t>真数/(真数+假数)，未知不进分母；用Beta(Alpha,Beta)平滑。</t>
        </is>
      </c>
      <c r="K3" s="2" t="inlineStr">
        <is>
          <t>Beta-Binomial后验</t>
        </is>
      </c>
      <c r="L3" s="2" t="inlineStr">
        <is>
          <t>有效样本&lt;30仅描述；真或假任一&lt;10不得发布。</t>
        </is>
      </c>
      <c r="M3" s="2" t="inlineStr">
        <is>
          <t>config/bayesian_models/conduct_result_v1.json -&gt; nodes[result_exists].prior</t>
        </is>
      </c>
      <c r="N3" s="2" t="inlineStr">
        <is>
          <t>否</t>
        </is>
      </c>
      <c r="O3" s="2" t="inlineStr">
        <is>
          <t>只代表规定样本范围内的基础率；软证据存在时该值会被覆盖。</t>
        </is>
      </c>
    </row>
    <row r="4">
      <c r="A4" s="2" t="inlineStr">
        <is>
          <t>贝叶斯网络</t>
        </is>
      </c>
      <c r="B4" s="2" t="inlineStr">
        <is>
          <t>conduct_result</t>
        </is>
      </c>
      <c r="C4" s="2" t="inlineStr">
        <is>
          <t>1</t>
        </is>
      </c>
      <c r="D4" s="2" t="inlineStr">
        <is>
          <t>mechanism_consistency</t>
        </is>
      </c>
      <c r="E4" s="2" t="inlineStr">
        <is>
          <t>prior</t>
        </is>
      </c>
      <c r="F4" s="2" t="inlineStr"/>
      <c r="G4" s="2" t="n">
        <v>0.3</v>
      </c>
      <c r="H4" s="2" t="inlineStr">
        <is>
          <t>可以，需验证</t>
        </is>
      </c>
      <c r="I4" s="2" t="inlineStr">
        <is>
          <t>该节点独立核验为真/假/未知的数量；明确样本范围和数据批次。</t>
        </is>
      </c>
      <c r="J4" s="2" t="inlineStr">
        <is>
          <t>真数/(真数+假数)，未知不进分母；用Beta(Alpha,Beta)平滑。</t>
        </is>
      </c>
      <c r="K4" s="2" t="inlineStr">
        <is>
          <t>Beta-Binomial后验</t>
        </is>
      </c>
      <c r="L4" s="2" t="inlineStr">
        <is>
          <t>有效样本&lt;30仅描述；真或假任一&lt;10不得发布。</t>
        </is>
      </c>
      <c r="M4" s="2" t="inlineStr">
        <is>
          <t>config/bayesian_models/conduct_result_v1.json -&gt; nodes[mechanism_consistency].prior</t>
        </is>
      </c>
      <c r="N4" s="2" t="inlineStr">
        <is>
          <t>否</t>
        </is>
      </c>
      <c r="O4" s="2" t="inlineStr">
        <is>
          <t>只代表规定样本范围内的基础率；软证据存在时该值会被覆盖。</t>
        </is>
      </c>
    </row>
    <row r="5">
      <c r="A5" s="2" t="inlineStr">
        <is>
          <t>贝叶斯网络</t>
        </is>
      </c>
      <c r="B5" s="2" t="inlineStr">
        <is>
          <t>conduct_result</t>
        </is>
      </c>
      <c r="C5" s="2" t="inlineStr">
        <is>
          <t>1</t>
        </is>
      </c>
      <c r="D5" s="2" t="inlineStr">
        <is>
          <t>temporal_consistency</t>
        </is>
      </c>
      <c r="E5" s="2" t="inlineStr">
        <is>
          <t>prior</t>
        </is>
      </c>
      <c r="F5" s="2" t="inlineStr"/>
      <c r="G5" s="2" t="n">
        <v>0.3</v>
      </c>
      <c r="H5" s="2" t="inlineStr">
        <is>
          <t>可以，需验证</t>
        </is>
      </c>
      <c r="I5" s="2" t="inlineStr">
        <is>
          <t>该节点独立核验为真/假/未知的数量；明确样本范围和数据批次。</t>
        </is>
      </c>
      <c r="J5" s="2" t="inlineStr">
        <is>
          <t>真数/(真数+假数)，未知不进分母；用Beta(Alpha,Beta)平滑。</t>
        </is>
      </c>
      <c r="K5" s="2" t="inlineStr">
        <is>
          <t>Beta-Binomial后验</t>
        </is>
      </c>
      <c r="L5" s="2" t="inlineStr">
        <is>
          <t>有效样本&lt;30仅描述；真或假任一&lt;10不得发布。</t>
        </is>
      </c>
      <c r="M5" s="2" t="inlineStr">
        <is>
          <t>config/bayesian_models/conduct_result_v1.json -&gt; nodes[temporal_consistency].prior</t>
        </is>
      </c>
      <c r="N5" s="2" t="inlineStr">
        <is>
          <t>否</t>
        </is>
      </c>
      <c r="O5" s="2" t="inlineStr">
        <is>
          <t>只代表规定样本范围内的基础率；软证据存在时该值会被覆盖。</t>
        </is>
      </c>
    </row>
    <row r="6">
      <c r="A6" s="2" t="inlineStr">
        <is>
          <t>贝叶斯网络</t>
        </is>
      </c>
      <c r="B6" s="2" t="inlineStr">
        <is>
          <t>conduct_result</t>
        </is>
      </c>
      <c r="C6" s="2" t="inlineStr">
        <is>
          <t>1</t>
        </is>
      </c>
      <c r="D6" s="2" t="inlineStr">
        <is>
          <t>alternative_cause</t>
        </is>
      </c>
      <c r="E6" s="2" t="inlineStr">
        <is>
          <t>prior</t>
        </is>
      </c>
      <c r="F6" s="2" t="inlineStr"/>
      <c r="G6" s="2" t="n">
        <v>0.2</v>
      </c>
      <c r="H6" s="2" t="inlineStr">
        <is>
          <t>可以，需验证</t>
        </is>
      </c>
      <c r="I6" s="2" t="inlineStr">
        <is>
          <t>该节点独立核验为真/假/未知的数量；明确样本范围和数据批次。</t>
        </is>
      </c>
      <c r="J6" s="2" t="inlineStr">
        <is>
          <t>真数/(真数+假数)，未知不进分母；用Beta(Alpha,Beta)平滑。</t>
        </is>
      </c>
      <c r="K6" s="2" t="inlineStr">
        <is>
          <t>Beta-Binomial后验</t>
        </is>
      </c>
      <c r="L6" s="2" t="inlineStr">
        <is>
          <t>有效样本&lt;30仅描述；真或假任一&lt;10不得发布。</t>
        </is>
      </c>
      <c r="M6" s="2" t="inlineStr">
        <is>
          <t>config/bayesian_models/conduct_result_v1.json -&gt; nodes[alternative_cause].prior</t>
        </is>
      </c>
      <c r="N6" s="2" t="inlineStr">
        <is>
          <t>否</t>
        </is>
      </c>
      <c r="O6" s="2" t="inlineStr">
        <is>
          <t>只代表规定样本范围内的基础率；软证据存在时该值会被覆盖。</t>
        </is>
      </c>
    </row>
    <row r="7">
      <c r="A7" s="2" t="inlineStr">
        <is>
          <t>贝叶斯网络</t>
        </is>
      </c>
      <c r="B7" s="2" t="inlineStr">
        <is>
          <t>conduct_result</t>
        </is>
      </c>
      <c r="C7" s="2" t="inlineStr">
        <is>
          <t>1</t>
        </is>
      </c>
      <c r="D7" s="2" t="inlineStr">
        <is>
          <t>causation</t>
        </is>
      </c>
      <c r="E7" s="2" t="inlineStr">
        <is>
          <t>intercept</t>
        </is>
      </c>
      <c r="F7" s="2" t="inlineStr"/>
      <c r="G7" s="2" t="n">
        <v>-3</v>
      </c>
      <c r="H7" s="2" t="inlineStr">
        <is>
          <t>可以，但必须拟合</t>
        </is>
      </c>
      <c r="I7" s="2" t="inlineStr">
        <is>
          <t>每条样本的全部父节点值、子节点独立真值、样本权重和训练/验证划分。</t>
        </is>
      </c>
      <c r="J7" s="2" t="inlineStr">
        <is>
          <t>一行一个事件；父节点0~1，子节点真/假；未知不进入拟合。</t>
        </is>
      </c>
      <c r="K7" s="2" t="inlineStr">
        <is>
          <t>带正则化的加权二项逻辑回归</t>
        </is>
      </c>
      <c r="L7" s="2" t="inlineStr">
        <is>
          <t>至少保留独立验证集；每个结果类别建议不少于10×6条，仅作预警。</t>
        </is>
      </c>
      <c r="M7" s="2" t="inlineStr">
        <is>
          <t>config/bayesian_models/conduct_result_v1.json -&gt; nodes[causation].intercept</t>
        </is>
      </c>
      <c r="N7" s="2" t="inlineStr">
        <is>
          <t>否</t>
        </is>
      </c>
      <c r="O7" s="2" t="inlineStr">
        <is>
          <t>不能由单个比例手工换算。</t>
        </is>
      </c>
    </row>
    <row r="8">
      <c r="A8" s="2" t="inlineStr">
        <is>
          <t>贝叶斯网络</t>
        </is>
      </c>
      <c r="B8" s="2" t="inlineStr">
        <is>
          <t>conduct_result</t>
        </is>
      </c>
      <c r="C8" s="2" t="inlineStr">
        <is>
          <t>1</t>
        </is>
      </c>
      <c r="D8" s="2" t="inlineStr">
        <is>
          <t>causation</t>
        </is>
      </c>
      <c r="E8" s="2" t="inlineStr">
        <is>
          <t>weight</t>
        </is>
      </c>
      <c r="F8" s="2" t="inlineStr">
        <is>
          <t>conduct</t>
        </is>
      </c>
      <c r="G8" s="2" t="n">
        <v>1.8</v>
      </c>
      <c r="H8" s="2" t="inlineStr">
        <is>
          <t>可以，但必须拟合</t>
        </is>
      </c>
      <c r="I8" s="2" t="inlineStr">
        <is>
          <t>与intercept相同；还要检查父节点共线性、缺失和类别不平衡。</t>
        </is>
      </c>
      <c r="J8" s="2" t="inlineStr">
        <is>
          <t>用所有父节点同时拟合，不能逐个父节点分别算比例后直接当权重。</t>
        </is>
      </c>
      <c r="K8" s="2" t="inlineStr">
        <is>
          <t>带正则化的加权二项逻辑回归</t>
        </is>
      </c>
      <c r="L8" s="2" t="inlineStr">
        <is>
          <t>至少保留独立验证集；每个结果类别建议不少于10×6条，仅作预警。</t>
        </is>
      </c>
      <c r="M8" s="2" t="inlineStr">
        <is>
          <t>config/bayesian_models/conduct_result_v1.json -&gt; nodes[causation].weights.conduct</t>
        </is>
      </c>
      <c r="N8" s="2" t="inlineStr">
        <is>
          <t>否</t>
        </is>
      </c>
      <c r="O8" s="2" t="inlineStr">
        <is>
          <t>方向变化必须由领域专家复核。</t>
        </is>
      </c>
    </row>
    <row r="9">
      <c r="A9" s="2" t="inlineStr">
        <is>
          <t>贝叶斯网络</t>
        </is>
      </c>
      <c r="B9" s="2" t="inlineStr">
        <is>
          <t>conduct_result</t>
        </is>
      </c>
      <c r="C9" s="2" t="inlineStr">
        <is>
          <t>1</t>
        </is>
      </c>
      <c r="D9" s="2" t="inlineStr">
        <is>
          <t>causation</t>
        </is>
      </c>
      <c r="E9" s="2" t="inlineStr">
        <is>
          <t>weight</t>
        </is>
      </c>
      <c r="F9" s="2" t="inlineStr">
        <is>
          <t>result_exists</t>
        </is>
      </c>
      <c r="G9" s="2" t="n">
        <v>1.2</v>
      </c>
      <c r="H9" s="2" t="inlineStr">
        <is>
          <t>可以，但必须拟合</t>
        </is>
      </c>
      <c r="I9" s="2" t="inlineStr">
        <is>
          <t>与intercept相同；还要检查父节点共线性、缺失和类别不平衡。</t>
        </is>
      </c>
      <c r="J9" s="2" t="inlineStr">
        <is>
          <t>用所有父节点同时拟合，不能逐个父节点分别算比例后直接当权重。</t>
        </is>
      </c>
      <c r="K9" s="2" t="inlineStr">
        <is>
          <t>带正则化的加权二项逻辑回归</t>
        </is>
      </c>
      <c r="L9" s="2" t="inlineStr">
        <is>
          <t>至少保留独立验证集；每个结果类别建议不少于10×6条，仅作预警。</t>
        </is>
      </c>
      <c r="M9" s="2" t="inlineStr">
        <is>
          <t>config/bayesian_models/conduct_result_v1.json -&gt; nodes[causation].weights.result_exists</t>
        </is>
      </c>
      <c r="N9" s="2" t="inlineStr">
        <is>
          <t>否</t>
        </is>
      </c>
      <c r="O9" s="2" t="inlineStr">
        <is>
          <t>方向变化必须由领域专家复核。</t>
        </is>
      </c>
    </row>
    <row r="10">
      <c r="A10" s="2" t="inlineStr">
        <is>
          <t>贝叶斯网络</t>
        </is>
      </c>
      <c r="B10" s="2" t="inlineStr">
        <is>
          <t>conduct_result</t>
        </is>
      </c>
      <c r="C10" s="2" t="inlineStr">
        <is>
          <t>1</t>
        </is>
      </c>
      <c r="D10" s="2" t="inlineStr">
        <is>
          <t>causation</t>
        </is>
      </c>
      <c r="E10" s="2" t="inlineStr">
        <is>
          <t>weight</t>
        </is>
      </c>
      <c r="F10" s="2" t="inlineStr">
        <is>
          <t>mechanism_consistency</t>
        </is>
      </c>
      <c r="G10" s="2" t="n">
        <v>1.5</v>
      </c>
      <c r="H10" s="2" t="inlineStr">
        <is>
          <t>可以，但必须拟合</t>
        </is>
      </c>
      <c r="I10" s="2" t="inlineStr">
        <is>
          <t>与intercept相同；还要检查父节点共线性、缺失和类别不平衡。</t>
        </is>
      </c>
      <c r="J10" s="2" t="inlineStr">
        <is>
          <t>用所有父节点同时拟合，不能逐个父节点分别算比例后直接当权重。</t>
        </is>
      </c>
      <c r="K10" s="2" t="inlineStr">
        <is>
          <t>带正则化的加权二项逻辑回归</t>
        </is>
      </c>
      <c r="L10" s="2" t="inlineStr">
        <is>
          <t>至少保留独立验证集；每个结果类别建议不少于10×6条，仅作预警。</t>
        </is>
      </c>
      <c r="M10" s="2" t="inlineStr">
        <is>
          <t>config/bayesian_models/conduct_result_v1.json -&gt; nodes[causation].weights.mechanism_consistency</t>
        </is>
      </c>
      <c r="N10" s="2" t="inlineStr">
        <is>
          <t>否</t>
        </is>
      </c>
      <c r="O10" s="2" t="inlineStr">
        <is>
          <t>方向变化必须由领域专家复核。</t>
        </is>
      </c>
    </row>
    <row r="11">
      <c r="A11" s="2" t="inlineStr">
        <is>
          <t>贝叶斯网络</t>
        </is>
      </c>
      <c r="B11" s="2" t="inlineStr">
        <is>
          <t>conduct_result</t>
        </is>
      </c>
      <c r="C11" s="2" t="inlineStr">
        <is>
          <t>1</t>
        </is>
      </c>
      <c r="D11" s="2" t="inlineStr">
        <is>
          <t>causation</t>
        </is>
      </c>
      <c r="E11" s="2" t="inlineStr">
        <is>
          <t>weight</t>
        </is>
      </c>
      <c r="F11" s="2" t="inlineStr">
        <is>
          <t>temporal_consistency</t>
        </is>
      </c>
      <c r="G11" s="2" t="n">
        <v>1.1</v>
      </c>
      <c r="H11" s="2" t="inlineStr">
        <is>
          <t>可以，但必须拟合</t>
        </is>
      </c>
      <c r="I11" s="2" t="inlineStr">
        <is>
          <t>与intercept相同；还要检查父节点共线性、缺失和类别不平衡。</t>
        </is>
      </c>
      <c r="J11" s="2" t="inlineStr">
        <is>
          <t>用所有父节点同时拟合，不能逐个父节点分别算比例后直接当权重。</t>
        </is>
      </c>
      <c r="K11" s="2" t="inlineStr">
        <is>
          <t>带正则化的加权二项逻辑回归</t>
        </is>
      </c>
      <c r="L11" s="2" t="inlineStr">
        <is>
          <t>至少保留独立验证集；每个结果类别建议不少于10×6条，仅作预警。</t>
        </is>
      </c>
      <c r="M11" s="2" t="inlineStr">
        <is>
          <t>config/bayesian_models/conduct_result_v1.json -&gt; nodes[causation].weights.temporal_consistency</t>
        </is>
      </c>
      <c r="N11" s="2" t="inlineStr">
        <is>
          <t>否</t>
        </is>
      </c>
      <c r="O11" s="2" t="inlineStr">
        <is>
          <t>方向变化必须由领域专家复核。</t>
        </is>
      </c>
    </row>
    <row r="12">
      <c r="A12" s="2" t="inlineStr">
        <is>
          <t>贝叶斯网络</t>
        </is>
      </c>
      <c r="B12" s="2" t="inlineStr">
        <is>
          <t>conduct_result</t>
        </is>
      </c>
      <c r="C12" s="2" t="inlineStr">
        <is>
          <t>1</t>
        </is>
      </c>
      <c r="D12" s="2" t="inlineStr">
        <is>
          <t>causation</t>
        </is>
      </c>
      <c r="E12" s="2" t="inlineStr">
        <is>
          <t>weight</t>
        </is>
      </c>
      <c r="F12" s="2" t="inlineStr">
        <is>
          <t>alternative_cause</t>
        </is>
      </c>
      <c r="G12" s="2" t="n">
        <v>-2.5</v>
      </c>
      <c r="H12" s="2" t="inlineStr">
        <is>
          <t>可以，但必须拟合</t>
        </is>
      </c>
      <c r="I12" s="2" t="inlineStr">
        <is>
          <t>与intercept相同；还要检查父节点共线性、缺失和类别不平衡。</t>
        </is>
      </c>
      <c r="J12" s="2" t="inlineStr">
        <is>
          <t>用所有父节点同时拟合，不能逐个父节点分别算比例后直接当权重。</t>
        </is>
      </c>
      <c r="K12" s="2" t="inlineStr">
        <is>
          <t>带正则化的加权二项逻辑回归</t>
        </is>
      </c>
      <c r="L12" s="2" t="inlineStr">
        <is>
          <t>至少保留独立验证集；每个结果类别建议不少于10×6条，仅作预警。</t>
        </is>
      </c>
      <c r="M12" s="2" t="inlineStr">
        <is>
          <t>config/bayesian_models/conduct_result_v1.json -&gt; nodes[causation].weights.alternative_cause</t>
        </is>
      </c>
      <c r="N12" s="2" t="inlineStr">
        <is>
          <t>否</t>
        </is>
      </c>
      <c r="O12" s="2" t="inlineStr">
        <is>
          <t>方向变化必须由领域专家复核。</t>
        </is>
      </c>
    </row>
    <row r="13">
      <c r="A13" s="2" t="inlineStr">
        <is>
          <t>贝叶斯网络</t>
        </is>
      </c>
      <c r="B13" s="2" t="inlineStr">
        <is>
          <t>deception_disposition</t>
        </is>
      </c>
      <c r="C13" s="2" t="inlineStr">
        <is>
          <t>1.0.0</t>
        </is>
      </c>
      <c r="D13" s="2" t="inlineStr">
        <is>
          <t>deceptive_representation</t>
        </is>
      </c>
      <c r="E13" s="2" t="inlineStr">
        <is>
          <t>prior</t>
        </is>
      </c>
      <c r="F13" s="2" t="inlineStr"/>
      <c r="G13" s="2" t="n">
        <v>0.2</v>
      </c>
      <c r="H13" s="2" t="inlineStr">
        <is>
          <t>可以，需验证</t>
        </is>
      </c>
      <c r="I13" s="2" t="inlineStr">
        <is>
          <t>该节点独立核验为真/假/未知的数量；明确样本范围和数据批次。</t>
        </is>
      </c>
      <c r="J13" s="2" t="inlineStr">
        <is>
          <t>真数/(真数+假数)，未知不进分母；用Beta(Alpha,Beta)平滑。</t>
        </is>
      </c>
      <c r="K13" s="2" t="inlineStr">
        <is>
          <t>Beta-Binomial后验</t>
        </is>
      </c>
      <c r="L13" s="2" t="inlineStr">
        <is>
          <t>有效样本&lt;30仅描述；真或假任一&lt;10不得发布。</t>
        </is>
      </c>
      <c r="M13" s="2" t="inlineStr">
        <is>
          <t>config/bayesian_models/deception_disposition_v1.json -&gt; nodes[deceptive_representation].prior</t>
        </is>
      </c>
      <c r="N13" s="2" t="inlineStr">
        <is>
          <t>否</t>
        </is>
      </c>
      <c r="O13" s="2" t="inlineStr">
        <is>
          <t>只代表规定样本范围内的基础率；软证据存在时该值会被覆盖。</t>
        </is>
      </c>
    </row>
    <row r="14">
      <c r="A14" s="2" t="inlineStr">
        <is>
          <t>贝叶斯网络</t>
        </is>
      </c>
      <c r="B14" s="2" t="inlineStr">
        <is>
          <t>deception_disposition</t>
        </is>
      </c>
      <c r="C14" s="2" t="inlineStr">
        <is>
          <t>1.0.0</t>
        </is>
      </c>
      <c r="D14" s="2" t="inlineStr">
        <is>
          <t>mistaken_belief</t>
        </is>
      </c>
      <c r="E14" s="2" t="inlineStr">
        <is>
          <t>prior</t>
        </is>
      </c>
      <c r="F14" s="2" t="inlineStr"/>
      <c r="G14" s="2" t="n">
        <v>0.2</v>
      </c>
      <c r="H14" s="2" t="inlineStr">
        <is>
          <t>可以，需验证</t>
        </is>
      </c>
      <c r="I14" s="2" t="inlineStr">
        <is>
          <t>该节点独立核验为真/假/未知的数量；明确样本范围和数据批次。</t>
        </is>
      </c>
      <c r="J14" s="2" t="inlineStr">
        <is>
          <t>真数/(真数+假数)，未知不进分母；用Beta(Alpha,Beta)平滑。</t>
        </is>
      </c>
      <c r="K14" s="2" t="inlineStr">
        <is>
          <t>Beta-Binomial后验</t>
        </is>
      </c>
      <c r="L14" s="2" t="inlineStr">
        <is>
          <t>有效样本&lt;30仅描述；真或假任一&lt;10不得发布。</t>
        </is>
      </c>
      <c r="M14" s="2" t="inlineStr">
        <is>
          <t>config/bayesian_models/deception_disposition_v1.json -&gt; nodes[mistaken_belief].prior</t>
        </is>
      </c>
      <c r="N14" s="2" t="inlineStr">
        <is>
          <t>否</t>
        </is>
      </c>
      <c r="O14" s="2" t="inlineStr">
        <is>
          <t>只代表规定样本范围内的基础率；软证据存在时该值会被覆盖。</t>
        </is>
      </c>
    </row>
    <row r="15">
      <c r="A15" s="2" t="inlineStr">
        <is>
          <t>贝叶斯网络</t>
        </is>
      </c>
      <c r="B15" s="2" t="inlineStr">
        <is>
          <t>deception_disposition</t>
        </is>
      </c>
      <c r="C15" s="2" t="inlineStr">
        <is>
          <t>1.0.0</t>
        </is>
      </c>
      <c r="D15" s="2" t="inlineStr">
        <is>
          <t>property_disposition</t>
        </is>
      </c>
      <c r="E15" s="2" t="inlineStr">
        <is>
          <t>prior</t>
        </is>
      </c>
      <c r="F15" s="2" t="inlineStr"/>
      <c r="G15" s="2" t="n">
        <v>0.2</v>
      </c>
      <c r="H15" s="2" t="inlineStr">
        <is>
          <t>可以，需验证</t>
        </is>
      </c>
      <c r="I15" s="2" t="inlineStr">
        <is>
          <t>该节点独立核验为真/假/未知的数量；明确样本范围和数据批次。</t>
        </is>
      </c>
      <c r="J15" s="2" t="inlineStr">
        <is>
          <t>真数/(真数+假数)，未知不进分母；用Beta(Alpha,Beta)平滑。</t>
        </is>
      </c>
      <c r="K15" s="2" t="inlineStr">
        <is>
          <t>Beta-Binomial后验</t>
        </is>
      </c>
      <c r="L15" s="2" t="inlineStr">
        <is>
          <t>有效样本&lt;30仅描述；真或假任一&lt;10不得发布。</t>
        </is>
      </c>
      <c r="M15" s="2" t="inlineStr">
        <is>
          <t>config/bayesian_models/deception_disposition_v1.json -&gt; nodes[property_disposition].prior</t>
        </is>
      </c>
      <c r="N15" s="2" t="inlineStr">
        <is>
          <t>否</t>
        </is>
      </c>
      <c r="O15" s="2" t="inlineStr">
        <is>
          <t>只代表规定样本范围内的基础率；软证据存在时该值会被覆盖。</t>
        </is>
      </c>
    </row>
    <row r="16">
      <c r="A16" s="2" t="inlineStr">
        <is>
          <t>贝叶斯网络</t>
        </is>
      </c>
      <c r="B16" s="2" t="inlineStr">
        <is>
          <t>deception_disposition</t>
        </is>
      </c>
      <c r="C16" s="2" t="inlineStr">
        <is>
          <t>1.0.0</t>
        </is>
      </c>
      <c r="D16" s="2" t="inlineStr">
        <is>
          <t>property_loss</t>
        </is>
      </c>
      <c r="E16" s="2" t="inlineStr">
        <is>
          <t>prior</t>
        </is>
      </c>
      <c r="F16" s="2" t="inlineStr"/>
      <c r="G16" s="2" t="n">
        <v>0.2</v>
      </c>
      <c r="H16" s="2" t="inlineStr">
        <is>
          <t>可以，需验证</t>
        </is>
      </c>
      <c r="I16" s="2" t="inlineStr">
        <is>
          <t>该节点独立核验为真/假/未知的数量；明确样本范围和数据批次。</t>
        </is>
      </c>
      <c r="J16" s="2" t="inlineStr">
        <is>
          <t>真数/(真数+假数)，未知不进分母；用Beta(Alpha,Beta)平滑。</t>
        </is>
      </c>
      <c r="K16" s="2" t="inlineStr">
        <is>
          <t>Beta-Binomial后验</t>
        </is>
      </c>
      <c r="L16" s="2" t="inlineStr">
        <is>
          <t>有效样本&lt;30仅描述；真或假任一&lt;10不得发布。</t>
        </is>
      </c>
      <c r="M16" s="2" t="inlineStr">
        <is>
          <t>config/bayesian_models/deception_disposition_v1.json -&gt; nodes[property_loss].prior</t>
        </is>
      </c>
      <c r="N16" s="2" t="inlineStr">
        <is>
          <t>否</t>
        </is>
      </c>
      <c r="O16" s="2" t="inlineStr">
        <is>
          <t>只代表规定样本范围内的基础率；软证据存在时该值会被覆盖。</t>
        </is>
      </c>
    </row>
    <row r="17">
      <c r="A17" s="2" t="inlineStr">
        <is>
          <t>贝叶斯网络</t>
        </is>
      </c>
      <c r="B17" s="2" t="inlineStr">
        <is>
          <t>deception_disposition</t>
        </is>
      </c>
      <c r="C17" s="2" t="inlineStr">
        <is>
          <t>1.0.0</t>
        </is>
      </c>
      <c r="D17" s="2" t="inlineStr">
        <is>
          <t>alternative_explanation</t>
        </is>
      </c>
      <c r="E17" s="2" t="inlineStr">
        <is>
          <t>prior</t>
        </is>
      </c>
      <c r="F17" s="2" t="inlineStr"/>
      <c r="G17" s="2" t="n">
        <v>0.2</v>
      </c>
      <c r="H17" s="2" t="inlineStr">
        <is>
          <t>可以，需验证</t>
        </is>
      </c>
      <c r="I17" s="2" t="inlineStr">
        <is>
          <t>该节点独立核验为真/假/未知的数量；明确样本范围和数据批次。</t>
        </is>
      </c>
      <c r="J17" s="2" t="inlineStr">
        <is>
          <t>真数/(真数+假数)，未知不进分母；用Beta(Alpha,Beta)平滑。</t>
        </is>
      </c>
      <c r="K17" s="2" t="inlineStr">
        <is>
          <t>Beta-Binomial后验</t>
        </is>
      </c>
      <c r="L17" s="2" t="inlineStr">
        <is>
          <t>有效样本&lt;30仅描述；真或假任一&lt;10不得发布。</t>
        </is>
      </c>
      <c r="M17" s="2" t="inlineStr">
        <is>
          <t>config/bayesian_models/deception_disposition_v1.json -&gt; nodes[alternative_explanation].prior</t>
        </is>
      </c>
      <c r="N17" s="2" t="inlineStr">
        <is>
          <t>否</t>
        </is>
      </c>
      <c r="O17" s="2" t="inlineStr">
        <is>
          <t>只代表规定样本范围内的基础率；软证据存在时该值会被覆盖。</t>
        </is>
      </c>
    </row>
    <row r="18">
      <c r="A18" s="2" t="inlineStr">
        <is>
          <t>贝叶斯网络</t>
        </is>
      </c>
      <c r="B18" s="2" t="inlineStr">
        <is>
          <t>deception_disposition</t>
        </is>
      </c>
      <c r="C18" s="2" t="inlineStr">
        <is>
          <t>1.0.0</t>
        </is>
      </c>
      <c r="D18" s="2" t="inlineStr">
        <is>
          <t>disposition_link</t>
        </is>
      </c>
      <c r="E18" s="2" t="inlineStr">
        <is>
          <t>intercept</t>
        </is>
      </c>
      <c r="F18" s="2" t="inlineStr"/>
      <c r="G18" s="2" t="n">
        <v>-2.4</v>
      </c>
      <c r="H18" s="2" t="inlineStr">
        <is>
          <t>可以，但必须拟合</t>
        </is>
      </c>
      <c r="I18" s="2" t="inlineStr">
        <is>
          <t>每条样本的全部父节点值、子节点独立真值、样本权重和训练/验证划分。</t>
        </is>
      </c>
      <c r="J18" s="2" t="inlineStr">
        <is>
          <t>一行一个事件；父节点0~1，子节点真/假；未知不进入拟合。</t>
        </is>
      </c>
      <c r="K18" s="2" t="inlineStr">
        <is>
          <t>带正则化的加权二项逻辑回归</t>
        </is>
      </c>
      <c r="L18" s="2" t="inlineStr">
        <is>
          <t>至少保留独立验证集；每个结果类别建议不少于10×6条，仅作预警。</t>
        </is>
      </c>
      <c r="M18" s="2" t="inlineStr">
        <is>
          <t>config/bayesian_models/deception_disposition_v1.json -&gt; nodes[disposition_link].intercept</t>
        </is>
      </c>
      <c r="N18" s="2" t="inlineStr">
        <is>
          <t>否</t>
        </is>
      </c>
      <c r="O18" s="2" t="inlineStr">
        <is>
          <t>不能由单个比例手工换算。</t>
        </is>
      </c>
    </row>
    <row r="19">
      <c r="A19" s="2" t="inlineStr">
        <is>
          <t>贝叶斯网络</t>
        </is>
      </c>
      <c r="B19" s="2" t="inlineStr">
        <is>
          <t>deception_disposition</t>
        </is>
      </c>
      <c r="C19" s="2" t="inlineStr">
        <is>
          <t>1.0.0</t>
        </is>
      </c>
      <c r="D19" s="2" t="inlineStr">
        <is>
          <t>disposition_link</t>
        </is>
      </c>
      <c r="E19" s="2" t="inlineStr">
        <is>
          <t>weight</t>
        </is>
      </c>
      <c r="F19" s="2" t="inlineStr">
        <is>
          <t>deceptive_representation</t>
        </is>
      </c>
      <c r="G19" s="2" t="n">
        <v>1.4</v>
      </c>
      <c r="H19" s="2" t="inlineStr">
        <is>
          <t>可以，但必须拟合</t>
        </is>
      </c>
      <c r="I19" s="2" t="inlineStr">
        <is>
          <t>与intercept相同；还要检查父节点共线性、缺失和类别不平衡。</t>
        </is>
      </c>
      <c r="J19" s="2" t="inlineStr">
        <is>
          <t>用所有父节点同时拟合，不能逐个父节点分别算比例后直接当权重。</t>
        </is>
      </c>
      <c r="K19" s="2" t="inlineStr">
        <is>
          <t>带正则化的加权二项逻辑回归</t>
        </is>
      </c>
      <c r="L19" s="2" t="inlineStr">
        <is>
          <t>至少保留独立验证集；每个结果类别建议不少于10×6条，仅作预警。</t>
        </is>
      </c>
      <c r="M19" s="2" t="inlineStr">
        <is>
          <t>config/bayesian_models/deception_disposition_v1.json -&gt; nodes[disposition_link].weights.deceptive_representation</t>
        </is>
      </c>
      <c r="N19" s="2" t="inlineStr">
        <is>
          <t>否</t>
        </is>
      </c>
      <c r="O19" s="2" t="inlineStr">
        <is>
          <t>方向变化必须由领域专家复核。</t>
        </is>
      </c>
    </row>
    <row r="20">
      <c r="A20" s="2" t="inlineStr">
        <is>
          <t>贝叶斯网络</t>
        </is>
      </c>
      <c r="B20" s="2" t="inlineStr">
        <is>
          <t>deception_disposition</t>
        </is>
      </c>
      <c r="C20" s="2" t="inlineStr">
        <is>
          <t>1.0.0</t>
        </is>
      </c>
      <c r="D20" s="2" t="inlineStr">
        <is>
          <t>disposition_link</t>
        </is>
      </c>
      <c r="E20" s="2" t="inlineStr">
        <is>
          <t>weight</t>
        </is>
      </c>
      <c r="F20" s="2" t="inlineStr">
        <is>
          <t>mistaken_belief</t>
        </is>
      </c>
      <c r="G20" s="2" t="n">
        <v>1.2</v>
      </c>
      <c r="H20" s="2" t="inlineStr">
        <is>
          <t>可以，但必须拟合</t>
        </is>
      </c>
      <c r="I20" s="2" t="inlineStr">
        <is>
          <t>与intercept相同；还要检查父节点共线性、缺失和类别不平衡。</t>
        </is>
      </c>
      <c r="J20" s="2" t="inlineStr">
        <is>
          <t>用所有父节点同时拟合，不能逐个父节点分别算比例后直接当权重。</t>
        </is>
      </c>
      <c r="K20" s="2" t="inlineStr">
        <is>
          <t>带正则化的加权二项逻辑回归</t>
        </is>
      </c>
      <c r="L20" s="2" t="inlineStr">
        <is>
          <t>至少保留独立验证集；每个结果类别建议不少于10×6条，仅作预警。</t>
        </is>
      </c>
      <c r="M20" s="2" t="inlineStr">
        <is>
          <t>config/bayesian_models/deception_disposition_v1.json -&gt; nodes[disposition_link].weights.mistaken_belief</t>
        </is>
      </c>
      <c r="N20" s="2" t="inlineStr">
        <is>
          <t>否</t>
        </is>
      </c>
      <c r="O20" s="2" t="inlineStr">
        <is>
          <t>方向变化必须由领域专家复核。</t>
        </is>
      </c>
    </row>
    <row r="21">
      <c r="A21" s="2" t="inlineStr">
        <is>
          <t>贝叶斯网络</t>
        </is>
      </c>
      <c r="B21" s="2" t="inlineStr">
        <is>
          <t>deception_disposition</t>
        </is>
      </c>
      <c r="C21" s="2" t="inlineStr">
        <is>
          <t>1.0.0</t>
        </is>
      </c>
      <c r="D21" s="2" t="inlineStr">
        <is>
          <t>disposition_link</t>
        </is>
      </c>
      <c r="E21" s="2" t="inlineStr">
        <is>
          <t>weight</t>
        </is>
      </c>
      <c r="F21" s="2" t="inlineStr">
        <is>
          <t>property_disposition</t>
        </is>
      </c>
      <c r="G21" s="2" t="n">
        <v>1.4</v>
      </c>
      <c r="H21" s="2" t="inlineStr">
        <is>
          <t>可以，但必须拟合</t>
        </is>
      </c>
      <c r="I21" s="2" t="inlineStr">
        <is>
          <t>与intercept相同；还要检查父节点共线性、缺失和类别不平衡。</t>
        </is>
      </c>
      <c r="J21" s="2" t="inlineStr">
        <is>
          <t>用所有父节点同时拟合，不能逐个父节点分别算比例后直接当权重。</t>
        </is>
      </c>
      <c r="K21" s="2" t="inlineStr">
        <is>
          <t>带正则化的加权二项逻辑回归</t>
        </is>
      </c>
      <c r="L21" s="2" t="inlineStr">
        <is>
          <t>至少保留独立验证集；每个结果类别建议不少于10×6条，仅作预警。</t>
        </is>
      </c>
      <c r="M21" s="2" t="inlineStr">
        <is>
          <t>config/bayesian_models/deception_disposition_v1.json -&gt; nodes[disposition_link].weights.property_disposition</t>
        </is>
      </c>
      <c r="N21" s="2" t="inlineStr">
        <is>
          <t>否</t>
        </is>
      </c>
      <c r="O21" s="2" t="inlineStr">
        <is>
          <t>方向变化必须由领域专家复核。</t>
        </is>
      </c>
    </row>
    <row r="22">
      <c r="A22" s="2" t="inlineStr">
        <is>
          <t>贝叶斯网络</t>
        </is>
      </c>
      <c r="B22" s="2" t="inlineStr">
        <is>
          <t>deception_disposition</t>
        </is>
      </c>
      <c r="C22" s="2" t="inlineStr">
        <is>
          <t>1.0.0</t>
        </is>
      </c>
      <c r="D22" s="2" t="inlineStr">
        <is>
          <t>disposition_link</t>
        </is>
      </c>
      <c r="E22" s="2" t="inlineStr">
        <is>
          <t>weight</t>
        </is>
      </c>
      <c r="F22" s="2" t="inlineStr">
        <is>
          <t>property_loss</t>
        </is>
      </c>
      <c r="G22" s="2" t="n">
        <v>0.8</v>
      </c>
      <c r="H22" s="2" t="inlineStr">
        <is>
          <t>可以，但必须拟合</t>
        </is>
      </c>
      <c r="I22" s="2" t="inlineStr">
        <is>
          <t>与intercept相同；还要检查父节点共线性、缺失和类别不平衡。</t>
        </is>
      </c>
      <c r="J22" s="2" t="inlineStr">
        <is>
          <t>用所有父节点同时拟合，不能逐个父节点分别算比例后直接当权重。</t>
        </is>
      </c>
      <c r="K22" s="2" t="inlineStr">
        <is>
          <t>带正则化的加权二项逻辑回归</t>
        </is>
      </c>
      <c r="L22" s="2" t="inlineStr">
        <is>
          <t>至少保留独立验证集；每个结果类别建议不少于10×6条，仅作预警。</t>
        </is>
      </c>
      <c r="M22" s="2" t="inlineStr">
        <is>
          <t>config/bayesian_models/deception_disposition_v1.json -&gt; nodes[disposition_link].weights.property_loss</t>
        </is>
      </c>
      <c r="N22" s="2" t="inlineStr">
        <is>
          <t>否</t>
        </is>
      </c>
      <c r="O22" s="2" t="inlineStr">
        <is>
          <t>方向变化必须由领域专家复核。</t>
        </is>
      </c>
    </row>
    <row r="23">
      <c r="A23" s="2" t="inlineStr">
        <is>
          <t>贝叶斯网络</t>
        </is>
      </c>
      <c r="B23" s="2" t="inlineStr">
        <is>
          <t>deception_disposition</t>
        </is>
      </c>
      <c r="C23" s="2" t="inlineStr">
        <is>
          <t>1.0.0</t>
        </is>
      </c>
      <c r="D23" s="2" t="inlineStr">
        <is>
          <t>disposition_link</t>
        </is>
      </c>
      <c r="E23" s="2" t="inlineStr">
        <is>
          <t>weight</t>
        </is>
      </c>
      <c r="F23" s="2" t="inlineStr">
        <is>
          <t>alternative_explanation</t>
        </is>
      </c>
      <c r="G23" s="2" t="n">
        <v>-1.6</v>
      </c>
      <c r="H23" s="2" t="inlineStr">
        <is>
          <t>可以，但必须拟合</t>
        </is>
      </c>
      <c r="I23" s="2" t="inlineStr">
        <is>
          <t>与intercept相同；还要检查父节点共线性、缺失和类别不平衡。</t>
        </is>
      </c>
      <c r="J23" s="2" t="inlineStr">
        <is>
          <t>用所有父节点同时拟合，不能逐个父节点分别算比例后直接当权重。</t>
        </is>
      </c>
      <c r="K23" s="2" t="inlineStr">
        <is>
          <t>带正则化的加权二项逻辑回归</t>
        </is>
      </c>
      <c r="L23" s="2" t="inlineStr">
        <is>
          <t>至少保留独立验证集；每个结果类别建议不少于10×6条，仅作预警。</t>
        </is>
      </c>
      <c r="M23" s="2" t="inlineStr">
        <is>
          <t>config/bayesian_models/deception_disposition_v1.json -&gt; nodes[disposition_link].weights.alternative_explanation</t>
        </is>
      </c>
      <c r="N23" s="2" t="inlineStr">
        <is>
          <t>否</t>
        </is>
      </c>
      <c r="O23" s="2" t="inlineStr">
        <is>
          <t>方向变化必须由领域专家复核。</t>
        </is>
      </c>
    </row>
    <row r="24">
      <c r="A24" s="2" t="inlineStr">
        <is>
          <t>贝叶斯网络</t>
        </is>
      </c>
      <c r="B24" s="2" t="inlineStr">
        <is>
          <t>property_taking</t>
        </is>
      </c>
      <c r="C24" s="2" t="inlineStr">
        <is>
          <t>1</t>
        </is>
      </c>
      <c r="D24" s="2" t="inlineStr">
        <is>
          <t>prior_possession</t>
        </is>
      </c>
      <c r="E24" s="2" t="inlineStr">
        <is>
          <t>prior</t>
        </is>
      </c>
      <c r="F24" s="2" t="inlineStr"/>
      <c r="G24" s="2" t="n">
        <v>0.2</v>
      </c>
      <c r="H24" s="2" t="inlineStr">
        <is>
          <t>可以，需验证</t>
        </is>
      </c>
      <c r="I24" s="2" t="inlineStr">
        <is>
          <t>该节点独立核验为真/假/未知的数量；明确样本范围和数据批次。</t>
        </is>
      </c>
      <c r="J24" s="2" t="inlineStr">
        <is>
          <t>真数/(真数+假数)，未知不进分母；用Beta(Alpha,Beta)平滑。</t>
        </is>
      </c>
      <c r="K24" s="2" t="inlineStr">
        <is>
          <t>Beta-Binomial后验</t>
        </is>
      </c>
      <c r="L24" s="2" t="inlineStr">
        <is>
          <t>有效样本&lt;30仅描述；真或假任一&lt;10不得发布。</t>
        </is>
      </c>
      <c r="M24" s="2" t="inlineStr">
        <is>
          <t>config/bayesian_models/property_taking_v1.json -&gt; nodes[prior_possession].prior</t>
        </is>
      </c>
      <c r="N24" s="2" t="inlineStr">
        <is>
          <t>否</t>
        </is>
      </c>
      <c r="O24" s="2" t="inlineStr">
        <is>
          <t>只代表规定样本范围内的基础率；软证据存在时该值会被覆盖。</t>
        </is>
      </c>
    </row>
    <row r="25">
      <c r="A25" s="2" t="inlineStr">
        <is>
          <t>贝叶斯网络</t>
        </is>
      </c>
      <c r="B25" s="2" t="inlineStr">
        <is>
          <t>property_taking</t>
        </is>
      </c>
      <c r="C25" s="2" t="inlineStr">
        <is>
          <t>1</t>
        </is>
      </c>
      <c r="D25" s="2" t="inlineStr">
        <is>
          <t>taking_action</t>
        </is>
      </c>
      <c r="E25" s="2" t="inlineStr">
        <is>
          <t>prior</t>
        </is>
      </c>
      <c r="F25" s="2" t="inlineStr"/>
      <c r="G25" s="2" t="n">
        <v>0.1</v>
      </c>
      <c r="H25" s="2" t="inlineStr">
        <is>
          <t>可以，需验证</t>
        </is>
      </c>
      <c r="I25" s="2" t="inlineStr">
        <is>
          <t>该节点独立核验为真/假/未知的数量；明确样本范围和数据批次。</t>
        </is>
      </c>
      <c r="J25" s="2" t="inlineStr">
        <is>
          <t>真数/(真数+假数)，未知不进分母；用Beta(Alpha,Beta)平滑。</t>
        </is>
      </c>
      <c r="K25" s="2" t="inlineStr">
        <is>
          <t>Beta-Binomial后验</t>
        </is>
      </c>
      <c r="L25" s="2" t="inlineStr">
        <is>
          <t>有效样本&lt;30仅描述；真或假任一&lt;10不得发布。</t>
        </is>
      </c>
      <c r="M25" s="2" t="inlineStr">
        <is>
          <t>config/bayesian_models/property_taking_v1.json -&gt; nodes[taking_action].prior</t>
        </is>
      </c>
      <c r="N25" s="2" t="inlineStr">
        <is>
          <t>否</t>
        </is>
      </c>
      <c r="O25" s="2" t="inlineStr">
        <is>
          <t>只代表规定样本范围内的基础率；软证据存在时该值会被覆盖。</t>
        </is>
      </c>
    </row>
    <row r="26">
      <c r="A26" s="2" t="inlineStr">
        <is>
          <t>贝叶斯网络</t>
        </is>
      </c>
      <c r="B26" s="2" t="inlineStr">
        <is>
          <t>property_taking</t>
        </is>
      </c>
      <c r="C26" s="2" t="inlineStr">
        <is>
          <t>1</t>
        </is>
      </c>
      <c r="D26" s="2" t="inlineStr">
        <is>
          <t>possession_transfer</t>
        </is>
      </c>
      <c r="E26" s="2" t="inlineStr">
        <is>
          <t>prior</t>
        </is>
      </c>
      <c r="F26" s="2" t="inlineStr"/>
      <c r="G26" s="2" t="n">
        <v>0.1</v>
      </c>
      <c r="H26" s="2" t="inlineStr">
        <is>
          <t>可以，需验证</t>
        </is>
      </c>
      <c r="I26" s="2" t="inlineStr">
        <is>
          <t>该节点独立核验为真/假/未知的数量；明确样本范围和数据批次。</t>
        </is>
      </c>
      <c r="J26" s="2" t="inlineStr">
        <is>
          <t>真数/(真数+假数)，未知不进分母；用Beta(Alpha,Beta)平滑。</t>
        </is>
      </c>
      <c r="K26" s="2" t="inlineStr">
        <is>
          <t>Beta-Binomial后验</t>
        </is>
      </c>
      <c r="L26" s="2" t="inlineStr">
        <is>
          <t>有效样本&lt;30仅描述；真或假任一&lt;10不得发布。</t>
        </is>
      </c>
      <c r="M26" s="2" t="inlineStr">
        <is>
          <t>config/bayesian_models/property_taking_v1.json -&gt; nodes[possession_transfer].prior</t>
        </is>
      </c>
      <c r="N26" s="2" t="inlineStr">
        <is>
          <t>否</t>
        </is>
      </c>
      <c r="O26" s="2" t="inlineStr">
        <is>
          <t>只代表规定样本范围内的基础率；软证据存在时该值会被覆盖。</t>
        </is>
      </c>
    </row>
    <row r="27">
      <c r="A27" s="2" t="inlineStr">
        <is>
          <t>贝叶斯网络</t>
        </is>
      </c>
      <c r="B27" s="2" t="inlineStr">
        <is>
          <t>property_taking</t>
        </is>
      </c>
      <c r="C27" s="2" t="inlineStr">
        <is>
          <t>1</t>
        </is>
      </c>
      <c r="D27" s="2" t="inlineStr">
        <is>
          <t>property_trace</t>
        </is>
      </c>
      <c r="E27" s="2" t="inlineStr">
        <is>
          <t>prior</t>
        </is>
      </c>
      <c r="F27" s="2" t="inlineStr"/>
      <c r="G27" s="2" t="n">
        <v>0.2</v>
      </c>
      <c r="H27" s="2" t="inlineStr">
        <is>
          <t>可以，需验证</t>
        </is>
      </c>
      <c r="I27" s="2" t="inlineStr">
        <is>
          <t>该节点独立核验为真/假/未知的数量；明确样本范围和数据批次。</t>
        </is>
      </c>
      <c r="J27" s="2" t="inlineStr">
        <is>
          <t>真数/(真数+假数)，未知不进分母；用Beta(Alpha,Beta)平滑。</t>
        </is>
      </c>
      <c r="K27" s="2" t="inlineStr">
        <is>
          <t>Beta-Binomial后验</t>
        </is>
      </c>
      <c r="L27" s="2" t="inlineStr">
        <is>
          <t>有效样本&lt;30仅描述；真或假任一&lt;10不得发布。</t>
        </is>
      </c>
      <c r="M27" s="2" t="inlineStr">
        <is>
          <t>config/bayesian_models/property_taking_v1.json -&gt; nodes[property_trace].prior</t>
        </is>
      </c>
      <c r="N27" s="2" t="inlineStr">
        <is>
          <t>否</t>
        </is>
      </c>
      <c r="O27" s="2" t="inlineStr">
        <is>
          <t>只代表规定样本范围内的基础率；软证据存在时该值会被覆盖。</t>
        </is>
      </c>
    </row>
    <row r="28">
      <c r="A28" s="2" t="inlineStr">
        <is>
          <t>贝叶斯网络</t>
        </is>
      </c>
      <c r="B28" s="2" t="inlineStr">
        <is>
          <t>property_taking</t>
        </is>
      </c>
      <c r="C28" s="2" t="inlineStr">
        <is>
          <t>1</t>
        </is>
      </c>
      <c r="D28" s="2" t="inlineStr">
        <is>
          <t>alternative_explanation</t>
        </is>
      </c>
      <c r="E28" s="2" t="inlineStr">
        <is>
          <t>prior</t>
        </is>
      </c>
      <c r="F28" s="2" t="inlineStr"/>
      <c r="G28" s="2" t="n">
        <v>0.2</v>
      </c>
      <c r="H28" s="2" t="inlineStr">
        <is>
          <t>可以，需验证</t>
        </is>
      </c>
      <c r="I28" s="2" t="inlineStr">
        <is>
          <t>该节点独立核验为真/假/未知的数量；明确样本范围和数据批次。</t>
        </is>
      </c>
      <c r="J28" s="2" t="inlineStr">
        <is>
          <t>真数/(真数+假数)，未知不进分母；用Beta(Alpha,Beta)平滑。</t>
        </is>
      </c>
      <c r="K28" s="2" t="inlineStr">
        <is>
          <t>Beta-Binomial后验</t>
        </is>
      </c>
      <c r="L28" s="2" t="inlineStr">
        <is>
          <t>有效样本&lt;30仅描述；真或假任一&lt;10不得发布。</t>
        </is>
      </c>
      <c r="M28" s="2" t="inlineStr">
        <is>
          <t>config/bayesian_models/property_taking_v1.json -&gt; nodes[alternative_explanation].prior</t>
        </is>
      </c>
      <c r="N28" s="2" t="inlineStr">
        <is>
          <t>否</t>
        </is>
      </c>
      <c r="O28" s="2" t="inlineStr">
        <is>
          <t>只代表规定样本范围内的基础率；软证据存在时该值会被覆盖。</t>
        </is>
      </c>
    </row>
    <row r="29">
      <c r="A29" s="2" t="inlineStr">
        <is>
          <t>贝叶斯网络</t>
        </is>
      </c>
      <c r="B29" s="2" t="inlineStr">
        <is>
          <t>property_taking</t>
        </is>
      </c>
      <c r="C29" s="2" t="inlineStr">
        <is>
          <t>1</t>
        </is>
      </c>
      <c r="D29" s="2" t="inlineStr">
        <is>
          <t>taking_supported</t>
        </is>
      </c>
      <c r="E29" s="2" t="inlineStr">
        <is>
          <t>intercept</t>
        </is>
      </c>
      <c r="F29" s="2" t="inlineStr"/>
      <c r="G29" s="2" t="n">
        <v>-3</v>
      </c>
      <c r="H29" s="2" t="inlineStr">
        <is>
          <t>可以，但必须拟合</t>
        </is>
      </c>
      <c r="I29" s="2" t="inlineStr">
        <is>
          <t>每条样本的全部父节点值、子节点独立真值、样本权重和训练/验证划分。</t>
        </is>
      </c>
      <c r="J29" s="2" t="inlineStr">
        <is>
          <t>一行一个事件；父节点0~1，子节点真/假；未知不进入拟合。</t>
        </is>
      </c>
      <c r="K29" s="2" t="inlineStr">
        <is>
          <t>带正则化的加权二项逻辑回归</t>
        </is>
      </c>
      <c r="L29" s="2" t="inlineStr">
        <is>
          <t>至少保留独立验证集；每个结果类别建议不少于10×6条，仅作预警。</t>
        </is>
      </c>
      <c r="M29" s="2" t="inlineStr">
        <is>
          <t>config/bayesian_models/property_taking_v1.json -&gt; nodes[taking_supported].intercept</t>
        </is>
      </c>
      <c r="N29" s="2" t="inlineStr">
        <is>
          <t>否</t>
        </is>
      </c>
      <c r="O29" s="2" t="inlineStr">
        <is>
          <t>不能由单个比例手工换算。</t>
        </is>
      </c>
    </row>
    <row r="30">
      <c r="A30" s="2" t="inlineStr">
        <is>
          <t>贝叶斯网络</t>
        </is>
      </c>
      <c r="B30" s="2" t="inlineStr">
        <is>
          <t>property_taking</t>
        </is>
      </c>
      <c r="C30" s="2" t="inlineStr">
        <is>
          <t>1</t>
        </is>
      </c>
      <c r="D30" s="2" t="inlineStr">
        <is>
          <t>taking_supported</t>
        </is>
      </c>
      <c r="E30" s="2" t="inlineStr">
        <is>
          <t>weight</t>
        </is>
      </c>
      <c r="F30" s="2" t="inlineStr">
        <is>
          <t>prior_possession</t>
        </is>
      </c>
      <c r="G30" s="2" t="n">
        <v>0.7</v>
      </c>
      <c r="H30" s="2" t="inlineStr">
        <is>
          <t>可以，但必须拟合</t>
        </is>
      </c>
      <c r="I30" s="2" t="inlineStr">
        <is>
          <t>与intercept相同；还要检查父节点共线性、缺失和类别不平衡。</t>
        </is>
      </c>
      <c r="J30" s="2" t="inlineStr">
        <is>
          <t>用所有父节点同时拟合，不能逐个父节点分别算比例后直接当权重。</t>
        </is>
      </c>
      <c r="K30" s="2" t="inlineStr">
        <is>
          <t>带正则化的加权二项逻辑回归</t>
        </is>
      </c>
      <c r="L30" s="2" t="inlineStr">
        <is>
          <t>至少保留独立验证集；每个结果类别建议不少于10×6条，仅作预警。</t>
        </is>
      </c>
      <c r="M30" s="2" t="inlineStr">
        <is>
          <t>config/bayesian_models/property_taking_v1.json -&gt; nodes[taking_supported].weights.prior_possession</t>
        </is>
      </c>
      <c r="N30" s="2" t="inlineStr">
        <is>
          <t>否</t>
        </is>
      </c>
      <c r="O30" s="2" t="inlineStr">
        <is>
          <t>方向变化必须由领域专家复核。</t>
        </is>
      </c>
    </row>
    <row r="31">
      <c r="A31" s="2" t="inlineStr">
        <is>
          <t>贝叶斯网络</t>
        </is>
      </c>
      <c r="B31" s="2" t="inlineStr">
        <is>
          <t>property_taking</t>
        </is>
      </c>
      <c r="C31" s="2" t="inlineStr">
        <is>
          <t>1</t>
        </is>
      </c>
      <c r="D31" s="2" t="inlineStr">
        <is>
          <t>taking_supported</t>
        </is>
      </c>
      <c r="E31" s="2" t="inlineStr">
        <is>
          <t>weight</t>
        </is>
      </c>
      <c r="F31" s="2" t="inlineStr">
        <is>
          <t>taking_action</t>
        </is>
      </c>
      <c r="G31" s="2" t="n">
        <v>2</v>
      </c>
      <c r="H31" s="2" t="inlineStr">
        <is>
          <t>可以，但必须拟合</t>
        </is>
      </c>
      <c r="I31" s="2" t="inlineStr">
        <is>
          <t>与intercept相同；还要检查父节点共线性、缺失和类别不平衡。</t>
        </is>
      </c>
      <c r="J31" s="2" t="inlineStr">
        <is>
          <t>用所有父节点同时拟合，不能逐个父节点分别算比例后直接当权重。</t>
        </is>
      </c>
      <c r="K31" s="2" t="inlineStr">
        <is>
          <t>带正则化的加权二项逻辑回归</t>
        </is>
      </c>
      <c r="L31" s="2" t="inlineStr">
        <is>
          <t>至少保留独立验证集；每个结果类别建议不少于10×6条，仅作预警。</t>
        </is>
      </c>
      <c r="M31" s="2" t="inlineStr">
        <is>
          <t>config/bayesian_models/property_taking_v1.json -&gt; nodes[taking_supported].weights.taking_action</t>
        </is>
      </c>
      <c r="N31" s="2" t="inlineStr">
        <is>
          <t>否</t>
        </is>
      </c>
      <c r="O31" s="2" t="inlineStr">
        <is>
          <t>方向变化必须由领域专家复核。</t>
        </is>
      </c>
    </row>
    <row r="32">
      <c r="A32" s="2" t="inlineStr">
        <is>
          <t>贝叶斯网络</t>
        </is>
      </c>
      <c r="B32" s="2" t="inlineStr">
        <is>
          <t>property_taking</t>
        </is>
      </c>
      <c r="C32" s="2" t="inlineStr">
        <is>
          <t>1</t>
        </is>
      </c>
      <c r="D32" s="2" t="inlineStr">
        <is>
          <t>taking_supported</t>
        </is>
      </c>
      <c r="E32" s="2" t="inlineStr">
        <is>
          <t>weight</t>
        </is>
      </c>
      <c r="F32" s="2" t="inlineStr">
        <is>
          <t>possession_transfer</t>
        </is>
      </c>
      <c r="G32" s="2" t="n">
        <v>1.5</v>
      </c>
      <c r="H32" s="2" t="inlineStr">
        <is>
          <t>可以，但必须拟合</t>
        </is>
      </c>
      <c r="I32" s="2" t="inlineStr">
        <is>
          <t>与intercept相同；还要检查父节点共线性、缺失和类别不平衡。</t>
        </is>
      </c>
      <c r="J32" s="2" t="inlineStr">
        <is>
          <t>用所有父节点同时拟合，不能逐个父节点分别算比例后直接当权重。</t>
        </is>
      </c>
      <c r="K32" s="2" t="inlineStr">
        <is>
          <t>带正则化的加权二项逻辑回归</t>
        </is>
      </c>
      <c r="L32" s="2" t="inlineStr">
        <is>
          <t>至少保留独立验证集；每个结果类别建议不少于10×6条，仅作预警。</t>
        </is>
      </c>
      <c r="M32" s="2" t="inlineStr">
        <is>
          <t>config/bayesian_models/property_taking_v1.json -&gt; nodes[taking_supported].weights.possession_transfer</t>
        </is>
      </c>
      <c r="N32" s="2" t="inlineStr">
        <is>
          <t>否</t>
        </is>
      </c>
      <c r="O32" s="2" t="inlineStr">
        <is>
          <t>方向变化必须由领域专家复核。</t>
        </is>
      </c>
    </row>
    <row r="33">
      <c r="A33" s="2" t="inlineStr">
        <is>
          <t>贝叶斯网络</t>
        </is>
      </c>
      <c r="B33" s="2" t="inlineStr">
        <is>
          <t>property_taking</t>
        </is>
      </c>
      <c r="C33" s="2" t="inlineStr">
        <is>
          <t>1</t>
        </is>
      </c>
      <c r="D33" s="2" t="inlineStr">
        <is>
          <t>taking_supported</t>
        </is>
      </c>
      <c r="E33" s="2" t="inlineStr">
        <is>
          <t>weight</t>
        </is>
      </c>
      <c r="F33" s="2" t="inlineStr">
        <is>
          <t>property_trace</t>
        </is>
      </c>
      <c r="G33" s="2" t="n">
        <v>1</v>
      </c>
      <c r="H33" s="2" t="inlineStr">
        <is>
          <t>可以，但必须拟合</t>
        </is>
      </c>
      <c r="I33" s="2" t="inlineStr">
        <is>
          <t>与intercept相同；还要检查父节点共线性、缺失和类别不平衡。</t>
        </is>
      </c>
      <c r="J33" s="2" t="inlineStr">
        <is>
          <t>用所有父节点同时拟合，不能逐个父节点分别算比例后直接当权重。</t>
        </is>
      </c>
      <c r="K33" s="2" t="inlineStr">
        <is>
          <t>带正则化的加权二项逻辑回归</t>
        </is>
      </c>
      <c r="L33" s="2" t="inlineStr">
        <is>
          <t>至少保留独立验证集；每个结果类别建议不少于10×6条，仅作预警。</t>
        </is>
      </c>
      <c r="M33" s="2" t="inlineStr">
        <is>
          <t>config/bayesian_models/property_taking_v1.json -&gt; nodes[taking_supported].weights.property_trace</t>
        </is>
      </c>
      <c r="N33" s="2" t="inlineStr">
        <is>
          <t>否</t>
        </is>
      </c>
      <c r="O33" s="2" t="inlineStr">
        <is>
          <t>方向变化必须由领域专家复核。</t>
        </is>
      </c>
    </row>
    <row r="34">
      <c r="A34" s="2" t="inlineStr">
        <is>
          <t>贝叶斯网络</t>
        </is>
      </c>
      <c r="B34" s="2" t="inlineStr">
        <is>
          <t>property_taking</t>
        </is>
      </c>
      <c r="C34" s="2" t="inlineStr">
        <is>
          <t>1</t>
        </is>
      </c>
      <c r="D34" s="2" t="inlineStr">
        <is>
          <t>taking_supported</t>
        </is>
      </c>
      <c r="E34" s="2" t="inlineStr">
        <is>
          <t>weight</t>
        </is>
      </c>
      <c r="F34" s="2" t="inlineStr">
        <is>
          <t>alternative_explanation</t>
        </is>
      </c>
      <c r="G34" s="2" t="n">
        <v>-2</v>
      </c>
      <c r="H34" s="2" t="inlineStr">
        <is>
          <t>可以，但必须拟合</t>
        </is>
      </c>
      <c r="I34" s="2" t="inlineStr">
        <is>
          <t>与intercept相同；还要检查父节点共线性、缺失和类别不平衡。</t>
        </is>
      </c>
      <c r="J34" s="2" t="inlineStr">
        <is>
          <t>用所有父节点同时拟合，不能逐个父节点分别算比例后直接当权重。</t>
        </is>
      </c>
      <c r="K34" s="2" t="inlineStr">
        <is>
          <t>带正则化的加权二项逻辑回归</t>
        </is>
      </c>
      <c r="L34" s="2" t="inlineStr">
        <is>
          <t>至少保留独立验证集；每个结果类别建议不少于10×6条，仅作预警。</t>
        </is>
      </c>
      <c r="M34" s="2" t="inlineStr">
        <is>
          <t>config/bayesian_models/property_taking_v1.json -&gt; nodes[taking_supported].weights.alternative_explanation</t>
        </is>
      </c>
      <c r="N34" s="2" t="inlineStr">
        <is>
          <t>否</t>
        </is>
      </c>
      <c r="O34" s="2" t="inlineStr">
        <is>
          <t>方向变化必须由领域专家复核。</t>
        </is>
      </c>
    </row>
    <row r="35">
      <c r="A35" s="2" t="inlineStr">
        <is>
          <t>贝叶斯网络</t>
        </is>
      </c>
      <c r="B35" s="2" t="inlineStr">
        <is>
          <t>public_order</t>
        </is>
      </c>
      <c r="C35" s="2" t="inlineStr">
        <is>
          <t>1</t>
        </is>
      </c>
      <c r="D35" s="2" t="inlineStr">
        <is>
          <t>conduct</t>
        </is>
      </c>
      <c r="E35" s="2" t="inlineStr">
        <is>
          <t>prior</t>
        </is>
      </c>
      <c r="F35" s="2" t="inlineStr"/>
      <c r="G35" s="2" t="n">
        <v>0.2</v>
      </c>
      <c r="H35" s="2" t="inlineStr">
        <is>
          <t>可以，需验证</t>
        </is>
      </c>
      <c r="I35" s="2" t="inlineStr">
        <is>
          <t>该节点独立核验为真/假/未知的数量；明确样本范围和数据批次。</t>
        </is>
      </c>
      <c r="J35" s="2" t="inlineStr">
        <is>
          <t>真数/(真数+假数)，未知不进分母；用Beta(Alpha,Beta)平滑。</t>
        </is>
      </c>
      <c r="K35" s="2" t="inlineStr">
        <is>
          <t>Beta-Binomial后验</t>
        </is>
      </c>
      <c r="L35" s="2" t="inlineStr">
        <is>
          <t>有效样本&lt;30仅描述；真或假任一&lt;10不得发布。</t>
        </is>
      </c>
      <c r="M35" s="2" t="inlineStr">
        <is>
          <t>config/bayesian_models/public_order_v1.json -&gt; nodes[conduct].prior</t>
        </is>
      </c>
      <c r="N35" s="2" t="inlineStr">
        <is>
          <t>否</t>
        </is>
      </c>
      <c r="O35" s="2" t="inlineStr">
        <is>
          <t>只代表规定样本范围内的基础率；软证据存在时该值会被覆盖。</t>
        </is>
      </c>
    </row>
    <row r="36">
      <c r="A36" s="2" t="inlineStr">
        <is>
          <t>贝叶斯网络</t>
        </is>
      </c>
      <c r="B36" s="2" t="inlineStr">
        <is>
          <t>public_order</t>
        </is>
      </c>
      <c r="C36" s="2" t="inlineStr">
        <is>
          <t>1</t>
        </is>
      </c>
      <c r="D36" s="2" t="inlineStr">
        <is>
          <t>public_context</t>
        </is>
      </c>
      <c r="E36" s="2" t="inlineStr">
        <is>
          <t>prior</t>
        </is>
      </c>
      <c r="F36" s="2" t="inlineStr"/>
      <c r="G36" s="2" t="n">
        <v>0.3</v>
      </c>
      <c r="H36" s="2" t="inlineStr">
        <is>
          <t>可以，需验证</t>
        </is>
      </c>
      <c r="I36" s="2" t="inlineStr">
        <is>
          <t>该节点独立核验为真/假/未知的数量；明确样本范围和数据批次。</t>
        </is>
      </c>
      <c r="J36" s="2" t="inlineStr">
        <is>
          <t>真数/(真数+假数)，未知不进分母；用Beta(Alpha,Beta)平滑。</t>
        </is>
      </c>
      <c r="K36" s="2" t="inlineStr">
        <is>
          <t>Beta-Binomial后验</t>
        </is>
      </c>
      <c r="L36" s="2" t="inlineStr">
        <is>
          <t>有效样本&lt;30仅描述；真或假任一&lt;10不得发布。</t>
        </is>
      </c>
      <c r="M36" s="2" t="inlineStr">
        <is>
          <t>config/bayesian_models/public_order_v1.json -&gt; nodes[public_context].prior</t>
        </is>
      </c>
      <c r="N36" s="2" t="inlineStr">
        <is>
          <t>否</t>
        </is>
      </c>
      <c r="O36" s="2" t="inlineStr">
        <is>
          <t>只代表规定样本范围内的基础率；软证据存在时该值会被覆盖。</t>
        </is>
      </c>
    </row>
    <row r="37">
      <c r="A37" s="2" t="inlineStr">
        <is>
          <t>贝叶斯网络</t>
        </is>
      </c>
      <c r="B37" s="2" t="inlineStr">
        <is>
          <t>public_order</t>
        </is>
      </c>
      <c r="C37" s="2" t="inlineStr">
        <is>
          <t>1</t>
        </is>
      </c>
      <c r="D37" s="2" t="inlineStr">
        <is>
          <t>operational_impact</t>
        </is>
      </c>
      <c r="E37" s="2" t="inlineStr">
        <is>
          <t>prior</t>
        </is>
      </c>
      <c r="F37" s="2" t="inlineStr"/>
      <c r="G37" s="2" t="n">
        <v>0.15</v>
      </c>
      <c r="H37" s="2" t="inlineStr">
        <is>
          <t>可以，需验证</t>
        </is>
      </c>
      <c r="I37" s="2" t="inlineStr">
        <is>
          <t>该节点独立核验为真/假/未知的数量；明确样本范围和数据批次。</t>
        </is>
      </c>
      <c r="J37" s="2" t="inlineStr">
        <is>
          <t>真数/(真数+假数)，未知不进分母；用Beta(Alpha,Beta)平滑。</t>
        </is>
      </c>
      <c r="K37" s="2" t="inlineStr">
        <is>
          <t>Beta-Binomial后验</t>
        </is>
      </c>
      <c r="L37" s="2" t="inlineStr">
        <is>
          <t>有效样本&lt;30仅描述；真或假任一&lt;10不得发布。</t>
        </is>
      </c>
      <c r="M37" s="2" t="inlineStr">
        <is>
          <t>config/bayesian_models/public_order_v1.json -&gt; nodes[operational_impact].prior</t>
        </is>
      </c>
      <c r="N37" s="2" t="inlineStr">
        <is>
          <t>否</t>
        </is>
      </c>
      <c r="O37" s="2" t="inlineStr">
        <is>
          <t>只代表规定样本范围内的基础率；软证据存在时该值会被覆盖。</t>
        </is>
      </c>
    </row>
    <row r="38">
      <c r="A38" s="2" t="inlineStr">
        <is>
          <t>贝叶斯网络</t>
        </is>
      </c>
      <c r="B38" s="2" t="inlineStr">
        <is>
          <t>public_order</t>
        </is>
      </c>
      <c r="C38" s="2" t="inlineStr">
        <is>
          <t>1</t>
        </is>
      </c>
      <c r="D38" s="2" t="inlineStr">
        <is>
          <t>persistence_or_group</t>
        </is>
      </c>
      <c r="E38" s="2" t="inlineStr">
        <is>
          <t>prior</t>
        </is>
      </c>
      <c r="F38" s="2" t="inlineStr"/>
      <c r="G38" s="2" t="n">
        <v>0.15</v>
      </c>
      <c r="H38" s="2" t="inlineStr">
        <is>
          <t>可以，需验证</t>
        </is>
      </c>
      <c r="I38" s="2" t="inlineStr">
        <is>
          <t>该节点独立核验为真/假/未知的数量；明确样本范围和数据批次。</t>
        </is>
      </c>
      <c r="J38" s="2" t="inlineStr">
        <is>
          <t>真数/(真数+假数)，未知不进分母；用Beta(Alpha,Beta)平滑。</t>
        </is>
      </c>
      <c r="K38" s="2" t="inlineStr">
        <is>
          <t>Beta-Binomial后验</t>
        </is>
      </c>
      <c r="L38" s="2" t="inlineStr">
        <is>
          <t>有效样本&lt;30仅描述；真或假任一&lt;10不得发布。</t>
        </is>
      </c>
      <c r="M38" s="2" t="inlineStr">
        <is>
          <t>config/bayesian_models/public_order_v1.json -&gt; nodes[persistence_or_group].prior</t>
        </is>
      </c>
      <c r="N38" s="2" t="inlineStr">
        <is>
          <t>否</t>
        </is>
      </c>
      <c r="O38" s="2" t="inlineStr">
        <is>
          <t>只代表规定样本范围内的基础率；软证据存在时该值会被覆盖。</t>
        </is>
      </c>
    </row>
    <row r="39">
      <c r="A39" s="2" t="inlineStr">
        <is>
          <t>贝叶斯网络</t>
        </is>
      </c>
      <c r="B39" s="2" t="inlineStr">
        <is>
          <t>public_order</t>
        </is>
      </c>
      <c r="C39" s="2" t="inlineStr">
        <is>
          <t>1</t>
        </is>
      </c>
      <c r="D39" s="2" t="inlineStr">
        <is>
          <t>order_disruption</t>
        </is>
      </c>
      <c r="E39" s="2" t="inlineStr">
        <is>
          <t>intercept</t>
        </is>
      </c>
      <c r="F39" s="2" t="inlineStr"/>
      <c r="G39" s="2" t="n">
        <v>-3</v>
      </c>
      <c r="H39" s="2" t="inlineStr">
        <is>
          <t>可以，但必须拟合</t>
        </is>
      </c>
      <c r="I39" s="2" t="inlineStr">
        <is>
          <t>每条样本的全部父节点值、子节点独立真值、样本权重和训练/验证划分。</t>
        </is>
      </c>
      <c r="J39" s="2" t="inlineStr">
        <is>
          <t>一行一个事件；父节点0~1，子节点真/假；未知不进入拟合。</t>
        </is>
      </c>
      <c r="K39" s="2" t="inlineStr">
        <is>
          <t>带正则化的加权二项逻辑回归</t>
        </is>
      </c>
      <c r="L39" s="2" t="inlineStr">
        <is>
          <t>至少保留独立验证集；每个结果类别建议不少于10×5条，仅作预警。</t>
        </is>
      </c>
      <c r="M39" s="2" t="inlineStr">
        <is>
          <t>config/bayesian_models/public_order_v1.json -&gt; nodes[order_disruption].intercept</t>
        </is>
      </c>
      <c r="N39" s="2" t="inlineStr">
        <is>
          <t>否</t>
        </is>
      </c>
      <c r="O39" s="2" t="inlineStr">
        <is>
          <t>不能由单个比例手工换算。</t>
        </is>
      </c>
    </row>
    <row r="40">
      <c r="A40" s="2" t="inlineStr">
        <is>
          <t>贝叶斯网络</t>
        </is>
      </c>
      <c r="B40" s="2" t="inlineStr">
        <is>
          <t>public_order</t>
        </is>
      </c>
      <c r="C40" s="2" t="inlineStr">
        <is>
          <t>1</t>
        </is>
      </c>
      <c r="D40" s="2" t="inlineStr">
        <is>
          <t>order_disruption</t>
        </is>
      </c>
      <c r="E40" s="2" t="inlineStr">
        <is>
          <t>weight</t>
        </is>
      </c>
      <c r="F40" s="2" t="inlineStr">
        <is>
          <t>conduct</t>
        </is>
      </c>
      <c r="G40" s="2" t="n">
        <v>1.8</v>
      </c>
      <c r="H40" s="2" t="inlineStr">
        <is>
          <t>可以，但必须拟合</t>
        </is>
      </c>
      <c r="I40" s="2" t="inlineStr">
        <is>
          <t>与intercept相同；还要检查父节点共线性、缺失和类别不平衡。</t>
        </is>
      </c>
      <c r="J40" s="2" t="inlineStr">
        <is>
          <t>用所有父节点同时拟合，不能逐个父节点分别算比例后直接当权重。</t>
        </is>
      </c>
      <c r="K40" s="2" t="inlineStr">
        <is>
          <t>带正则化的加权二项逻辑回归</t>
        </is>
      </c>
      <c r="L40" s="2" t="inlineStr">
        <is>
          <t>至少保留独立验证集；每个结果类别建议不少于10×5条，仅作预警。</t>
        </is>
      </c>
      <c r="M40" s="2" t="inlineStr">
        <is>
          <t>config/bayesian_models/public_order_v1.json -&gt; nodes[order_disruption].weights.conduct</t>
        </is>
      </c>
      <c r="N40" s="2" t="inlineStr">
        <is>
          <t>否</t>
        </is>
      </c>
      <c r="O40" s="2" t="inlineStr">
        <is>
          <t>方向变化必须由领域专家复核。</t>
        </is>
      </c>
    </row>
    <row r="41">
      <c r="A41" s="2" t="inlineStr">
        <is>
          <t>贝叶斯网络</t>
        </is>
      </c>
      <c r="B41" s="2" t="inlineStr">
        <is>
          <t>public_order</t>
        </is>
      </c>
      <c r="C41" s="2" t="inlineStr">
        <is>
          <t>1</t>
        </is>
      </c>
      <c r="D41" s="2" t="inlineStr">
        <is>
          <t>order_disruption</t>
        </is>
      </c>
      <c r="E41" s="2" t="inlineStr">
        <is>
          <t>weight</t>
        </is>
      </c>
      <c r="F41" s="2" t="inlineStr">
        <is>
          <t>public_context</t>
        </is>
      </c>
      <c r="G41" s="2" t="n">
        <v>0.8</v>
      </c>
      <c r="H41" s="2" t="inlineStr">
        <is>
          <t>可以，但必须拟合</t>
        </is>
      </c>
      <c r="I41" s="2" t="inlineStr">
        <is>
          <t>与intercept相同；还要检查父节点共线性、缺失和类别不平衡。</t>
        </is>
      </c>
      <c r="J41" s="2" t="inlineStr">
        <is>
          <t>用所有父节点同时拟合，不能逐个父节点分别算比例后直接当权重。</t>
        </is>
      </c>
      <c r="K41" s="2" t="inlineStr">
        <is>
          <t>带正则化的加权二项逻辑回归</t>
        </is>
      </c>
      <c r="L41" s="2" t="inlineStr">
        <is>
          <t>至少保留独立验证集；每个结果类别建议不少于10×5条，仅作预警。</t>
        </is>
      </c>
      <c r="M41" s="2" t="inlineStr">
        <is>
          <t>config/bayesian_models/public_order_v1.json -&gt; nodes[order_disruption].weights.public_context</t>
        </is>
      </c>
      <c r="N41" s="2" t="inlineStr">
        <is>
          <t>否</t>
        </is>
      </c>
      <c r="O41" s="2" t="inlineStr">
        <is>
          <t>方向变化必须由领域专家复核。</t>
        </is>
      </c>
    </row>
    <row r="42">
      <c r="A42" s="2" t="inlineStr">
        <is>
          <t>贝叶斯网络</t>
        </is>
      </c>
      <c r="B42" s="2" t="inlineStr">
        <is>
          <t>public_order</t>
        </is>
      </c>
      <c r="C42" s="2" t="inlineStr">
        <is>
          <t>1</t>
        </is>
      </c>
      <c r="D42" s="2" t="inlineStr">
        <is>
          <t>order_disruption</t>
        </is>
      </c>
      <c r="E42" s="2" t="inlineStr">
        <is>
          <t>weight</t>
        </is>
      </c>
      <c r="F42" s="2" t="inlineStr">
        <is>
          <t>operational_impact</t>
        </is>
      </c>
      <c r="G42" s="2" t="n">
        <v>1.5</v>
      </c>
      <c r="H42" s="2" t="inlineStr">
        <is>
          <t>可以，但必须拟合</t>
        </is>
      </c>
      <c r="I42" s="2" t="inlineStr">
        <is>
          <t>与intercept相同；还要检查父节点共线性、缺失和类别不平衡。</t>
        </is>
      </c>
      <c r="J42" s="2" t="inlineStr">
        <is>
          <t>用所有父节点同时拟合，不能逐个父节点分别算比例后直接当权重。</t>
        </is>
      </c>
      <c r="K42" s="2" t="inlineStr">
        <is>
          <t>带正则化的加权二项逻辑回归</t>
        </is>
      </c>
      <c r="L42" s="2" t="inlineStr">
        <is>
          <t>至少保留独立验证集；每个结果类别建议不少于10×5条，仅作预警。</t>
        </is>
      </c>
      <c r="M42" s="2" t="inlineStr">
        <is>
          <t>config/bayesian_models/public_order_v1.json -&gt; nodes[order_disruption].weights.operational_impact</t>
        </is>
      </c>
      <c r="N42" s="2" t="inlineStr">
        <is>
          <t>否</t>
        </is>
      </c>
      <c r="O42" s="2" t="inlineStr">
        <is>
          <t>方向变化必须由领域专家复核。</t>
        </is>
      </c>
    </row>
    <row r="43">
      <c r="A43" s="2" t="inlineStr">
        <is>
          <t>贝叶斯网络</t>
        </is>
      </c>
      <c r="B43" s="2" t="inlineStr">
        <is>
          <t>public_order</t>
        </is>
      </c>
      <c r="C43" s="2" t="inlineStr">
        <is>
          <t>1</t>
        </is>
      </c>
      <c r="D43" s="2" t="inlineStr">
        <is>
          <t>order_disruption</t>
        </is>
      </c>
      <c r="E43" s="2" t="inlineStr">
        <is>
          <t>weight</t>
        </is>
      </c>
      <c r="F43" s="2" t="inlineStr">
        <is>
          <t>persistence_or_group</t>
        </is>
      </c>
      <c r="G43" s="2" t="n">
        <v>1</v>
      </c>
      <c r="H43" s="2" t="inlineStr">
        <is>
          <t>可以，但必须拟合</t>
        </is>
      </c>
      <c r="I43" s="2" t="inlineStr">
        <is>
          <t>与intercept相同；还要检查父节点共线性、缺失和类别不平衡。</t>
        </is>
      </c>
      <c r="J43" s="2" t="inlineStr">
        <is>
          <t>用所有父节点同时拟合，不能逐个父节点分别算比例后直接当权重。</t>
        </is>
      </c>
      <c r="K43" s="2" t="inlineStr">
        <is>
          <t>带正则化的加权二项逻辑回归</t>
        </is>
      </c>
      <c r="L43" s="2" t="inlineStr">
        <is>
          <t>至少保留独立验证集；每个结果类别建议不少于10×5条，仅作预警。</t>
        </is>
      </c>
      <c r="M43" s="2" t="inlineStr">
        <is>
          <t>config/bayesian_models/public_order_v1.json -&gt; nodes[order_disruption].weights.persistence_or_group</t>
        </is>
      </c>
      <c r="N43" s="2" t="inlineStr">
        <is>
          <t>否</t>
        </is>
      </c>
      <c r="O43" s="2" t="inlineStr">
        <is>
          <t>方向变化必须由领域专家复核。</t>
        </is>
      </c>
    </row>
    <row r="44">
      <c r="A44" s="2" t="inlineStr">
        <is>
          <t>贝叶斯网络</t>
        </is>
      </c>
      <c r="B44" s="2" t="inlineStr">
        <is>
          <t>public_safety</t>
        </is>
      </c>
      <c r="C44" s="2" t="inlineStr">
        <is>
          <t>1</t>
        </is>
      </c>
      <c r="D44" s="2" t="inlineStr">
        <is>
          <t>hazardous_conduct</t>
        </is>
      </c>
      <c r="E44" s="2" t="inlineStr">
        <is>
          <t>prior</t>
        </is>
      </c>
      <c r="F44" s="2" t="inlineStr"/>
      <c r="G44" s="2" t="n">
        <v>0.15</v>
      </c>
      <c r="H44" s="2" t="inlineStr">
        <is>
          <t>可以，需验证</t>
        </is>
      </c>
      <c r="I44" s="2" t="inlineStr">
        <is>
          <t>该节点独立核验为真/假/未知的数量；明确样本范围和数据批次。</t>
        </is>
      </c>
      <c r="J44" s="2" t="inlineStr">
        <is>
          <t>真数/(真数+假数)，未知不进分母；用Beta(Alpha,Beta)平滑。</t>
        </is>
      </c>
      <c r="K44" s="2" t="inlineStr">
        <is>
          <t>Beta-Binomial后验</t>
        </is>
      </c>
      <c r="L44" s="2" t="inlineStr">
        <is>
          <t>有效样本&lt;30仅描述；真或假任一&lt;10不得发布。</t>
        </is>
      </c>
      <c r="M44" s="2" t="inlineStr">
        <is>
          <t>config/bayesian_models/public_safety_v1.json -&gt; nodes[hazardous_conduct].prior</t>
        </is>
      </c>
      <c r="N44" s="2" t="inlineStr">
        <is>
          <t>否</t>
        </is>
      </c>
      <c r="O44" s="2" t="inlineStr">
        <is>
          <t>只代表规定样本范围内的基础率；软证据存在时该值会被覆盖。</t>
        </is>
      </c>
    </row>
    <row r="45">
      <c r="A45" s="2" t="inlineStr">
        <is>
          <t>贝叶斯网络</t>
        </is>
      </c>
      <c r="B45" s="2" t="inlineStr">
        <is>
          <t>public_safety</t>
        </is>
      </c>
      <c r="C45" s="2" t="inlineStr">
        <is>
          <t>1</t>
        </is>
      </c>
      <c r="D45" s="2" t="inlineStr">
        <is>
          <t>dangerous_object_or_condition</t>
        </is>
      </c>
      <c r="E45" s="2" t="inlineStr">
        <is>
          <t>prior</t>
        </is>
      </c>
      <c r="F45" s="2" t="inlineStr"/>
      <c r="G45" s="2" t="n">
        <v>0.15</v>
      </c>
      <c r="H45" s="2" t="inlineStr">
        <is>
          <t>可以，需验证</t>
        </is>
      </c>
      <c r="I45" s="2" t="inlineStr">
        <is>
          <t>该节点独立核验为真/假/未知的数量；明确样本范围和数据批次。</t>
        </is>
      </c>
      <c r="J45" s="2" t="inlineStr">
        <is>
          <t>真数/(真数+假数)，未知不进分母；用Beta(Alpha,Beta)平滑。</t>
        </is>
      </c>
      <c r="K45" s="2" t="inlineStr">
        <is>
          <t>Beta-Binomial后验</t>
        </is>
      </c>
      <c r="L45" s="2" t="inlineStr">
        <is>
          <t>有效样本&lt;30仅描述；真或假任一&lt;10不得发布。</t>
        </is>
      </c>
      <c r="M45" s="2" t="inlineStr">
        <is>
          <t>config/bayesian_models/public_safety_v1.json -&gt; nodes[dangerous_object_or_condition].prior</t>
        </is>
      </c>
      <c r="N45" s="2" t="inlineStr">
        <is>
          <t>否</t>
        </is>
      </c>
      <c r="O45" s="2" t="inlineStr">
        <is>
          <t>只代表规定样本范围内的基础率；软证据存在时该值会被覆盖。</t>
        </is>
      </c>
    </row>
    <row r="46">
      <c r="A46" s="2" t="inlineStr">
        <is>
          <t>贝叶斯网络</t>
        </is>
      </c>
      <c r="B46" s="2" t="inlineStr">
        <is>
          <t>public_safety</t>
        </is>
      </c>
      <c r="C46" s="2" t="inlineStr">
        <is>
          <t>1</t>
        </is>
      </c>
      <c r="D46" s="2" t="inlineStr">
        <is>
          <t>exposure</t>
        </is>
      </c>
      <c r="E46" s="2" t="inlineStr">
        <is>
          <t>prior</t>
        </is>
      </c>
      <c r="F46" s="2" t="inlineStr"/>
      <c r="G46" s="2" t="n">
        <v>0.1</v>
      </c>
      <c r="H46" s="2" t="inlineStr">
        <is>
          <t>可以，需验证</t>
        </is>
      </c>
      <c r="I46" s="2" t="inlineStr">
        <is>
          <t>该节点独立核验为真/假/未知的数量；明确样本范围和数据批次。</t>
        </is>
      </c>
      <c r="J46" s="2" t="inlineStr">
        <is>
          <t>真数/(真数+假数)，未知不进分母；用Beta(Alpha,Beta)平滑。</t>
        </is>
      </c>
      <c r="K46" s="2" t="inlineStr">
        <is>
          <t>Beta-Binomial后验</t>
        </is>
      </c>
      <c r="L46" s="2" t="inlineStr">
        <is>
          <t>有效样本&lt;30仅描述；真或假任一&lt;10不得发布。</t>
        </is>
      </c>
      <c r="M46" s="2" t="inlineStr">
        <is>
          <t>config/bayesian_models/public_safety_v1.json -&gt; nodes[exposure].prior</t>
        </is>
      </c>
      <c r="N46" s="2" t="inlineStr">
        <is>
          <t>否</t>
        </is>
      </c>
      <c r="O46" s="2" t="inlineStr">
        <is>
          <t>只代表规定样本范围内的基础率；软证据存在时该值会被覆盖。</t>
        </is>
      </c>
    </row>
    <row r="47">
      <c r="A47" s="2" t="inlineStr">
        <is>
          <t>贝叶斯网络</t>
        </is>
      </c>
      <c r="B47" s="2" t="inlineStr">
        <is>
          <t>public_safety</t>
        </is>
      </c>
      <c r="C47" s="2" t="inlineStr">
        <is>
          <t>1</t>
        </is>
      </c>
      <c r="D47" s="2" t="inlineStr">
        <is>
          <t>control_failure</t>
        </is>
      </c>
      <c r="E47" s="2" t="inlineStr">
        <is>
          <t>prior</t>
        </is>
      </c>
      <c r="F47" s="2" t="inlineStr"/>
      <c r="G47" s="2" t="n">
        <v>0.1</v>
      </c>
      <c r="H47" s="2" t="inlineStr">
        <is>
          <t>可以，需验证</t>
        </is>
      </c>
      <c r="I47" s="2" t="inlineStr">
        <is>
          <t>该节点独立核验为真/假/未知的数量；明确样本范围和数据批次。</t>
        </is>
      </c>
      <c r="J47" s="2" t="inlineStr">
        <is>
          <t>真数/(真数+假数)，未知不进分母；用Beta(Alpha,Beta)平滑。</t>
        </is>
      </c>
      <c r="K47" s="2" t="inlineStr">
        <is>
          <t>Beta-Binomial后验</t>
        </is>
      </c>
      <c r="L47" s="2" t="inlineStr">
        <is>
          <t>有效样本&lt;30仅描述；真或假任一&lt;10不得发布。</t>
        </is>
      </c>
      <c r="M47" s="2" t="inlineStr">
        <is>
          <t>config/bayesian_models/public_safety_v1.json -&gt; nodes[control_failure].prior</t>
        </is>
      </c>
      <c r="N47" s="2" t="inlineStr">
        <is>
          <t>否</t>
        </is>
      </c>
      <c r="O47" s="2" t="inlineStr">
        <is>
          <t>只代表规定样本范围内的基础率；软证据存在时该值会被覆盖。</t>
        </is>
      </c>
    </row>
    <row r="48">
      <c r="A48" s="2" t="inlineStr">
        <is>
          <t>贝叶斯网络</t>
        </is>
      </c>
      <c r="B48" s="2" t="inlineStr">
        <is>
          <t>public_safety</t>
        </is>
      </c>
      <c r="C48" s="2" t="inlineStr">
        <is>
          <t>1</t>
        </is>
      </c>
      <c r="D48" s="2" t="inlineStr">
        <is>
          <t>public_danger</t>
        </is>
      </c>
      <c r="E48" s="2" t="inlineStr">
        <is>
          <t>intercept</t>
        </is>
      </c>
      <c r="F48" s="2" t="inlineStr"/>
      <c r="G48" s="2" t="n">
        <v>-3.2</v>
      </c>
      <c r="H48" s="2" t="inlineStr">
        <is>
          <t>可以，但必须拟合</t>
        </is>
      </c>
      <c r="I48" s="2" t="inlineStr">
        <is>
          <t>每条样本的全部父节点值、子节点独立真值、样本权重和训练/验证划分。</t>
        </is>
      </c>
      <c r="J48" s="2" t="inlineStr">
        <is>
          <t>一行一个事件；父节点0~1，子节点真/假；未知不进入拟合。</t>
        </is>
      </c>
      <c r="K48" s="2" t="inlineStr">
        <is>
          <t>带正则化的加权二项逻辑回归</t>
        </is>
      </c>
      <c r="L48" s="2" t="inlineStr">
        <is>
          <t>至少保留独立验证集；每个结果类别建议不少于10×5条，仅作预警。</t>
        </is>
      </c>
      <c r="M48" s="2" t="inlineStr">
        <is>
          <t>config/bayesian_models/public_safety_v1.json -&gt; nodes[public_danger].intercept</t>
        </is>
      </c>
      <c r="N48" s="2" t="inlineStr">
        <is>
          <t>否</t>
        </is>
      </c>
      <c r="O48" s="2" t="inlineStr">
        <is>
          <t>不能由单个比例手工换算。</t>
        </is>
      </c>
    </row>
    <row r="49">
      <c r="A49" s="2" t="inlineStr">
        <is>
          <t>贝叶斯网络</t>
        </is>
      </c>
      <c r="B49" s="2" t="inlineStr">
        <is>
          <t>public_safety</t>
        </is>
      </c>
      <c r="C49" s="2" t="inlineStr">
        <is>
          <t>1</t>
        </is>
      </c>
      <c r="D49" s="2" t="inlineStr">
        <is>
          <t>public_danger</t>
        </is>
      </c>
      <c r="E49" s="2" t="inlineStr">
        <is>
          <t>weight</t>
        </is>
      </c>
      <c r="F49" s="2" t="inlineStr">
        <is>
          <t>hazardous_conduct</t>
        </is>
      </c>
      <c r="G49" s="2" t="n">
        <v>1.8</v>
      </c>
      <c r="H49" s="2" t="inlineStr">
        <is>
          <t>可以，但必须拟合</t>
        </is>
      </c>
      <c r="I49" s="2" t="inlineStr">
        <is>
          <t>与intercept相同；还要检查父节点共线性、缺失和类别不平衡。</t>
        </is>
      </c>
      <c r="J49" s="2" t="inlineStr">
        <is>
          <t>用所有父节点同时拟合，不能逐个父节点分别算比例后直接当权重。</t>
        </is>
      </c>
      <c r="K49" s="2" t="inlineStr">
        <is>
          <t>带正则化的加权二项逻辑回归</t>
        </is>
      </c>
      <c r="L49" s="2" t="inlineStr">
        <is>
          <t>至少保留独立验证集；每个结果类别建议不少于10×5条，仅作预警。</t>
        </is>
      </c>
      <c r="M49" s="2" t="inlineStr">
        <is>
          <t>config/bayesian_models/public_safety_v1.json -&gt; nodes[public_danger].weights.hazardous_conduct</t>
        </is>
      </c>
      <c r="N49" s="2" t="inlineStr">
        <is>
          <t>否</t>
        </is>
      </c>
      <c r="O49" s="2" t="inlineStr">
        <is>
          <t>方向变化必须由领域专家复核。</t>
        </is>
      </c>
    </row>
    <row r="50">
      <c r="A50" s="2" t="inlineStr">
        <is>
          <t>贝叶斯网络</t>
        </is>
      </c>
      <c r="B50" s="2" t="inlineStr">
        <is>
          <t>public_safety</t>
        </is>
      </c>
      <c r="C50" s="2" t="inlineStr">
        <is>
          <t>1</t>
        </is>
      </c>
      <c r="D50" s="2" t="inlineStr">
        <is>
          <t>public_danger</t>
        </is>
      </c>
      <c r="E50" s="2" t="inlineStr">
        <is>
          <t>weight</t>
        </is>
      </c>
      <c r="F50" s="2" t="inlineStr">
        <is>
          <t>dangerous_object_or_condition</t>
        </is>
      </c>
      <c r="G50" s="2" t="n">
        <v>1.4</v>
      </c>
      <c r="H50" s="2" t="inlineStr">
        <is>
          <t>可以，但必须拟合</t>
        </is>
      </c>
      <c r="I50" s="2" t="inlineStr">
        <is>
          <t>与intercept相同；还要检查父节点共线性、缺失和类别不平衡。</t>
        </is>
      </c>
      <c r="J50" s="2" t="inlineStr">
        <is>
          <t>用所有父节点同时拟合，不能逐个父节点分别算比例后直接当权重。</t>
        </is>
      </c>
      <c r="K50" s="2" t="inlineStr">
        <is>
          <t>带正则化的加权二项逻辑回归</t>
        </is>
      </c>
      <c r="L50" s="2" t="inlineStr">
        <is>
          <t>至少保留独立验证集；每个结果类别建议不少于10×5条，仅作预警。</t>
        </is>
      </c>
      <c r="M50" s="2" t="inlineStr">
        <is>
          <t>config/bayesian_models/public_safety_v1.json -&gt; nodes[public_danger].weights.dangerous_object_or_condition</t>
        </is>
      </c>
      <c r="N50" s="2" t="inlineStr">
        <is>
          <t>否</t>
        </is>
      </c>
      <c r="O50" s="2" t="inlineStr">
        <is>
          <t>方向变化必须由领域专家复核。</t>
        </is>
      </c>
    </row>
    <row r="51">
      <c r="A51" s="2" t="inlineStr">
        <is>
          <t>贝叶斯网络</t>
        </is>
      </c>
      <c r="B51" s="2" t="inlineStr">
        <is>
          <t>public_safety</t>
        </is>
      </c>
      <c r="C51" s="2" t="inlineStr">
        <is>
          <t>1</t>
        </is>
      </c>
      <c r="D51" s="2" t="inlineStr">
        <is>
          <t>public_danger</t>
        </is>
      </c>
      <c r="E51" s="2" t="inlineStr">
        <is>
          <t>weight</t>
        </is>
      </c>
      <c r="F51" s="2" t="inlineStr">
        <is>
          <t>exposure</t>
        </is>
      </c>
      <c r="G51" s="2" t="n">
        <v>1.5</v>
      </c>
      <c r="H51" s="2" t="inlineStr">
        <is>
          <t>可以，但必须拟合</t>
        </is>
      </c>
      <c r="I51" s="2" t="inlineStr">
        <is>
          <t>与intercept相同；还要检查父节点共线性、缺失和类别不平衡。</t>
        </is>
      </c>
      <c r="J51" s="2" t="inlineStr">
        <is>
          <t>用所有父节点同时拟合，不能逐个父节点分别算比例后直接当权重。</t>
        </is>
      </c>
      <c r="K51" s="2" t="inlineStr">
        <is>
          <t>带正则化的加权二项逻辑回归</t>
        </is>
      </c>
      <c r="L51" s="2" t="inlineStr">
        <is>
          <t>至少保留独立验证集；每个结果类别建议不少于10×5条，仅作预警。</t>
        </is>
      </c>
      <c r="M51" s="2" t="inlineStr">
        <is>
          <t>config/bayesian_models/public_safety_v1.json -&gt; nodes[public_danger].weights.exposure</t>
        </is>
      </c>
      <c r="N51" s="2" t="inlineStr">
        <is>
          <t>否</t>
        </is>
      </c>
      <c r="O51" s="2" t="inlineStr">
        <is>
          <t>方向变化必须由领域专家复核。</t>
        </is>
      </c>
    </row>
    <row r="52">
      <c r="A52" s="2" t="inlineStr">
        <is>
          <t>贝叶斯网络</t>
        </is>
      </c>
      <c r="B52" s="2" t="inlineStr">
        <is>
          <t>public_safety</t>
        </is>
      </c>
      <c r="C52" s="2" t="inlineStr">
        <is>
          <t>1</t>
        </is>
      </c>
      <c r="D52" s="2" t="inlineStr">
        <is>
          <t>public_danger</t>
        </is>
      </c>
      <c r="E52" s="2" t="inlineStr">
        <is>
          <t>weight</t>
        </is>
      </c>
      <c r="F52" s="2" t="inlineStr">
        <is>
          <t>control_failure</t>
        </is>
      </c>
      <c r="G52" s="2" t="n">
        <v>1</v>
      </c>
      <c r="H52" s="2" t="inlineStr">
        <is>
          <t>可以，但必须拟合</t>
        </is>
      </c>
      <c r="I52" s="2" t="inlineStr">
        <is>
          <t>与intercept相同；还要检查父节点共线性、缺失和类别不平衡。</t>
        </is>
      </c>
      <c r="J52" s="2" t="inlineStr">
        <is>
          <t>用所有父节点同时拟合，不能逐个父节点分别算比例后直接当权重。</t>
        </is>
      </c>
      <c r="K52" s="2" t="inlineStr">
        <is>
          <t>带正则化的加权二项逻辑回归</t>
        </is>
      </c>
      <c r="L52" s="2" t="inlineStr">
        <is>
          <t>至少保留独立验证集；每个结果类别建议不少于10×5条，仅作预警。</t>
        </is>
      </c>
      <c r="M52" s="2" t="inlineStr">
        <is>
          <t>config/bayesian_models/public_safety_v1.json -&gt; nodes[public_danger].weights.control_failure</t>
        </is>
      </c>
      <c r="N52" s="2" t="inlineStr">
        <is>
          <t>否</t>
        </is>
      </c>
      <c r="O52" s="2" t="inlineStr">
        <is>
          <t>方向变化必须由领域专家复核。</t>
        </is>
      </c>
    </row>
    <row r="53">
      <c r="A53" s="2" t="inlineStr">
        <is>
          <t>贝叶斯网络</t>
        </is>
      </c>
      <c r="B53" s="2" t="inlineStr">
        <is>
          <t>status_duty</t>
        </is>
      </c>
      <c r="C53" s="2" t="inlineStr">
        <is>
          <t>1</t>
        </is>
      </c>
      <c r="D53" s="2" t="inlineStr">
        <is>
          <t>qualification_record_present</t>
        </is>
      </c>
      <c r="E53" s="2" t="inlineStr">
        <is>
          <t>prior</t>
        </is>
      </c>
      <c r="F53" s="2" t="inlineStr"/>
      <c r="G53" s="2" t="n">
        <v>0.2</v>
      </c>
      <c r="H53" s="2" t="inlineStr">
        <is>
          <t>可以，需验证</t>
        </is>
      </c>
      <c r="I53" s="2" t="inlineStr">
        <is>
          <t>该节点独立核验为真/假/未知的数量；明确样本范围和数据批次。</t>
        </is>
      </c>
      <c r="J53" s="2" t="inlineStr">
        <is>
          <t>真数/(真数+假数)，未知不进分母；用Beta(Alpha,Beta)平滑。</t>
        </is>
      </c>
      <c r="K53" s="2" t="inlineStr">
        <is>
          <t>Beta-Binomial后验</t>
        </is>
      </c>
      <c r="L53" s="2" t="inlineStr">
        <is>
          <t>有效样本&lt;30仅描述；真或假任一&lt;10不得发布。</t>
        </is>
      </c>
      <c r="M53" s="2" t="inlineStr">
        <is>
          <t>config/bayesian_models/status_duty_v1.json -&gt; nodes[qualification_record_present].prior</t>
        </is>
      </c>
      <c r="N53" s="2" t="inlineStr">
        <is>
          <t>否</t>
        </is>
      </c>
      <c r="O53" s="2" t="inlineStr">
        <is>
          <t>只代表规定样本范围内的基础率；软证据存在时该值会被覆盖。</t>
        </is>
      </c>
    </row>
    <row r="54">
      <c r="A54" s="2" t="inlineStr">
        <is>
          <t>贝叶斯网络</t>
        </is>
      </c>
      <c r="B54" s="2" t="inlineStr">
        <is>
          <t>status_duty</t>
        </is>
      </c>
      <c r="C54" s="2" t="inlineStr">
        <is>
          <t>1</t>
        </is>
      </c>
      <c r="D54" s="2" t="inlineStr">
        <is>
          <t>duty_record_present</t>
        </is>
      </c>
      <c r="E54" s="2" t="inlineStr">
        <is>
          <t>prior</t>
        </is>
      </c>
      <c r="F54" s="2" t="inlineStr"/>
      <c r="G54" s="2" t="n">
        <v>0.2</v>
      </c>
      <c r="H54" s="2" t="inlineStr">
        <is>
          <t>可以，需验证</t>
        </is>
      </c>
      <c r="I54" s="2" t="inlineStr">
        <is>
          <t>该节点独立核验为真/假/未知的数量；明确样本范围和数据批次。</t>
        </is>
      </c>
      <c r="J54" s="2" t="inlineStr">
        <is>
          <t>真数/(真数+假数)，未知不进分母；用Beta(Alpha,Beta)平滑。</t>
        </is>
      </c>
      <c r="K54" s="2" t="inlineStr">
        <is>
          <t>Beta-Binomial后验</t>
        </is>
      </c>
      <c r="L54" s="2" t="inlineStr">
        <is>
          <t>有效样本&lt;30仅描述；真或假任一&lt;10不得发布。</t>
        </is>
      </c>
      <c r="M54" s="2" t="inlineStr">
        <is>
          <t>config/bayesian_models/status_duty_v1.json -&gt; nodes[duty_record_present].prior</t>
        </is>
      </c>
      <c r="N54" s="2" t="inlineStr">
        <is>
          <t>否</t>
        </is>
      </c>
      <c r="O54" s="2" t="inlineStr">
        <is>
          <t>只代表规定样本范围内的基础率；软证据存在时该值会被覆盖。</t>
        </is>
      </c>
    </row>
    <row r="55">
      <c r="A55" s="2" t="inlineStr">
        <is>
          <t>贝叶斯网络</t>
        </is>
      </c>
      <c r="B55" s="2" t="inlineStr">
        <is>
          <t>status_duty</t>
        </is>
      </c>
      <c r="C55" s="2" t="inlineStr">
        <is>
          <t>1</t>
        </is>
      </c>
      <c r="D55" s="2" t="inlineStr">
        <is>
          <t>conduct_recorded</t>
        </is>
      </c>
      <c r="E55" s="2" t="inlineStr">
        <is>
          <t>prior</t>
        </is>
      </c>
      <c r="F55" s="2" t="inlineStr"/>
      <c r="G55" s="2" t="n">
        <v>0.1</v>
      </c>
      <c r="H55" s="2" t="inlineStr">
        <is>
          <t>可以，需验证</t>
        </is>
      </c>
      <c r="I55" s="2" t="inlineStr">
        <is>
          <t>该节点独立核验为真/假/未知的数量；明确样本范围和数据批次。</t>
        </is>
      </c>
      <c r="J55" s="2" t="inlineStr">
        <is>
          <t>真数/(真数+假数)，未知不进分母；用Beta(Alpha,Beta)平滑。</t>
        </is>
      </c>
      <c r="K55" s="2" t="inlineStr">
        <is>
          <t>Beta-Binomial后验</t>
        </is>
      </c>
      <c r="L55" s="2" t="inlineStr">
        <is>
          <t>有效样本&lt;30仅描述；真或假任一&lt;10不得发布。</t>
        </is>
      </c>
      <c r="M55" s="2" t="inlineStr">
        <is>
          <t>config/bayesian_models/status_duty_v1.json -&gt; nodes[conduct_recorded].prior</t>
        </is>
      </c>
      <c r="N55" s="2" t="inlineStr">
        <is>
          <t>否</t>
        </is>
      </c>
      <c r="O55" s="2" t="inlineStr">
        <is>
          <t>只代表规定样本范围内的基础率；软证据存在时该值会被覆盖。</t>
        </is>
      </c>
    </row>
    <row r="56">
      <c r="A56" s="2" t="inlineStr">
        <is>
          <t>贝叶斯网络</t>
        </is>
      </c>
      <c r="B56" s="2" t="inlineStr">
        <is>
          <t>status_duty</t>
        </is>
      </c>
      <c r="C56" s="2" t="inlineStr">
        <is>
          <t>1</t>
        </is>
      </c>
      <c r="D56" s="2" t="inlineStr">
        <is>
          <t>authorization_record_absent</t>
        </is>
      </c>
      <c r="E56" s="2" t="inlineStr">
        <is>
          <t>prior</t>
        </is>
      </c>
      <c r="F56" s="2" t="inlineStr"/>
      <c r="G56" s="2" t="n">
        <v>0.2</v>
      </c>
      <c r="H56" s="2" t="inlineStr">
        <is>
          <t>可以，需验证</t>
        </is>
      </c>
      <c r="I56" s="2" t="inlineStr">
        <is>
          <t>该节点独立核验为真/假/未知的数量；明确样本范围和数据批次。</t>
        </is>
      </c>
      <c r="J56" s="2" t="inlineStr">
        <is>
          <t>真数/(真数+假数)，未知不进分母；用Beta(Alpha,Beta)平滑。</t>
        </is>
      </c>
      <c r="K56" s="2" t="inlineStr">
        <is>
          <t>Beta-Binomial后验</t>
        </is>
      </c>
      <c r="L56" s="2" t="inlineStr">
        <is>
          <t>有效样本&lt;30仅描述；真或假任一&lt;10不得发布。</t>
        </is>
      </c>
      <c r="M56" s="2" t="inlineStr">
        <is>
          <t>config/bayesian_models/status_duty_v1.json -&gt; nodes[authorization_record_absent].prior</t>
        </is>
      </c>
      <c r="N56" s="2" t="inlineStr">
        <is>
          <t>否</t>
        </is>
      </c>
      <c r="O56" s="2" t="inlineStr">
        <is>
          <t>只代表规定样本范围内的基础率；软证据存在时该值会被覆盖。</t>
        </is>
      </c>
    </row>
    <row r="57">
      <c r="A57" s="2" t="inlineStr">
        <is>
          <t>贝叶斯网络</t>
        </is>
      </c>
      <c r="B57" s="2" t="inlineStr">
        <is>
          <t>status_duty</t>
        </is>
      </c>
      <c r="C57" s="2" t="inlineStr">
        <is>
          <t>1</t>
        </is>
      </c>
      <c r="D57" s="2" t="inlineStr">
        <is>
          <t>status_duty_facts_supported</t>
        </is>
      </c>
      <c r="E57" s="2" t="inlineStr">
        <is>
          <t>intercept</t>
        </is>
      </c>
      <c r="F57" s="2" t="inlineStr"/>
      <c r="G57" s="2" t="n">
        <v>-3.2</v>
      </c>
      <c r="H57" s="2" t="inlineStr">
        <is>
          <t>可以，但必须拟合</t>
        </is>
      </c>
      <c r="I57" s="2" t="inlineStr">
        <is>
          <t>每条样本的全部父节点值、子节点独立真值、样本权重和训练/验证划分。</t>
        </is>
      </c>
      <c r="J57" s="2" t="inlineStr">
        <is>
          <t>一行一个事件；父节点0~1，子节点真/假；未知不进入拟合。</t>
        </is>
      </c>
      <c r="K57" s="2" t="inlineStr">
        <is>
          <t>带正则化的加权二项逻辑回归</t>
        </is>
      </c>
      <c r="L57" s="2" t="inlineStr">
        <is>
          <t>至少保留独立验证集；每个结果类别建议不少于10×5条，仅作预警。</t>
        </is>
      </c>
      <c r="M57" s="2" t="inlineStr">
        <is>
          <t>config/bayesian_models/status_duty_v1.json -&gt; nodes[status_duty_facts_supported].intercept</t>
        </is>
      </c>
      <c r="N57" s="2" t="inlineStr">
        <is>
          <t>否</t>
        </is>
      </c>
      <c r="O57" s="2" t="inlineStr">
        <is>
          <t>不能由单个比例手工换算。</t>
        </is>
      </c>
    </row>
    <row r="58">
      <c r="A58" s="2" t="inlineStr">
        <is>
          <t>贝叶斯网络</t>
        </is>
      </c>
      <c r="B58" s="2" t="inlineStr">
        <is>
          <t>status_duty</t>
        </is>
      </c>
      <c r="C58" s="2" t="inlineStr">
        <is>
          <t>1</t>
        </is>
      </c>
      <c r="D58" s="2" t="inlineStr">
        <is>
          <t>status_duty_facts_supported</t>
        </is>
      </c>
      <c r="E58" s="2" t="inlineStr">
        <is>
          <t>weight</t>
        </is>
      </c>
      <c r="F58" s="2" t="inlineStr">
        <is>
          <t>qualification_record_present</t>
        </is>
      </c>
      <c r="G58" s="2" t="n">
        <v>1</v>
      </c>
      <c r="H58" s="2" t="inlineStr">
        <is>
          <t>可以，但必须拟合</t>
        </is>
      </c>
      <c r="I58" s="2" t="inlineStr">
        <is>
          <t>与intercept相同；还要检查父节点共线性、缺失和类别不平衡。</t>
        </is>
      </c>
      <c r="J58" s="2" t="inlineStr">
        <is>
          <t>用所有父节点同时拟合，不能逐个父节点分别算比例后直接当权重。</t>
        </is>
      </c>
      <c r="K58" s="2" t="inlineStr">
        <is>
          <t>带正则化的加权二项逻辑回归</t>
        </is>
      </c>
      <c r="L58" s="2" t="inlineStr">
        <is>
          <t>至少保留独立验证集；每个结果类别建议不少于10×5条，仅作预警。</t>
        </is>
      </c>
      <c r="M58" s="2" t="inlineStr">
        <is>
          <t>config/bayesian_models/status_duty_v1.json -&gt; nodes[status_duty_facts_supported].weights.qualification_record_present</t>
        </is>
      </c>
      <c r="N58" s="2" t="inlineStr">
        <is>
          <t>否</t>
        </is>
      </c>
      <c r="O58" s="2" t="inlineStr">
        <is>
          <t>方向变化必须由领域专家复核。</t>
        </is>
      </c>
    </row>
    <row r="59">
      <c r="A59" s="2" t="inlineStr">
        <is>
          <t>贝叶斯网络</t>
        </is>
      </c>
      <c r="B59" s="2" t="inlineStr">
        <is>
          <t>status_duty</t>
        </is>
      </c>
      <c r="C59" s="2" t="inlineStr">
        <is>
          <t>1</t>
        </is>
      </c>
      <c r="D59" s="2" t="inlineStr">
        <is>
          <t>status_duty_facts_supported</t>
        </is>
      </c>
      <c r="E59" s="2" t="inlineStr">
        <is>
          <t>weight</t>
        </is>
      </c>
      <c r="F59" s="2" t="inlineStr">
        <is>
          <t>duty_record_present</t>
        </is>
      </c>
      <c r="G59" s="2" t="n">
        <v>1.2</v>
      </c>
      <c r="H59" s="2" t="inlineStr">
        <is>
          <t>可以，但必须拟合</t>
        </is>
      </c>
      <c r="I59" s="2" t="inlineStr">
        <is>
          <t>与intercept相同；还要检查父节点共线性、缺失和类别不平衡。</t>
        </is>
      </c>
      <c r="J59" s="2" t="inlineStr">
        <is>
          <t>用所有父节点同时拟合，不能逐个父节点分别算比例后直接当权重。</t>
        </is>
      </c>
      <c r="K59" s="2" t="inlineStr">
        <is>
          <t>带正则化的加权二项逻辑回归</t>
        </is>
      </c>
      <c r="L59" s="2" t="inlineStr">
        <is>
          <t>至少保留独立验证集；每个结果类别建议不少于10×5条，仅作预警。</t>
        </is>
      </c>
      <c r="M59" s="2" t="inlineStr">
        <is>
          <t>config/bayesian_models/status_duty_v1.json -&gt; nodes[status_duty_facts_supported].weights.duty_record_present</t>
        </is>
      </c>
      <c r="N59" s="2" t="inlineStr">
        <is>
          <t>否</t>
        </is>
      </c>
      <c r="O59" s="2" t="inlineStr">
        <is>
          <t>方向变化必须由领域专家复核。</t>
        </is>
      </c>
    </row>
    <row r="60">
      <c r="A60" s="2" t="inlineStr">
        <is>
          <t>贝叶斯网络</t>
        </is>
      </c>
      <c r="B60" s="2" t="inlineStr">
        <is>
          <t>status_duty</t>
        </is>
      </c>
      <c r="C60" s="2" t="inlineStr">
        <is>
          <t>1</t>
        </is>
      </c>
      <c r="D60" s="2" t="inlineStr">
        <is>
          <t>status_duty_facts_supported</t>
        </is>
      </c>
      <c r="E60" s="2" t="inlineStr">
        <is>
          <t>weight</t>
        </is>
      </c>
      <c r="F60" s="2" t="inlineStr">
        <is>
          <t>conduct_recorded</t>
        </is>
      </c>
      <c r="G60" s="2" t="n">
        <v>1.8</v>
      </c>
      <c r="H60" s="2" t="inlineStr">
        <is>
          <t>可以，但必须拟合</t>
        </is>
      </c>
      <c r="I60" s="2" t="inlineStr">
        <is>
          <t>与intercept相同；还要检查父节点共线性、缺失和类别不平衡。</t>
        </is>
      </c>
      <c r="J60" s="2" t="inlineStr">
        <is>
          <t>用所有父节点同时拟合，不能逐个父节点分别算比例后直接当权重。</t>
        </is>
      </c>
      <c r="K60" s="2" t="inlineStr">
        <is>
          <t>带正则化的加权二项逻辑回归</t>
        </is>
      </c>
      <c r="L60" s="2" t="inlineStr">
        <is>
          <t>至少保留独立验证集；每个结果类别建议不少于10×5条，仅作预警。</t>
        </is>
      </c>
      <c r="M60" s="2" t="inlineStr">
        <is>
          <t>config/bayesian_models/status_duty_v1.json -&gt; nodes[status_duty_facts_supported].weights.conduct_recorded</t>
        </is>
      </c>
      <c r="N60" s="2" t="inlineStr">
        <is>
          <t>否</t>
        </is>
      </c>
      <c r="O60" s="2" t="inlineStr">
        <is>
          <t>方向变化必须由领域专家复核。</t>
        </is>
      </c>
    </row>
    <row r="61">
      <c r="A61" s="2" t="inlineStr">
        <is>
          <t>贝叶斯网络</t>
        </is>
      </c>
      <c r="B61" s="2" t="inlineStr">
        <is>
          <t>status_duty</t>
        </is>
      </c>
      <c r="C61" s="2" t="inlineStr">
        <is>
          <t>1</t>
        </is>
      </c>
      <c r="D61" s="2" t="inlineStr">
        <is>
          <t>status_duty_facts_supported</t>
        </is>
      </c>
      <c r="E61" s="2" t="inlineStr">
        <is>
          <t>weight</t>
        </is>
      </c>
      <c r="F61" s="2" t="inlineStr">
        <is>
          <t>authorization_record_absent</t>
        </is>
      </c>
      <c r="G61" s="2" t="n">
        <v>1.2</v>
      </c>
      <c r="H61" s="2" t="inlineStr">
        <is>
          <t>可以，但必须拟合</t>
        </is>
      </c>
      <c r="I61" s="2" t="inlineStr">
        <is>
          <t>与intercept相同；还要检查父节点共线性、缺失和类别不平衡。</t>
        </is>
      </c>
      <c r="J61" s="2" t="inlineStr">
        <is>
          <t>用所有父节点同时拟合，不能逐个父节点分别算比例后直接当权重。</t>
        </is>
      </c>
      <c r="K61" s="2" t="inlineStr">
        <is>
          <t>带正则化的加权二项逻辑回归</t>
        </is>
      </c>
      <c r="L61" s="2" t="inlineStr">
        <is>
          <t>至少保留独立验证集；每个结果类别建议不少于10×5条，仅作预警。</t>
        </is>
      </c>
      <c r="M61" s="2" t="inlineStr">
        <is>
          <t>config/bayesian_models/status_duty_v1.json -&gt; nodes[status_duty_facts_supported].weights.authorization_record_absent</t>
        </is>
      </c>
      <c r="N61" s="2" t="inlineStr">
        <is>
          <t>否</t>
        </is>
      </c>
      <c r="O61" s="2" t="inlineStr">
        <is>
          <t>方向变化必须由领域专家复核。</t>
        </is>
      </c>
    </row>
    <row r="62">
      <c r="A62" s="2" t="inlineStr">
        <is>
          <t>主观证据</t>
        </is>
      </c>
      <c r="B62" s="2" t="inlineStr">
        <is>
          <t>subjective_evidence</t>
        </is>
      </c>
      <c r="C62" s="2" t="inlineStr">
        <is>
          <t>current</t>
        </is>
      </c>
      <c r="D62" s="2" t="inlineStr">
        <is>
          <t>all_claims</t>
        </is>
      </c>
      <c r="E62" s="2" t="inlineStr">
        <is>
          <t>base_rate_evidence</t>
        </is>
      </c>
      <c r="F62" s="2" t="inlineStr"/>
      <c r="G62" s="2" t="n">
        <v>2</v>
      </c>
      <c r="H62" s="2" t="inlineStr">
        <is>
          <t>可以但不建议按月改</t>
        </is>
      </c>
      <c r="I62" s="2" t="inlineStr">
        <is>
          <t>不同证据量下的独立验证误差、覆盖率和不确定性表现。</t>
        </is>
      </c>
      <c r="J62" s="2" t="inlineStr">
        <is>
          <t>在留出验证集上比较不同W值的校准误差和弃权表现。</t>
        </is>
      </c>
      <c r="K62" s="2" t="inlineStr">
        <is>
          <t>网格搜索+独立验证</t>
        </is>
      </c>
      <c r="L62" s="2" t="inlineStr">
        <is>
          <t>至少跨多个时间批次验证。</t>
        </is>
      </c>
      <c r="M62" s="2" t="inlineStr">
        <is>
          <t>case_agent_demo/evidence_reasoning.py -&gt; _BASE_RATE_EVIDENCE</t>
        </is>
      </c>
      <c r="N62" s="2" t="inlineStr">
        <is>
          <t>否</t>
        </is>
      </c>
      <c r="O62" s="2" t="inlineStr">
        <is>
          <t>它控制不确定性基线，不是事实先验。</t>
        </is>
      </c>
    </row>
    <row r="63">
      <c r="A63" s="2" t="inlineStr">
        <is>
          <t>证据质量</t>
        </is>
      </c>
      <c r="B63" s="2" t="inlineStr">
        <is>
          <t>evidence_quality</t>
        </is>
      </c>
      <c r="C63" s="2" t="inlineStr">
        <is>
          <t>current</t>
        </is>
      </c>
      <c r="D63" s="2" t="inlineStr">
        <is>
          <t>quality</t>
        </is>
      </c>
      <c r="E63" s="2" t="inlineStr">
        <is>
          <t>quality_weight</t>
        </is>
      </c>
      <c r="F63" s="2" t="inlineStr">
        <is>
          <t>extraction_quality</t>
        </is>
      </c>
      <c r="G63" s="2" t="n">
        <v>0.18</v>
      </c>
      <c r="H63" s="2" t="inlineStr">
        <is>
          <t>可以但必须整体拟合</t>
        </is>
      </c>
      <c r="I63" s="2" t="inlineStr">
        <is>
          <t>该维度评分、独立真值、最终预测误差；需保留验证集。</t>
        </is>
      </c>
      <c r="J63" s="2" t="inlineStr">
        <is>
          <t>全部维度一起进入受约束模型，权重非负且总和为1。</t>
        </is>
      </c>
      <c r="K63" s="2" t="inlineStr">
        <is>
          <t>受约束回归/校准</t>
        </is>
      </c>
      <c r="L63" s="2" t="inlineStr">
        <is>
          <t>小样本时保持专家值，不逐项手改。</t>
        </is>
      </c>
      <c r="M63" s="2" t="inlineStr">
        <is>
          <t>case_agent_demo/evidence_reasoning.py -&gt; QUALITY_DIMENSION_WEIGHTS.extraction_quality</t>
        </is>
      </c>
      <c r="N63" s="2" t="inlineStr">
        <is>
          <t>否</t>
        </is>
      </c>
      <c r="O63" s="2" t="inlineStr">
        <is>
          <t>不是按角色计算的真实性比例。</t>
        </is>
      </c>
    </row>
    <row r="64">
      <c r="A64" s="2" t="inlineStr">
        <is>
          <t>证据质量</t>
        </is>
      </c>
      <c r="B64" s="2" t="inlineStr">
        <is>
          <t>evidence_quality</t>
        </is>
      </c>
      <c r="C64" s="2" t="inlineStr">
        <is>
          <t>current</t>
        </is>
      </c>
      <c r="D64" s="2" t="inlineStr">
        <is>
          <t>quality</t>
        </is>
      </c>
      <c r="E64" s="2" t="inlineStr">
        <is>
          <t>quality_weight</t>
        </is>
      </c>
      <c r="F64" s="2" t="inlineStr">
        <is>
          <t>relevance</t>
        </is>
      </c>
      <c r="G64" s="2" t="n">
        <v>0.16</v>
      </c>
      <c r="H64" s="2" t="inlineStr">
        <is>
          <t>可以但必须整体拟合</t>
        </is>
      </c>
      <c r="I64" s="2" t="inlineStr">
        <is>
          <t>该维度评分、独立真值、最终预测误差；需保留验证集。</t>
        </is>
      </c>
      <c r="J64" s="2" t="inlineStr">
        <is>
          <t>全部维度一起进入受约束模型，权重非负且总和为1。</t>
        </is>
      </c>
      <c r="K64" s="2" t="inlineStr">
        <is>
          <t>受约束回归/校准</t>
        </is>
      </c>
      <c r="L64" s="2" t="inlineStr">
        <is>
          <t>小样本时保持专家值，不逐项手改。</t>
        </is>
      </c>
      <c r="M64" s="2" t="inlineStr">
        <is>
          <t>case_agent_demo/evidence_reasoning.py -&gt; QUALITY_DIMENSION_WEIGHTS.relevance</t>
        </is>
      </c>
      <c r="N64" s="2" t="inlineStr">
        <is>
          <t>否</t>
        </is>
      </c>
      <c r="O64" s="2" t="inlineStr">
        <is>
          <t>不是按角色计算的真实性比例。</t>
        </is>
      </c>
    </row>
    <row r="65">
      <c r="A65" s="2" t="inlineStr">
        <is>
          <t>证据质量</t>
        </is>
      </c>
      <c r="B65" s="2" t="inlineStr">
        <is>
          <t>evidence_quality</t>
        </is>
      </c>
      <c r="C65" s="2" t="inlineStr">
        <is>
          <t>current</t>
        </is>
      </c>
      <c r="D65" s="2" t="inlineStr">
        <is>
          <t>quality</t>
        </is>
      </c>
      <c r="E65" s="2" t="inlineStr">
        <is>
          <t>quality_weight</t>
        </is>
      </c>
      <c r="F65" s="2" t="inlineStr">
        <is>
          <t>specificity</t>
        </is>
      </c>
      <c r="G65" s="2" t="n">
        <v>0.1</v>
      </c>
      <c r="H65" s="2" t="inlineStr">
        <is>
          <t>可以但必须整体拟合</t>
        </is>
      </c>
      <c r="I65" s="2" t="inlineStr">
        <is>
          <t>该维度评分、独立真值、最终预测误差；需保留验证集。</t>
        </is>
      </c>
      <c r="J65" s="2" t="inlineStr">
        <is>
          <t>全部维度一起进入受约束模型，权重非负且总和为1。</t>
        </is>
      </c>
      <c r="K65" s="2" t="inlineStr">
        <is>
          <t>受约束回归/校准</t>
        </is>
      </c>
      <c r="L65" s="2" t="inlineStr">
        <is>
          <t>小样本时保持专家值，不逐项手改。</t>
        </is>
      </c>
      <c r="M65" s="2" t="inlineStr">
        <is>
          <t>case_agent_demo/evidence_reasoning.py -&gt; QUALITY_DIMENSION_WEIGHTS.specificity</t>
        </is>
      </c>
      <c r="N65" s="2" t="inlineStr">
        <is>
          <t>否</t>
        </is>
      </c>
      <c r="O65" s="2" t="inlineStr">
        <is>
          <t>不是按角色计算的真实性比例。</t>
        </is>
      </c>
    </row>
    <row r="66">
      <c r="A66" s="2" t="inlineStr">
        <is>
          <t>证据质量</t>
        </is>
      </c>
      <c r="B66" s="2" t="inlineStr">
        <is>
          <t>evidence_quality</t>
        </is>
      </c>
      <c r="C66" s="2" t="inlineStr">
        <is>
          <t>current</t>
        </is>
      </c>
      <c r="D66" s="2" t="inlineStr">
        <is>
          <t>quality</t>
        </is>
      </c>
      <c r="E66" s="2" t="inlineStr">
        <is>
          <t>quality_weight</t>
        </is>
      </c>
      <c r="F66" s="2" t="inlineStr">
        <is>
          <t>directness</t>
        </is>
      </c>
      <c r="G66" s="2" t="n">
        <v>0.15</v>
      </c>
      <c r="H66" s="2" t="inlineStr">
        <is>
          <t>可以但必须整体拟合</t>
        </is>
      </c>
      <c r="I66" s="2" t="inlineStr">
        <is>
          <t>该维度评分、独立真值、最终预测误差；需保留验证集。</t>
        </is>
      </c>
      <c r="J66" s="2" t="inlineStr">
        <is>
          <t>全部维度一起进入受约束模型，权重非负且总和为1。</t>
        </is>
      </c>
      <c r="K66" s="2" t="inlineStr">
        <is>
          <t>受约束回归/校准</t>
        </is>
      </c>
      <c r="L66" s="2" t="inlineStr">
        <is>
          <t>小样本时保持专家值，不逐项手改。</t>
        </is>
      </c>
      <c r="M66" s="2" t="inlineStr">
        <is>
          <t>case_agent_demo/evidence_reasoning.py -&gt; QUALITY_DIMENSION_WEIGHTS.directness</t>
        </is>
      </c>
      <c r="N66" s="2" t="inlineStr">
        <is>
          <t>否</t>
        </is>
      </c>
      <c r="O66" s="2" t="inlineStr">
        <is>
          <t>不是按角色计算的真实性比例。</t>
        </is>
      </c>
    </row>
    <row r="67">
      <c r="A67" s="2" t="inlineStr">
        <is>
          <t>证据质量</t>
        </is>
      </c>
      <c r="B67" s="2" t="inlineStr">
        <is>
          <t>evidence_quality</t>
        </is>
      </c>
      <c r="C67" s="2" t="inlineStr">
        <is>
          <t>current</t>
        </is>
      </c>
      <c r="D67" s="2" t="inlineStr">
        <is>
          <t>quality</t>
        </is>
      </c>
      <c r="E67" s="2" t="inlineStr">
        <is>
          <t>quality_weight</t>
        </is>
      </c>
      <c r="F67" s="2" t="inlineStr">
        <is>
          <t>authenticity</t>
        </is>
      </c>
      <c r="G67" s="2" t="n">
        <v>0.12</v>
      </c>
      <c r="H67" s="2" t="inlineStr">
        <is>
          <t>可以但必须整体拟合</t>
        </is>
      </c>
      <c r="I67" s="2" t="inlineStr">
        <is>
          <t>该维度评分、独立真值、最终预测误差；需保留验证集。</t>
        </is>
      </c>
      <c r="J67" s="2" t="inlineStr">
        <is>
          <t>全部维度一起进入受约束模型，权重非负且总和为1。</t>
        </is>
      </c>
      <c r="K67" s="2" t="inlineStr">
        <is>
          <t>受约束回归/校准</t>
        </is>
      </c>
      <c r="L67" s="2" t="inlineStr">
        <is>
          <t>小样本时保持专家值，不逐项手改。</t>
        </is>
      </c>
      <c r="M67" s="2" t="inlineStr">
        <is>
          <t>case_agent_demo/evidence_reasoning.py -&gt; QUALITY_DIMENSION_WEIGHTS.authenticity</t>
        </is>
      </c>
      <c r="N67" s="2" t="inlineStr">
        <is>
          <t>否</t>
        </is>
      </c>
      <c r="O67" s="2" t="inlineStr">
        <is>
          <t>不是按角色计算的真实性比例。</t>
        </is>
      </c>
    </row>
    <row r="68">
      <c r="A68" s="2" t="inlineStr">
        <is>
          <t>证据质量</t>
        </is>
      </c>
      <c r="B68" s="2" t="inlineStr">
        <is>
          <t>evidence_quality</t>
        </is>
      </c>
      <c r="C68" s="2" t="inlineStr">
        <is>
          <t>current</t>
        </is>
      </c>
      <c r="D68" s="2" t="inlineStr">
        <is>
          <t>quality</t>
        </is>
      </c>
      <c r="E68" s="2" t="inlineStr">
        <is>
          <t>quality_weight</t>
        </is>
      </c>
      <c r="F68" s="2" t="inlineStr">
        <is>
          <t>procedural_integrity</t>
        </is>
      </c>
      <c r="G68" s="2" t="n">
        <v>0.1</v>
      </c>
      <c r="H68" s="2" t="inlineStr">
        <is>
          <t>可以但必须整体拟合</t>
        </is>
      </c>
      <c r="I68" s="2" t="inlineStr">
        <is>
          <t>该维度评分、独立真值、最终预测误差；需保留验证集。</t>
        </is>
      </c>
      <c r="J68" s="2" t="inlineStr">
        <is>
          <t>全部维度一起进入受约束模型，权重非负且总和为1。</t>
        </is>
      </c>
      <c r="K68" s="2" t="inlineStr">
        <is>
          <t>受约束回归/校准</t>
        </is>
      </c>
      <c r="L68" s="2" t="inlineStr">
        <is>
          <t>小样本时保持专家值，不逐项手改。</t>
        </is>
      </c>
      <c r="M68" s="2" t="inlineStr">
        <is>
          <t>case_agent_demo/evidence_reasoning.py -&gt; QUALITY_DIMENSION_WEIGHTS.procedural_integrity</t>
        </is>
      </c>
      <c r="N68" s="2" t="inlineStr">
        <is>
          <t>否</t>
        </is>
      </c>
      <c r="O68" s="2" t="inlineStr">
        <is>
          <t>不是按角色计算的真实性比例。</t>
        </is>
      </c>
    </row>
    <row r="69">
      <c r="A69" s="2" t="inlineStr">
        <is>
          <t>证据质量</t>
        </is>
      </c>
      <c r="B69" s="2" t="inlineStr">
        <is>
          <t>evidence_quality</t>
        </is>
      </c>
      <c r="C69" s="2" t="inlineStr">
        <is>
          <t>current</t>
        </is>
      </c>
      <c r="D69" s="2" t="inlineStr">
        <is>
          <t>quality</t>
        </is>
      </c>
      <c r="E69" s="2" t="inlineStr">
        <is>
          <t>quality_weight</t>
        </is>
      </c>
      <c r="F69" s="2" t="inlineStr">
        <is>
          <t>internal_consistency</t>
        </is>
      </c>
      <c r="G69" s="2" t="n">
        <v>0.1</v>
      </c>
      <c r="H69" s="2" t="inlineStr">
        <is>
          <t>可以但必须整体拟合</t>
        </is>
      </c>
      <c r="I69" s="2" t="inlineStr">
        <is>
          <t>该维度评分、独立真值、最终预测误差；需保留验证集。</t>
        </is>
      </c>
      <c r="J69" s="2" t="inlineStr">
        <is>
          <t>全部维度一起进入受约束模型，权重非负且总和为1。</t>
        </is>
      </c>
      <c r="K69" s="2" t="inlineStr">
        <is>
          <t>受约束回归/校准</t>
        </is>
      </c>
      <c r="L69" s="2" t="inlineStr">
        <is>
          <t>小样本时保持专家值，不逐项手改。</t>
        </is>
      </c>
      <c r="M69" s="2" t="inlineStr">
        <is>
          <t>case_agent_demo/evidence_reasoning.py -&gt; QUALITY_DIMENSION_WEIGHTS.internal_consistency</t>
        </is>
      </c>
      <c r="N69" s="2" t="inlineStr">
        <is>
          <t>否</t>
        </is>
      </c>
      <c r="O69" s="2" t="inlineStr">
        <is>
          <t>不是按角色计算的真实性比例。</t>
        </is>
      </c>
    </row>
    <row r="70">
      <c r="A70" s="2" t="inlineStr">
        <is>
          <t>证据质量</t>
        </is>
      </c>
      <c r="B70" s="2" t="inlineStr">
        <is>
          <t>evidence_quality</t>
        </is>
      </c>
      <c r="C70" s="2" t="inlineStr">
        <is>
          <t>current</t>
        </is>
      </c>
      <c r="D70" s="2" t="inlineStr">
        <is>
          <t>quality</t>
        </is>
      </c>
      <c r="E70" s="2" t="inlineStr">
        <is>
          <t>quality_weight</t>
        </is>
      </c>
      <c r="F70" s="2" t="inlineStr">
        <is>
          <t>verifiability</t>
        </is>
      </c>
      <c r="G70" s="2" t="n">
        <v>0.09</v>
      </c>
      <c r="H70" s="2" t="inlineStr">
        <is>
          <t>可以但必须整体拟合</t>
        </is>
      </c>
      <c r="I70" s="2" t="inlineStr">
        <is>
          <t>该维度评分、独立真值、最终预测误差；需保留验证集。</t>
        </is>
      </c>
      <c r="J70" s="2" t="inlineStr">
        <is>
          <t>全部维度一起进入受约束模型，权重非负且总和为1。</t>
        </is>
      </c>
      <c r="K70" s="2" t="inlineStr">
        <is>
          <t>受约束回归/校准</t>
        </is>
      </c>
      <c r="L70" s="2" t="inlineStr">
        <is>
          <t>小样本时保持专家值，不逐项手改。</t>
        </is>
      </c>
      <c r="M70" s="2" t="inlineStr">
        <is>
          <t>case_agent_demo/evidence_reasoning.py -&gt; QUALITY_DIMENSION_WEIGHTS.verifiability</t>
        </is>
      </c>
      <c r="N70" s="2" t="inlineStr">
        <is>
          <t>否</t>
        </is>
      </c>
      <c r="O70" s="2" t="inlineStr">
        <is>
          <t>不是按角色计算的真实性比例。</t>
        </is>
      </c>
    </row>
    <row r="71">
      <c r="A71" s="2" t="inlineStr">
        <is>
          <t>证据质量</t>
        </is>
      </c>
      <c r="B71" s="2" t="inlineStr">
        <is>
          <t>evidence_quality</t>
        </is>
      </c>
      <c r="C71" s="2" t="inlineStr">
        <is>
          <t>current</t>
        </is>
      </c>
      <c r="D71" s="2" t="inlineStr">
        <is>
          <t>source_type</t>
        </is>
      </c>
      <c r="E71" s="2" t="inlineStr">
        <is>
          <t>source_type_quality</t>
        </is>
      </c>
      <c r="F71" s="2" t="inlineStr">
        <is>
          <t>statement</t>
        </is>
      </c>
      <c r="G71" s="2" t="n">
        <v>0.65</v>
      </c>
      <c r="H71" s="2" t="inlineStr">
        <is>
          <t>可监测，暂不直接改</t>
        </is>
      </c>
      <c r="I71" s="2" t="inlineStr">
        <is>
          <t>来源类别×谓词×立场的TP/FP/FN/TN、未知数和依赖组。</t>
        </is>
      </c>
      <c r="J71" s="2" t="inlineStr">
        <is>
          <t>先算肯定/否定主张正确率并做分层收缩，再评估是否需要重构全局默认值。</t>
        </is>
      </c>
      <c r="K71" s="2" t="inlineStr">
        <is>
          <t>分层Beta或校准模型</t>
        </is>
      </c>
      <c r="L71" s="2" t="inlineStr">
        <is>
          <t>单一月份、单一角色或单一谓词不得直接覆盖全局值。</t>
        </is>
      </c>
      <c r="M71" s="2" t="inlineStr">
        <is>
          <t>case_agent_demo/evidence_reasoning.py -&gt; SOURCE_TYPE_QUALITY.statement</t>
        </is>
      </c>
      <c r="N71" s="2" t="inlineStr">
        <is>
          <t>否</t>
        </is>
      </c>
      <c r="O71" s="2" t="inlineStr">
        <is>
          <t>角色只能作为分组变量，不能形成永久人格可信度。</t>
        </is>
      </c>
    </row>
    <row r="72">
      <c r="A72" s="2" t="inlineStr">
        <is>
          <t>证据质量</t>
        </is>
      </c>
      <c r="B72" s="2" t="inlineStr">
        <is>
          <t>evidence_quality</t>
        </is>
      </c>
      <c r="C72" s="2" t="inlineStr">
        <is>
          <t>current</t>
        </is>
      </c>
      <c r="D72" s="2" t="inlineStr">
        <is>
          <t>source_type</t>
        </is>
      </c>
      <c r="E72" s="2" t="inlineStr">
        <is>
          <t>source_type_quality</t>
        </is>
      </c>
      <c r="F72" s="2" t="inlineStr">
        <is>
          <t>evidence_image</t>
        </is>
      </c>
      <c r="G72" s="2" t="n">
        <v>0.7</v>
      </c>
      <c r="H72" s="2" t="inlineStr">
        <is>
          <t>可监测，暂不直接改</t>
        </is>
      </c>
      <c r="I72" s="2" t="inlineStr">
        <is>
          <t>来源类别×谓词×立场的TP/FP/FN/TN、未知数和依赖组。</t>
        </is>
      </c>
      <c r="J72" s="2" t="inlineStr">
        <is>
          <t>先算肯定/否定主张正确率并做分层收缩，再评估是否需要重构全局默认值。</t>
        </is>
      </c>
      <c r="K72" s="2" t="inlineStr">
        <is>
          <t>分层Beta或校准模型</t>
        </is>
      </c>
      <c r="L72" s="2" t="inlineStr">
        <is>
          <t>单一月份、单一角色或单一谓词不得直接覆盖全局值。</t>
        </is>
      </c>
      <c r="M72" s="2" t="inlineStr">
        <is>
          <t>case_agent_demo/evidence_reasoning.py -&gt; SOURCE_TYPE_QUALITY.evidence_image</t>
        </is>
      </c>
      <c r="N72" s="2" t="inlineStr">
        <is>
          <t>否</t>
        </is>
      </c>
      <c r="O72" s="2" t="inlineStr">
        <is>
          <t>角色只能作为分组变量，不能形成永久人格可信度。</t>
        </is>
      </c>
    </row>
    <row r="73">
      <c r="A73" s="2" t="inlineStr">
        <is>
          <t>证据质量</t>
        </is>
      </c>
      <c r="B73" s="2" t="inlineStr">
        <is>
          <t>evidence_quality</t>
        </is>
      </c>
      <c r="C73" s="2" t="inlineStr">
        <is>
          <t>current</t>
        </is>
      </c>
      <c r="D73" s="2" t="inlineStr">
        <is>
          <t>source_type</t>
        </is>
      </c>
      <c r="E73" s="2" t="inlineStr">
        <is>
          <t>source_type_quality</t>
        </is>
      </c>
      <c r="F73" s="2" t="inlineStr">
        <is>
          <t>report_image</t>
        </is>
      </c>
      <c r="G73" s="2" t="n">
        <v>0.8</v>
      </c>
      <c r="H73" s="2" t="inlineStr">
        <is>
          <t>可监测，暂不直接改</t>
        </is>
      </c>
      <c r="I73" s="2" t="inlineStr">
        <is>
          <t>来源类别×谓词×立场的TP/FP/FN/TN、未知数和依赖组。</t>
        </is>
      </c>
      <c r="J73" s="2" t="inlineStr">
        <is>
          <t>先算肯定/否定主张正确率并做分层收缩，再评估是否需要重构全局默认值。</t>
        </is>
      </c>
      <c r="K73" s="2" t="inlineStr">
        <is>
          <t>分层Beta或校准模型</t>
        </is>
      </c>
      <c r="L73" s="2" t="inlineStr">
        <is>
          <t>单一月份、单一角色或单一谓词不得直接覆盖全局值。</t>
        </is>
      </c>
      <c r="M73" s="2" t="inlineStr">
        <is>
          <t>case_agent_demo/evidence_reasoning.py -&gt; SOURCE_TYPE_QUALITY.report_image</t>
        </is>
      </c>
      <c r="N73" s="2" t="inlineStr">
        <is>
          <t>否</t>
        </is>
      </c>
      <c r="O73" s="2" t="inlineStr">
        <is>
          <t>角色只能作为分组变量，不能形成永久人格可信度。</t>
        </is>
      </c>
    </row>
    <row r="74">
      <c r="A74" s="2" t="inlineStr">
        <is>
          <t>证据质量</t>
        </is>
      </c>
      <c r="B74" s="2" t="inlineStr">
        <is>
          <t>evidence_quality</t>
        </is>
      </c>
      <c r="C74" s="2" t="inlineStr">
        <is>
          <t>current</t>
        </is>
      </c>
      <c r="D74" s="2" t="inlineStr">
        <is>
          <t>source_type</t>
        </is>
      </c>
      <c r="E74" s="2" t="inlineStr">
        <is>
          <t>source_type_quality</t>
        </is>
      </c>
      <c r="F74" s="2" t="inlineStr">
        <is>
          <t>official_report</t>
        </is>
      </c>
      <c r="G74" s="2" t="n">
        <v>0.85</v>
      </c>
      <c r="H74" s="2" t="inlineStr">
        <is>
          <t>可监测，暂不直接改</t>
        </is>
      </c>
      <c r="I74" s="2" t="inlineStr">
        <is>
          <t>来源类别×谓词×立场的TP/FP/FN/TN、未知数和依赖组。</t>
        </is>
      </c>
      <c r="J74" s="2" t="inlineStr">
        <is>
          <t>先算肯定/否定主张正确率并做分层收缩，再评估是否需要重构全局默认值。</t>
        </is>
      </c>
      <c r="K74" s="2" t="inlineStr">
        <is>
          <t>分层Beta或校准模型</t>
        </is>
      </c>
      <c r="L74" s="2" t="inlineStr">
        <is>
          <t>单一月份、单一角色或单一谓词不得直接覆盖全局值。</t>
        </is>
      </c>
      <c r="M74" s="2" t="inlineStr">
        <is>
          <t>case_agent_demo/evidence_reasoning.py -&gt; SOURCE_TYPE_QUALITY.official_report</t>
        </is>
      </c>
      <c r="N74" s="2" t="inlineStr">
        <is>
          <t>否</t>
        </is>
      </c>
      <c r="O74" s="2" t="inlineStr">
        <is>
          <t>角色只能作为分组变量，不能形成永久人格可信度。</t>
        </is>
      </c>
    </row>
    <row r="75">
      <c r="A75" s="2" t="inlineStr">
        <is>
          <t>证据质量</t>
        </is>
      </c>
      <c r="B75" s="2" t="inlineStr">
        <is>
          <t>evidence_quality</t>
        </is>
      </c>
      <c r="C75" s="2" t="inlineStr">
        <is>
          <t>current</t>
        </is>
      </c>
      <c r="D75" s="2" t="inlineStr">
        <is>
          <t>source_type</t>
        </is>
      </c>
      <c r="E75" s="2" t="inlineStr">
        <is>
          <t>source_type_quality</t>
        </is>
      </c>
      <c r="F75" s="2" t="inlineStr">
        <is>
          <t>forensic_report</t>
        </is>
      </c>
      <c r="G75" s="2" t="n">
        <v>0.9</v>
      </c>
      <c r="H75" s="2" t="inlineStr">
        <is>
          <t>可监测，暂不直接改</t>
        </is>
      </c>
      <c r="I75" s="2" t="inlineStr">
        <is>
          <t>来源类别×谓词×立场的TP/FP/FN/TN、未知数和依赖组。</t>
        </is>
      </c>
      <c r="J75" s="2" t="inlineStr">
        <is>
          <t>先算肯定/否定主张正确率并做分层收缩，再评估是否需要重构全局默认值。</t>
        </is>
      </c>
      <c r="K75" s="2" t="inlineStr">
        <is>
          <t>分层Beta或校准模型</t>
        </is>
      </c>
      <c r="L75" s="2" t="inlineStr">
        <is>
          <t>单一月份、单一角色或单一谓词不得直接覆盖全局值。</t>
        </is>
      </c>
      <c r="M75" s="2" t="inlineStr">
        <is>
          <t>case_agent_demo/evidence_reasoning.py -&gt; SOURCE_TYPE_QUALITY.forensic_report</t>
        </is>
      </c>
      <c r="N75" s="2" t="inlineStr">
        <is>
          <t>否</t>
        </is>
      </c>
      <c r="O75" s="2" t="inlineStr">
        <is>
          <t>角色只能作为分组变量，不能形成永久人格可信度。</t>
        </is>
      </c>
    </row>
    <row r="76">
      <c r="A76" s="2" t="inlineStr">
        <is>
          <t>证据质量</t>
        </is>
      </c>
      <c r="B76" s="2" t="inlineStr">
        <is>
          <t>evidence_quality</t>
        </is>
      </c>
      <c r="C76" s="2" t="inlineStr">
        <is>
          <t>current</t>
        </is>
      </c>
      <c r="D76" s="2" t="inlineStr">
        <is>
          <t>source_type</t>
        </is>
      </c>
      <c r="E76" s="2" t="inlineStr">
        <is>
          <t>source_type_quality</t>
        </is>
      </c>
      <c r="F76" s="2" t="inlineStr">
        <is>
          <t>party_submitted_image</t>
        </is>
      </c>
      <c r="G76" s="2" t="n">
        <v>0.6</v>
      </c>
      <c r="H76" s="2" t="inlineStr">
        <is>
          <t>可监测，暂不直接改</t>
        </is>
      </c>
      <c r="I76" s="2" t="inlineStr">
        <is>
          <t>来源类别×谓词×立场的TP/FP/FN/TN、未知数和依赖组。</t>
        </is>
      </c>
      <c r="J76" s="2" t="inlineStr">
        <is>
          <t>先算肯定/否定主张正确率并做分层收缩，再评估是否需要重构全局默认值。</t>
        </is>
      </c>
      <c r="K76" s="2" t="inlineStr">
        <is>
          <t>分层Beta或校准模型</t>
        </is>
      </c>
      <c r="L76" s="2" t="inlineStr">
        <is>
          <t>单一月份、单一角色或单一谓词不得直接覆盖全局值。</t>
        </is>
      </c>
      <c r="M76" s="2" t="inlineStr">
        <is>
          <t>case_agent_demo/evidence_reasoning.py -&gt; SOURCE_TYPE_QUALITY.party_submitted_image</t>
        </is>
      </c>
      <c r="N76" s="2" t="inlineStr">
        <is>
          <t>否</t>
        </is>
      </c>
      <c r="O76" s="2" t="inlineStr">
        <is>
          <t>角色只能作为分组变量，不能形成永久人格可信度。</t>
        </is>
      </c>
    </row>
    <row r="77">
      <c r="A77" s="2" t="inlineStr">
        <is>
          <t>证据质量</t>
        </is>
      </c>
      <c r="B77" s="2" t="inlineStr">
        <is>
          <t>evidence_quality</t>
        </is>
      </c>
      <c r="C77" s="2" t="inlineStr">
        <is>
          <t>current</t>
        </is>
      </c>
      <c r="D77" s="2" t="inlineStr">
        <is>
          <t>source_type</t>
        </is>
      </c>
      <c r="E77" s="2" t="inlineStr">
        <is>
          <t>source_type_quality</t>
        </is>
      </c>
      <c r="F77" s="2" t="inlineStr">
        <is>
          <t>manual_verified</t>
        </is>
      </c>
      <c r="G77" s="2" t="n">
        <v>0.95</v>
      </c>
      <c r="H77" s="2" t="inlineStr">
        <is>
          <t>可监测，暂不直接改</t>
        </is>
      </c>
      <c r="I77" s="2" t="inlineStr">
        <is>
          <t>来源类别×谓词×立场的TP/FP/FN/TN、未知数和依赖组。</t>
        </is>
      </c>
      <c r="J77" s="2" t="inlineStr">
        <is>
          <t>先算肯定/否定主张正确率并做分层收缩，再评估是否需要重构全局默认值。</t>
        </is>
      </c>
      <c r="K77" s="2" t="inlineStr">
        <is>
          <t>分层Beta或校准模型</t>
        </is>
      </c>
      <c r="L77" s="2" t="inlineStr">
        <is>
          <t>单一月份、单一角色或单一谓词不得直接覆盖全局值。</t>
        </is>
      </c>
      <c r="M77" s="2" t="inlineStr">
        <is>
          <t>case_agent_demo/evidence_reasoning.py -&gt; SOURCE_TYPE_QUALITY.manual_verified</t>
        </is>
      </c>
      <c r="N77" s="2" t="inlineStr">
        <is>
          <t>否</t>
        </is>
      </c>
      <c r="O77" s="2" t="inlineStr">
        <is>
          <t>角色只能作为分组变量，不能形成永久人格可信度。</t>
        </is>
      </c>
    </row>
    <row r="78">
      <c r="A78" s="2" t="inlineStr">
        <is>
          <t>权威锚定</t>
        </is>
      </c>
      <c r="B78" s="2" t="inlineStr">
        <is>
          <t>authority</t>
        </is>
      </c>
      <c r="C78" s="2" t="inlineStr">
        <is>
          <t>current</t>
        </is>
      </c>
      <c r="D78" s="2" t="inlineStr">
        <is>
          <t>verified_forensic_injury_grade</t>
        </is>
      </c>
      <c r="E78" s="2" t="inlineStr">
        <is>
          <t>mean</t>
        </is>
      </c>
      <c r="F78" s="2" t="inlineStr"/>
      <c r="G78" s="2" t="n">
        <v>0.99</v>
      </c>
      <c r="H78" s="2" t="inlineStr">
        <is>
          <t>只监测，不自动修改</t>
        </is>
      </c>
      <c r="I78" s="2" t="inlineStr">
        <is>
          <t>有效文书数、被推翻/替代数、程序无效数及选择机制说明。</t>
        </is>
      </c>
      <c r="J78" s="2" t="inlineStr">
        <is>
          <t>只形成监测率；需考虑重新鉴定样本的选择偏差。</t>
        </is>
      </c>
      <c r="K78" s="2" t="inlineStr">
        <is>
          <t>治理复核+敏感性分析</t>
        </is>
      </c>
      <c r="L78" s="2" t="inlineStr">
        <is>
          <t>必须由法律/专业委员会批准。</t>
        </is>
      </c>
      <c r="M78" s="2" t="inlineStr">
        <is>
          <t>config/authority_rules.json -&gt; rules[verified_forensic_injury_grade].mean</t>
        </is>
      </c>
      <c r="N78" s="2" t="inlineStr">
        <is>
          <t>否</t>
        </is>
      </c>
      <c r="O78" s="2" t="inlineStr">
        <is>
          <t>权威范围和有效性不是普通来源正确率。</t>
        </is>
      </c>
    </row>
    <row r="79">
      <c r="A79" s="2" t="inlineStr">
        <is>
          <t>权威锚定</t>
        </is>
      </c>
      <c r="B79" s="2" t="inlineStr">
        <is>
          <t>authority</t>
        </is>
      </c>
      <c r="C79" s="2" t="inlineStr">
        <is>
          <t>current</t>
        </is>
      </c>
      <c r="D79" s="2" t="inlineStr">
        <is>
          <t>verified_forensic_injury_grade</t>
        </is>
      </c>
      <c r="E79" s="2" t="inlineStr">
        <is>
          <t>strength</t>
        </is>
      </c>
      <c r="F79" s="2" t="inlineStr"/>
      <c r="G79" s="2" t="n">
        <v>50</v>
      </c>
      <c r="H79" s="2" t="inlineStr">
        <is>
          <t>只监测，不自动修改</t>
        </is>
      </c>
      <c r="I79" s="2" t="inlineStr">
        <is>
          <t>有效文书数、被推翻/替代数、程序无效数及选择机制说明。</t>
        </is>
      </c>
      <c r="J79" s="2" t="inlineStr">
        <is>
          <t>只形成监测率；需考虑重新鉴定样本的选择偏差。</t>
        </is>
      </c>
      <c r="K79" s="2" t="inlineStr">
        <is>
          <t>治理复核+敏感性分析</t>
        </is>
      </c>
      <c r="L79" s="2" t="inlineStr">
        <is>
          <t>必须由法律/专业委员会批准。</t>
        </is>
      </c>
      <c r="M79" s="2" t="inlineStr">
        <is>
          <t>config/authority_rules.json -&gt; rules[verified_forensic_injury_grade].strength</t>
        </is>
      </c>
      <c r="N79" s="2" t="inlineStr">
        <is>
          <t>否</t>
        </is>
      </c>
      <c r="O79" s="2" t="inlineStr">
        <is>
          <t>权威范围和有效性不是普通来源正确率。</t>
        </is>
      </c>
    </row>
    <row r="80">
      <c r="A80" s="2" t="inlineStr">
        <is>
          <t>网络结构</t>
        </is>
      </c>
      <c r="B80" s="2" t="inlineStr">
        <is>
          <t>registry</t>
        </is>
      </c>
      <c r="C80" s="2" t="inlineStr">
        <is>
          <t>current</t>
        </is>
      </c>
      <c r="D80" s="2" t="inlineStr">
        <is>
          <t>all</t>
        </is>
      </c>
      <c r="E80" s="2" t="inlineStr">
        <is>
          <t>edge/required_inputs</t>
        </is>
      </c>
      <c r="F80" s="2" t="inlineStr"/>
      <c r="G80" s="2" t="inlineStr">
        <is>
          <t>见registry.json</t>
        </is>
      </c>
      <c r="H80" s="2" t="inlineStr">
        <is>
          <t>禁止自动修改</t>
        </is>
      </c>
      <c r="I80" s="2" t="inlineStr">
        <is>
          <t>只能收集误差案例作为专家审查材料。</t>
        </is>
      </c>
      <c r="J80" s="2" t="inlineStr">
        <is>
          <t>不从频率自动生成边。</t>
        </is>
      </c>
      <c r="K80" s="2" t="inlineStr">
        <is>
          <t>因果/领域专家审查</t>
        </is>
      </c>
      <c r="L80" s="2" t="inlineStr">
        <is>
          <t>无自动样本阈值。</t>
        </is>
      </c>
      <c r="M80" s="2" t="inlineStr">
        <is>
          <t>config/bayesian_models/registry.json</t>
        </is>
      </c>
      <c r="N80" s="2" t="inlineStr">
        <is>
          <t>否</t>
        </is>
      </c>
      <c r="O80" s="2" t="inlineStr">
        <is>
          <t>边方向和必需输入属于模型设计与安全边界。</t>
        </is>
      </c>
    </row>
    <row r="81">
      <c r="A81" s="2" t="inlineStr">
        <is>
          <t>法律规则</t>
        </is>
      </c>
      <c r="B81" s="2" t="inlineStr">
        <is>
          <t>legal_rules</t>
        </is>
      </c>
      <c r="C81" s="2" t="inlineStr">
        <is>
          <t>current</t>
        </is>
      </c>
      <c r="D81" s="2" t="inlineStr">
        <is>
          <t>all</t>
        </is>
      </c>
      <c r="E81" s="2" t="inlineStr">
        <is>
          <t>threshold/rule</t>
        </is>
      </c>
      <c r="F81" s="2" t="inlineStr"/>
      <c r="G81" s="2" t="inlineStr">
        <is>
          <t>见法律配置</t>
        </is>
      </c>
      <c r="H81" s="2" t="inlineStr">
        <is>
          <t>禁止</t>
        </is>
      </c>
      <c r="I81" s="2" t="inlineStr">
        <is>
          <t>不采集训练统计。</t>
        </is>
      </c>
      <c r="J81" s="2" t="inlineStr">
        <is>
          <t>确定性法律规则。</t>
        </is>
      </c>
      <c r="K81" s="2" t="inlineStr">
        <is>
          <t>人工法律审查</t>
        </is>
      </c>
      <c r="L81" s="2" t="inlineStr">
        <is>
          <t>不适用。</t>
        </is>
      </c>
      <c r="M81" s="2" t="inlineStr">
        <is>
          <t>law_DB / legal_knowledge / legal element config</t>
        </is>
      </c>
      <c r="N81" s="2" t="inlineStr">
        <is>
          <t>否</t>
        </is>
      </c>
      <c r="O81" s="2" t="inlineStr">
        <is>
          <t>法定年龄、数额、期限、证明标准、罪名和处罚不得由历史频率学习。</t>
        </is>
      </c>
    </row>
  </sheetData>
  <autoFilter ref="A1:O81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F6B26B"/>
    <outlinePr summaryBelow="1" summaryRight="1"/>
    <pageSetUpPr/>
  </sheetPr>
  <dimension ref="A1:V200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38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34" customHeight="1">
      <c r="A1" s="1" t="inlineStr">
        <is>
          <t>记录ID</t>
        </is>
      </c>
      <c r="B1" s="1" t="inlineStr">
        <is>
          <t>样本ID</t>
        </is>
      </c>
      <c r="C1" s="1" t="inlineStr">
        <is>
          <t>数据批次</t>
        </is>
      </c>
      <c r="D1" s="1" t="inlineStr">
        <is>
          <t>观察日期</t>
        </is>
      </c>
      <c r="E1" s="1" t="inlineStr">
        <is>
          <t>模型ID</t>
        </is>
      </c>
      <c r="F1" s="1" t="inlineStr">
        <is>
          <t>模型版本</t>
        </is>
      </c>
      <c r="G1" s="1" t="inlineStr">
        <is>
          <t>节点/谓词</t>
        </is>
      </c>
      <c r="H1" s="1" t="inlineStr">
        <is>
          <t>事件ID(匿名)</t>
        </is>
      </c>
      <c r="I1" s="1" t="inlineStr">
        <is>
          <t>来源类别</t>
        </is>
      </c>
      <c r="J1" s="1" t="inlineStr">
        <is>
          <t>来源角色</t>
        </is>
      </c>
      <c r="K1" s="1" t="inlineStr">
        <is>
          <t>来源组ID</t>
        </is>
      </c>
      <c r="L1" s="1" t="inlineStr">
        <is>
          <t>来源主张标签</t>
        </is>
      </c>
      <c r="M1" s="1" t="inlineStr">
        <is>
          <t>独立核验标签</t>
        </is>
      </c>
      <c r="N1" s="1" t="inlineStr">
        <is>
          <t>核验依据类别</t>
        </is>
      </c>
      <c r="O1" s="1" t="inlineStr">
        <is>
          <t>核验人员代号</t>
        </is>
      </c>
      <c r="P1" s="1" t="inlineStr">
        <is>
          <t>复核状态</t>
        </is>
      </c>
      <c r="Q1" s="1" t="inlineStr">
        <is>
          <t>是否纳入统计</t>
        </is>
      </c>
      <c r="R1" s="1" t="inlineStr">
        <is>
          <t>统计分类</t>
        </is>
      </c>
      <c r="S1" s="1" t="inlineStr">
        <is>
          <t>排除/未知原因</t>
        </is>
      </c>
      <c r="T1" s="1" t="inlineStr">
        <is>
          <t>抽取器版本</t>
        </is>
      </c>
      <c r="U1" s="1" t="inlineStr">
        <is>
          <t>Prompt版本</t>
        </is>
      </c>
      <c r="V1" s="1" t="inlineStr">
        <is>
          <t>备注</t>
        </is>
      </c>
    </row>
    <row r="2">
      <c r="A2" s="3" t="n"/>
      <c r="B2" s="3" t="n"/>
      <c r="C2" s="3" t="n"/>
      <c r="D2" s="4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5">
        <f>IF(Q2&lt;&gt;"是","排除",IF(OR(L2="",M2=""),"",IF(OR(L2="未知",M2="未知"),"未知",IF(AND(L2="真",M2="真"),"TP",IF(AND(L2="真",M2="假"),"FP",IF(AND(L2="假",M2="真"),"FN","TN"))))))</f>
        <v/>
      </c>
      <c r="S2" s="3" t="n"/>
      <c r="T2" s="3" t="n"/>
      <c r="U2" s="3" t="n"/>
      <c r="V2" s="3" t="n"/>
    </row>
    <row r="3">
      <c r="A3" s="3" t="n"/>
      <c r="B3" s="3" t="n"/>
      <c r="C3" s="3" t="n"/>
      <c r="D3" s="4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5">
        <f>IF(Q3&lt;&gt;"是","排除",IF(OR(L3="",M3=""),"",IF(OR(L3="未知",M3="未知"),"未知",IF(AND(L3="真",M3="真"),"TP",IF(AND(L3="真",M3="假"),"FP",IF(AND(L3="假",M3="真"),"FN","TN"))))))</f>
        <v/>
      </c>
      <c r="S3" s="3" t="n"/>
      <c r="T3" s="3" t="n"/>
      <c r="U3" s="3" t="n"/>
      <c r="V3" s="3" t="n"/>
    </row>
    <row r="4">
      <c r="A4" s="3" t="n"/>
      <c r="B4" s="3" t="n"/>
      <c r="C4" s="3" t="n"/>
      <c r="D4" s="4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5">
        <f>IF(Q4&lt;&gt;"是","排除",IF(OR(L4="",M4=""),"",IF(OR(L4="未知",M4="未知"),"未知",IF(AND(L4="真",M4="真"),"TP",IF(AND(L4="真",M4="假"),"FP",IF(AND(L4="假",M4="真"),"FN","TN"))))))</f>
        <v/>
      </c>
      <c r="S4" s="3" t="n"/>
      <c r="T4" s="3" t="n"/>
      <c r="U4" s="3" t="n"/>
      <c r="V4" s="3" t="n"/>
    </row>
    <row r="5">
      <c r="A5" s="3" t="n"/>
      <c r="B5" s="3" t="n"/>
      <c r="C5" s="3" t="n"/>
      <c r="D5" s="4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5">
        <f>IF(Q5&lt;&gt;"是","排除",IF(OR(L5="",M5=""),"",IF(OR(L5="未知",M5="未知"),"未知",IF(AND(L5="真",M5="真"),"TP",IF(AND(L5="真",M5="假"),"FP",IF(AND(L5="假",M5="真"),"FN","TN"))))))</f>
        <v/>
      </c>
      <c r="S5" s="3" t="n"/>
      <c r="T5" s="3" t="n"/>
      <c r="U5" s="3" t="n"/>
      <c r="V5" s="3" t="n"/>
    </row>
    <row r="6">
      <c r="A6" s="3" t="n"/>
      <c r="B6" s="3" t="n"/>
      <c r="C6" s="3" t="n"/>
      <c r="D6" s="4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5">
        <f>IF(Q6&lt;&gt;"是","排除",IF(OR(L6="",M6=""),"",IF(OR(L6="未知",M6="未知"),"未知",IF(AND(L6="真",M6="真"),"TP",IF(AND(L6="真",M6="假"),"FP",IF(AND(L6="假",M6="真"),"FN","TN"))))))</f>
        <v/>
      </c>
      <c r="S6" s="3" t="n"/>
      <c r="T6" s="3" t="n"/>
      <c r="U6" s="3" t="n"/>
      <c r="V6" s="3" t="n"/>
    </row>
    <row r="7">
      <c r="A7" s="3" t="n"/>
      <c r="B7" s="3" t="n"/>
      <c r="C7" s="3" t="n"/>
      <c r="D7" s="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5">
        <f>IF(Q7&lt;&gt;"是","排除",IF(OR(L7="",M7=""),"",IF(OR(L7="未知",M7="未知"),"未知",IF(AND(L7="真",M7="真"),"TP",IF(AND(L7="真",M7="假"),"FP",IF(AND(L7="假",M7="真"),"FN","TN"))))))</f>
        <v/>
      </c>
      <c r="S7" s="3" t="n"/>
      <c r="T7" s="3" t="n"/>
      <c r="U7" s="3" t="n"/>
      <c r="V7" s="3" t="n"/>
    </row>
    <row r="8">
      <c r="A8" s="3" t="n"/>
      <c r="B8" s="3" t="n"/>
      <c r="C8" s="3" t="n"/>
      <c r="D8" s="4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5">
        <f>IF(Q8&lt;&gt;"是","排除",IF(OR(L8="",M8=""),"",IF(OR(L8="未知",M8="未知"),"未知",IF(AND(L8="真",M8="真"),"TP",IF(AND(L8="真",M8="假"),"FP",IF(AND(L8="假",M8="真"),"FN","TN"))))))</f>
        <v/>
      </c>
      <c r="S8" s="3" t="n"/>
      <c r="T8" s="3" t="n"/>
      <c r="U8" s="3" t="n"/>
      <c r="V8" s="3" t="n"/>
    </row>
    <row r="9">
      <c r="A9" s="3" t="n"/>
      <c r="B9" s="3" t="n"/>
      <c r="C9" s="3" t="n"/>
      <c r="D9" s="4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5">
        <f>IF(Q9&lt;&gt;"是","排除",IF(OR(L9="",M9=""),"",IF(OR(L9="未知",M9="未知"),"未知",IF(AND(L9="真",M9="真"),"TP",IF(AND(L9="真",M9="假"),"FP",IF(AND(L9="假",M9="真"),"FN","TN"))))))</f>
        <v/>
      </c>
      <c r="S9" s="3" t="n"/>
      <c r="T9" s="3" t="n"/>
      <c r="U9" s="3" t="n"/>
      <c r="V9" s="3" t="n"/>
    </row>
    <row r="10">
      <c r="A10" s="3" t="n"/>
      <c r="B10" s="3" t="n"/>
      <c r="C10" s="3" t="n"/>
      <c r="D10" s="4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5">
        <f>IF(Q10&lt;&gt;"是","排除",IF(OR(L10="",M10=""),"",IF(OR(L10="未知",M10="未知"),"未知",IF(AND(L10="真",M10="真"),"TP",IF(AND(L10="真",M10="假"),"FP",IF(AND(L10="假",M10="真"),"FN","TN"))))))</f>
        <v/>
      </c>
      <c r="S10" s="3" t="n"/>
      <c r="T10" s="3" t="n"/>
      <c r="U10" s="3" t="n"/>
      <c r="V10" s="3" t="n"/>
    </row>
    <row r="11">
      <c r="A11" s="3" t="n"/>
      <c r="B11" s="3" t="n"/>
      <c r="C11" s="3" t="n"/>
      <c r="D11" s="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5">
        <f>IF(Q11&lt;&gt;"是","排除",IF(OR(L11="",M11=""),"",IF(OR(L11="未知",M11="未知"),"未知",IF(AND(L11="真",M11="真"),"TP",IF(AND(L11="真",M11="假"),"FP",IF(AND(L11="假",M11="真"),"FN","TN"))))))</f>
        <v/>
      </c>
      <c r="S11" s="3" t="n"/>
      <c r="T11" s="3" t="n"/>
      <c r="U11" s="3" t="n"/>
      <c r="V11" s="3" t="n"/>
    </row>
    <row r="12">
      <c r="A12" s="3" t="n"/>
      <c r="B12" s="3" t="n"/>
      <c r="C12" s="3" t="n"/>
      <c r="D12" s="4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5">
        <f>IF(Q12&lt;&gt;"是","排除",IF(OR(L12="",M12=""),"",IF(OR(L12="未知",M12="未知"),"未知",IF(AND(L12="真",M12="真"),"TP",IF(AND(L12="真",M12="假"),"FP",IF(AND(L12="假",M12="真"),"FN","TN"))))))</f>
        <v/>
      </c>
      <c r="S12" s="3" t="n"/>
      <c r="T12" s="3" t="n"/>
      <c r="U12" s="3" t="n"/>
      <c r="V12" s="3" t="n"/>
    </row>
    <row r="13">
      <c r="A13" s="3" t="n"/>
      <c r="B13" s="3" t="n"/>
      <c r="C13" s="3" t="n"/>
      <c r="D13" s="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5">
        <f>IF(Q13&lt;&gt;"是","排除",IF(OR(L13="",M13=""),"",IF(OR(L13="未知",M13="未知"),"未知",IF(AND(L13="真",M13="真"),"TP",IF(AND(L13="真",M13="假"),"FP",IF(AND(L13="假",M13="真"),"FN","TN"))))))</f>
        <v/>
      </c>
      <c r="S13" s="3" t="n"/>
      <c r="T13" s="3" t="n"/>
      <c r="U13" s="3" t="n"/>
      <c r="V13" s="3" t="n"/>
    </row>
    <row r="14">
      <c r="A14" s="3" t="n"/>
      <c r="B14" s="3" t="n"/>
      <c r="C14" s="3" t="n"/>
      <c r="D14" s="4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5">
        <f>IF(Q14&lt;&gt;"是","排除",IF(OR(L14="",M14=""),"",IF(OR(L14="未知",M14="未知"),"未知",IF(AND(L14="真",M14="真"),"TP",IF(AND(L14="真",M14="假"),"FP",IF(AND(L14="假",M14="真"),"FN","TN"))))))</f>
        <v/>
      </c>
      <c r="S14" s="3" t="n"/>
      <c r="T14" s="3" t="n"/>
      <c r="U14" s="3" t="n"/>
      <c r="V14" s="3" t="n"/>
    </row>
    <row r="15">
      <c r="A15" s="3" t="n"/>
      <c r="B15" s="3" t="n"/>
      <c r="C15" s="3" t="n"/>
      <c r="D15" s="4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5">
        <f>IF(Q15&lt;&gt;"是","排除",IF(OR(L15="",M15=""),"",IF(OR(L15="未知",M15="未知"),"未知",IF(AND(L15="真",M15="真"),"TP",IF(AND(L15="真",M15="假"),"FP",IF(AND(L15="假",M15="真"),"FN","TN"))))))</f>
        <v/>
      </c>
      <c r="S15" s="3" t="n"/>
      <c r="T15" s="3" t="n"/>
      <c r="U15" s="3" t="n"/>
      <c r="V15" s="3" t="n"/>
    </row>
    <row r="16">
      <c r="A16" s="3" t="n"/>
      <c r="B16" s="3" t="n"/>
      <c r="C16" s="3" t="n"/>
      <c r="D16" s="4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5">
        <f>IF(Q16&lt;&gt;"是","排除",IF(OR(L16="",M16=""),"",IF(OR(L16="未知",M16="未知"),"未知",IF(AND(L16="真",M16="真"),"TP",IF(AND(L16="真",M16="假"),"FP",IF(AND(L16="假",M16="真"),"FN","TN"))))))</f>
        <v/>
      </c>
      <c r="S16" s="3" t="n"/>
      <c r="T16" s="3" t="n"/>
      <c r="U16" s="3" t="n"/>
      <c r="V16" s="3" t="n"/>
    </row>
    <row r="17">
      <c r="A17" s="3" t="n"/>
      <c r="B17" s="3" t="n"/>
      <c r="C17" s="3" t="n"/>
      <c r="D17" s="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5">
        <f>IF(Q17&lt;&gt;"是","排除",IF(OR(L17="",M17=""),"",IF(OR(L17="未知",M17="未知"),"未知",IF(AND(L17="真",M17="真"),"TP",IF(AND(L17="真",M17="假"),"FP",IF(AND(L17="假",M17="真"),"FN","TN"))))))</f>
        <v/>
      </c>
      <c r="S17" s="3" t="n"/>
      <c r="T17" s="3" t="n"/>
      <c r="U17" s="3" t="n"/>
      <c r="V17" s="3" t="n"/>
    </row>
    <row r="18">
      <c r="A18" s="3" t="n"/>
      <c r="B18" s="3" t="n"/>
      <c r="C18" s="3" t="n"/>
      <c r="D18" s="4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5">
        <f>IF(Q18&lt;&gt;"是","排除",IF(OR(L18="",M18=""),"",IF(OR(L18="未知",M18="未知"),"未知",IF(AND(L18="真",M18="真"),"TP",IF(AND(L18="真",M18="假"),"FP",IF(AND(L18="假",M18="真"),"FN","TN"))))))</f>
        <v/>
      </c>
      <c r="S18" s="3" t="n"/>
      <c r="T18" s="3" t="n"/>
      <c r="U18" s="3" t="n"/>
      <c r="V18" s="3" t="n"/>
    </row>
    <row r="19">
      <c r="A19" s="3" t="n"/>
      <c r="B19" s="3" t="n"/>
      <c r="C19" s="3" t="n"/>
      <c r="D19" s="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5">
        <f>IF(Q19&lt;&gt;"是","排除",IF(OR(L19="",M19=""),"",IF(OR(L19="未知",M19="未知"),"未知",IF(AND(L19="真",M19="真"),"TP",IF(AND(L19="真",M19="假"),"FP",IF(AND(L19="假",M19="真"),"FN","TN"))))))</f>
        <v/>
      </c>
      <c r="S19" s="3" t="n"/>
      <c r="T19" s="3" t="n"/>
      <c r="U19" s="3" t="n"/>
      <c r="V19" s="3" t="n"/>
    </row>
    <row r="20">
      <c r="A20" s="3" t="n"/>
      <c r="B20" s="3" t="n"/>
      <c r="C20" s="3" t="n"/>
      <c r="D20" s="4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5">
        <f>IF(Q20&lt;&gt;"是","排除",IF(OR(L20="",M20=""),"",IF(OR(L20="未知",M20="未知"),"未知",IF(AND(L20="真",M20="真"),"TP",IF(AND(L20="真",M20="假"),"FP",IF(AND(L20="假",M20="真"),"FN","TN"))))))</f>
        <v/>
      </c>
      <c r="S20" s="3" t="n"/>
      <c r="T20" s="3" t="n"/>
      <c r="U20" s="3" t="n"/>
      <c r="V20" s="3" t="n"/>
    </row>
    <row r="21">
      <c r="A21" s="3" t="n"/>
      <c r="B21" s="3" t="n"/>
      <c r="C21" s="3" t="n"/>
      <c r="D21" s="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5">
        <f>IF(Q21&lt;&gt;"是","排除",IF(OR(L21="",M21=""),"",IF(OR(L21="未知",M21="未知"),"未知",IF(AND(L21="真",M21="真"),"TP",IF(AND(L21="真",M21="假"),"FP",IF(AND(L21="假",M21="真"),"FN","TN"))))))</f>
        <v/>
      </c>
      <c r="S21" s="3" t="n"/>
      <c r="T21" s="3" t="n"/>
      <c r="U21" s="3" t="n"/>
      <c r="V21" s="3" t="n"/>
    </row>
    <row r="22">
      <c r="A22" s="3" t="n"/>
      <c r="B22" s="3" t="n"/>
      <c r="C22" s="3" t="n"/>
      <c r="D22" s="4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5">
        <f>IF(Q22&lt;&gt;"是","排除",IF(OR(L22="",M22=""),"",IF(OR(L22="未知",M22="未知"),"未知",IF(AND(L22="真",M22="真"),"TP",IF(AND(L22="真",M22="假"),"FP",IF(AND(L22="假",M22="真"),"FN","TN"))))))</f>
        <v/>
      </c>
      <c r="S22" s="3" t="n"/>
      <c r="T22" s="3" t="n"/>
      <c r="U22" s="3" t="n"/>
      <c r="V22" s="3" t="n"/>
    </row>
    <row r="23">
      <c r="A23" s="3" t="n"/>
      <c r="B23" s="3" t="n"/>
      <c r="C23" s="3" t="n"/>
      <c r="D23" s="4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5">
        <f>IF(Q23&lt;&gt;"是","排除",IF(OR(L23="",M23=""),"",IF(OR(L23="未知",M23="未知"),"未知",IF(AND(L23="真",M23="真"),"TP",IF(AND(L23="真",M23="假"),"FP",IF(AND(L23="假",M23="真"),"FN","TN"))))))</f>
        <v/>
      </c>
      <c r="S23" s="3" t="n"/>
      <c r="T23" s="3" t="n"/>
      <c r="U23" s="3" t="n"/>
      <c r="V23" s="3" t="n"/>
    </row>
    <row r="24">
      <c r="A24" s="3" t="n"/>
      <c r="B24" s="3" t="n"/>
      <c r="C24" s="3" t="n"/>
      <c r="D24" s="4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5">
        <f>IF(Q24&lt;&gt;"是","排除",IF(OR(L24="",M24=""),"",IF(OR(L24="未知",M24="未知"),"未知",IF(AND(L24="真",M24="真"),"TP",IF(AND(L24="真",M24="假"),"FP",IF(AND(L24="假",M24="真"),"FN","TN"))))))</f>
        <v/>
      </c>
      <c r="S24" s="3" t="n"/>
      <c r="T24" s="3" t="n"/>
      <c r="U24" s="3" t="n"/>
      <c r="V24" s="3" t="n"/>
    </row>
    <row r="25">
      <c r="A25" s="3" t="n"/>
      <c r="B25" s="3" t="n"/>
      <c r="C25" s="3" t="n"/>
      <c r="D25" s="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5">
        <f>IF(Q25&lt;&gt;"是","排除",IF(OR(L25="",M25=""),"",IF(OR(L25="未知",M25="未知"),"未知",IF(AND(L25="真",M25="真"),"TP",IF(AND(L25="真",M25="假"),"FP",IF(AND(L25="假",M25="真"),"FN","TN"))))))</f>
        <v/>
      </c>
      <c r="S25" s="3" t="n"/>
      <c r="T25" s="3" t="n"/>
      <c r="U25" s="3" t="n"/>
      <c r="V25" s="3" t="n"/>
    </row>
    <row r="26">
      <c r="A26" s="3" t="n"/>
      <c r="B26" s="3" t="n"/>
      <c r="C26" s="3" t="n"/>
      <c r="D26" s="4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5">
        <f>IF(Q26&lt;&gt;"是","排除",IF(OR(L26="",M26=""),"",IF(OR(L26="未知",M26="未知"),"未知",IF(AND(L26="真",M26="真"),"TP",IF(AND(L26="真",M26="假"),"FP",IF(AND(L26="假",M26="真"),"FN","TN"))))))</f>
        <v/>
      </c>
      <c r="S26" s="3" t="n"/>
      <c r="T26" s="3" t="n"/>
      <c r="U26" s="3" t="n"/>
      <c r="V26" s="3" t="n"/>
    </row>
    <row r="27">
      <c r="A27" s="3" t="n"/>
      <c r="B27" s="3" t="n"/>
      <c r="C27" s="3" t="n"/>
      <c r="D27" s="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5">
        <f>IF(Q27&lt;&gt;"是","排除",IF(OR(L27="",M27=""),"",IF(OR(L27="未知",M27="未知"),"未知",IF(AND(L27="真",M27="真"),"TP",IF(AND(L27="真",M27="假"),"FP",IF(AND(L27="假",M27="真"),"FN","TN"))))))</f>
        <v/>
      </c>
      <c r="S27" s="3" t="n"/>
      <c r="T27" s="3" t="n"/>
      <c r="U27" s="3" t="n"/>
      <c r="V27" s="3" t="n"/>
    </row>
    <row r="28">
      <c r="A28" s="3" t="n"/>
      <c r="B28" s="3" t="n"/>
      <c r="C28" s="3" t="n"/>
      <c r="D28" s="4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5">
        <f>IF(Q28&lt;&gt;"是","排除",IF(OR(L28="",M28=""),"",IF(OR(L28="未知",M28="未知"),"未知",IF(AND(L28="真",M28="真"),"TP",IF(AND(L28="真",M28="假"),"FP",IF(AND(L28="假",M28="真"),"FN","TN"))))))</f>
        <v/>
      </c>
      <c r="S28" s="3" t="n"/>
      <c r="T28" s="3" t="n"/>
      <c r="U28" s="3" t="n"/>
      <c r="V28" s="3" t="n"/>
    </row>
    <row r="29">
      <c r="A29" s="3" t="n"/>
      <c r="B29" s="3" t="n"/>
      <c r="C29" s="3" t="n"/>
      <c r="D29" s="4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5">
        <f>IF(Q29&lt;&gt;"是","排除",IF(OR(L29="",M29=""),"",IF(OR(L29="未知",M29="未知"),"未知",IF(AND(L29="真",M29="真"),"TP",IF(AND(L29="真",M29="假"),"FP",IF(AND(L29="假",M29="真"),"FN","TN"))))))</f>
        <v/>
      </c>
      <c r="S29" s="3" t="n"/>
      <c r="T29" s="3" t="n"/>
      <c r="U29" s="3" t="n"/>
      <c r="V29" s="3" t="n"/>
    </row>
    <row r="30">
      <c r="A30" s="3" t="n"/>
      <c r="B30" s="3" t="n"/>
      <c r="C30" s="3" t="n"/>
      <c r="D30" s="4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5">
        <f>IF(Q30&lt;&gt;"是","排除",IF(OR(L30="",M30=""),"",IF(OR(L30="未知",M30="未知"),"未知",IF(AND(L30="真",M30="真"),"TP",IF(AND(L30="真",M30="假"),"FP",IF(AND(L30="假",M30="真"),"FN","TN"))))))</f>
        <v/>
      </c>
      <c r="S30" s="3" t="n"/>
      <c r="T30" s="3" t="n"/>
      <c r="U30" s="3" t="n"/>
      <c r="V30" s="3" t="n"/>
    </row>
    <row r="31">
      <c r="A31" s="3" t="n"/>
      <c r="B31" s="3" t="n"/>
      <c r="C31" s="3" t="n"/>
      <c r="D31" s="4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5">
        <f>IF(Q31&lt;&gt;"是","排除",IF(OR(L31="",M31=""),"",IF(OR(L31="未知",M31="未知"),"未知",IF(AND(L31="真",M31="真"),"TP",IF(AND(L31="真",M31="假"),"FP",IF(AND(L31="假",M31="真"),"FN","TN"))))))</f>
        <v/>
      </c>
      <c r="S31" s="3" t="n"/>
      <c r="T31" s="3" t="n"/>
      <c r="U31" s="3" t="n"/>
      <c r="V31" s="3" t="n"/>
    </row>
    <row r="32">
      <c r="A32" s="3" t="n"/>
      <c r="B32" s="3" t="n"/>
      <c r="C32" s="3" t="n"/>
      <c r="D32" s="4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5">
        <f>IF(Q32&lt;&gt;"是","排除",IF(OR(L32="",M32=""),"",IF(OR(L32="未知",M32="未知"),"未知",IF(AND(L32="真",M32="真"),"TP",IF(AND(L32="真",M32="假"),"FP",IF(AND(L32="假",M32="真"),"FN","TN"))))))</f>
        <v/>
      </c>
      <c r="S32" s="3" t="n"/>
      <c r="T32" s="3" t="n"/>
      <c r="U32" s="3" t="n"/>
      <c r="V32" s="3" t="n"/>
    </row>
    <row r="33">
      <c r="A33" s="3" t="n"/>
      <c r="B33" s="3" t="n"/>
      <c r="C33" s="3" t="n"/>
      <c r="D33" s="4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5">
        <f>IF(Q33&lt;&gt;"是","排除",IF(OR(L33="",M33=""),"",IF(OR(L33="未知",M33="未知"),"未知",IF(AND(L33="真",M33="真"),"TP",IF(AND(L33="真",M33="假"),"FP",IF(AND(L33="假",M33="真"),"FN","TN"))))))</f>
        <v/>
      </c>
      <c r="S33" s="3" t="n"/>
      <c r="T33" s="3" t="n"/>
      <c r="U33" s="3" t="n"/>
      <c r="V33" s="3" t="n"/>
    </row>
    <row r="34">
      <c r="A34" s="3" t="n"/>
      <c r="B34" s="3" t="n"/>
      <c r="C34" s="3" t="n"/>
      <c r="D34" s="4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5">
        <f>IF(Q34&lt;&gt;"是","排除",IF(OR(L34="",M34=""),"",IF(OR(L34="未知",M34="未知"),"未知",IF(AND(L34="真",M34="真"),"TP",IF(AND(L34="真",M34="假"),"FP",IF(AND(L34="假",M34="真"),"FN","TN"))))))</f>
        <v/>
      </c>
      <c r="S34" s="3" t="n"/>
      <c r="T34" s="3" t="n"/>
      <c r="U34" s="3" t="n"/>
      <c r="V34" s="3" t="n"/>
    </row>
    <row r="35">
      <c r="A35" s="3" t="n"/>
      <c r="B35" s="3" t="n"/>
      <c r="C35" s="3" t="n"/>
      <c r="D35" s="4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5">
        <f>IF(Q35&lt;&gt;"是","排除",IF(OR(L35="",M35=""),"",IF(OR(L35="未知",M35="未知"),"未知",IF(AND(L35="真",M35="真"),"TP",IF(AND(L35="真",M35="假"),"FP",IF(AND(L35="假",M35="真"),"FN","TN"))))))</f>
        <v/>
      </c>
      <c r="S35" s="3" t="n"/>
      <c r="T35" s="3" t="n"/>
      <c r="U35" s="3" t="n"/>
      <c r="V35" s="3" t="n"/>
    </row>
    <row r="36">
      <c r="A36" s="3" t="n"/>
      <c r="B36" s="3" t="n"/>
      <c r="C36" s="3" t="n"/>
      <c r="D36" s="4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5">
        <f>IF(Q36&lt;&gt;"是","排除",IF(OR(L36="",M36=""),"",IF(OR(L36="未知",M36="未知"),"未知",IF(AND(L36="真",M36="真"),"TP",IF(AND(L36="真",M36="假"),"FP",IF(AND(L36="假",M36="真"),"FN","TN"))))))</f>
        <v/>
      </c>
      <c r="S36" s="3" t="n"/>
      <c r="T36" s="3" t="n"/>
      <c r="U36" s="3" t="n"/>
      <c r="V36" s="3" t="n"/>
    </row>
    <row r="37">
      <c r="A37" s="3" t="n"/>
      <c r="B37" s="3" t="n"/>
      <c r="C37" s="3" t="n"/>
      <c r="D37" s="4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5">
        <f>IF(Q37&lt;&gt;"是","排除",IF(OR(L37="",M37=""),"",IF(OR(L37="未知",M37="未知"),"未知",IF(AND(L37="真",M37="真"),"TP",IF(AND(L37="真",M37="假"),"FP",IF(AND(L37="假",M37="真"),"FN","TN"))))))</f>
        <v/>
      </c>
      <c r="S37" s="3" t="n"/>
      <c r="T37" s="3" t="n"/>
      <c r="U37" s="3" t="n"/>
      <c r="V37" s="3" t="n"/>
    </row>
    <row r="38">
      <c r="A38" s="3" t="n"/>
      <c r="B38" s="3" t="n"/>
      <c r="C38" s="3" t="n"/>
      <c r="D38" s="4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5">
        <f>IF(Q38&lt;&gt;"是","排除",IF(OR(L38="",M38=""),"",IF(OR(L38="未知",M38="未知"),"未知",IF(AND(L38="真",M38="真"),"TP",IF(AND(L38="真",M38="假"),"FP",IF(AND(L38="假",M38="真"),"FN","TN"))))))</f>
        <v/>
      </c>
      <c r="S38" s="3" t="n"/>
      <c r="T38" s="3" t="n"/>
      <c r="U38" s="3" t="n"/>
      <c r="V38" s="3" t="n"/>
    </row>
    <row r="39">
      <c r="A39" s="3" t="n"/>
      <c r="B39" s="3" t="n"/>
      <c r="C39" s="3" t="n"/>
      <c r="D39" s="4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5">
        <f>IF(Q39&lt;&gt;"是","排除",IF(OR(L39="",M39=""),"",IF(OR(L39="未知",M39="未知"),"未知",IF(AND(L39="真",M39="真"),"TP",IF(AND(L39="真",M39="假"),"FP",IF(AND(L39="假",M39="真"),"FN","TN"))))))</f>
        <v/>
      </c>
      <c r="S39" s="3" t="n"/>
      <c r="T39" s="3" t="n"/>
      <c r="U39" s="3" t="n"/>
      <c r="V39" s="3" t="n"/>
    </row>
    <row r="40">
      <c r="A40" s="3" t="n"/>
      <c r="B40" s="3" t="n"/>
      <c r="C40" s="3" t="n"/>
      <c r="D40" s="4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5">
        <f>IF(Q40&lt;&gt;"是","排除",IF(OR(L40="",M40=""),"",IF(OR(L40="未知",M40="未知"),"未知",IF(AND(L40="真",M40="真"),"TP",IF(AND(L40="真",M40="假"),"FP",IF(AND(L40="假",M40="真"),"FN","TN"))))))</f>
        <v/>
      </c>
      <c r="S40" s="3" t="n"/>
      <c r="T40" s="3" t="n"/>
      <c r="U40" s="3" t="n"/>
      <c r="V40" s="3" t="n"/>
    </row>
    <row r="41">
      <c r="A41" s="3" t="n"/>
      <c r="B41" s="3" t="n"/>
      <c r="C41" s="3" t="n"/>
      <c r="D41" s="4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5">
        <f>IF(Q41&lt;&gt;"是","排除",IF(OR(L41="",M41=""),"",IF(OR(L41="未知",M41="未知"),"未知",IF(AND(L41="真",M41="真"),"TP",IF(AND(L41="真",M41="假"),"FP",IF(AND(L41="假",M41="真"),"FN","TN"))))))</f>
        <v/>
      </c>
      <c r="S41" s="3" t="n"/>
      <c r="T41" s="3" t="n"/>
      <c r="U41" s="3" t="n"/>
      <c r="V41" s="3" t="n"/>
    </row>
    <row r="42">
      <c r="A42" s="3" t="n"/>
      <c r="B42" s="3" t="n"/>
      <c r="C42" s="3" t="n"/>
      <c r="D42" s="4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5">
        <f>IF(Q42&lt;&gt;"是","排除",IF(OR(L42="",M42=""),"",IF(OR(L42="未知",M42="未知"),"未知",IF(AND(L42="真",M42="真"),"TP",IF(AND(L42="真",M42="假"),"FP",IF(AND(L42="假",M42="真"),"FN","TN"))))))</f>
        <v/>
      </c>
      <c r="S42" s="3" t="n"/>
      <c r="T42" s="3" t="n"/>
      <c r="U42" s="3" t="n"/>
      <c r="V42" s="3" t="n"/>
    </row>
    <row r="43">
      <c r="A43" s="3" t="n"/>
      <c r="B43" s="3" t="n"/>
      <c r="C43" s="3" t="n"/>
      <c r="D43" s="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5">
        <f>IF(Q43&lt;&gt;"是","排除",IF(OR(L43="",M43=""),"",IF(OR(L43="未知",M43="未知"),"未知",IF(AND(L43="真",M43="真"),"TP",IF(AND(L43="真",M43="假"),"FP",IF(AND(L43="假",M43="真"),"FN","TN"))))))</f>
        <v/>
      </c>
      <c r="S43" s="3" t="n"/>
      <c r="T43" s="3" t="n"/>
      <c r="U43" s="3" t="n"/>
      <c r="V43" s="3" t="n"/>
    </row>
    <row r="44">
      <c r="A44" s="3" t="n"/>
      <c r="B44" s="3" t="n"/>
      <c r="C44" s="3" t="n"/>
      <c r="D44" s="4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5">
        <f>IF(Q44&lt;&gt;"是","排除",IF(OR(L44="",M44=""),"",IF(OR(L44="未知",M44="未知"),"未知",IF(AND(L44="真",M44="真"),"TP",IF(AND(L44="真",M44="假"),"FP",IF(AND(L44="假",M44="真"),"FN","TN"))))))</f>
        <v/>
      </c>
      <c r="S44" s="3" t="n"/>
      <c r="T44" s="3" t="n"/>
      <c r="U44" s="3" t="n"/>
      <c r="V44" s="3" t="n"/>
    </row>
    <row r="45">
      <c r="A45" s="3" t="n"/>
      <c r="B45" s="3" t="n"/>
      <c r="C45" s="3" t="n"/>
      <c r="D45" s="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5">
        <f>IF(Q45&lt;&gt;"是","排除",IF(OR(L45="",M45=""),"",IF(OR(L45="未知",M45="未知"),"未知",IF(AND(L45="真",M45="真"),"TP",IF(AND(L45="真",M45="假"),"FP",IF(AND(L45="假",M45="真"),"FN","TN"))))))</f>
        <v/>
      </c>
      <c r="S45" s="3" t="n"/>
      <c r="T45" s="3" t="n"/>
      <c r="U45" s="3" t="n"/>
      <c r="V45" s="3" t="n"/>
    </row>
    <row r="46">
      <c r="A46" s="3" t="n"/>
      <c r="B46" s="3" t="n"/>
      <c r="C46" s="3" t="n"/>
      <c r="D46" s="4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5">
        <f>IF(Q46&lt;&gt;"是","排除",IF(OR(L46="",M46=""),"",IF(OR(L46="未知",M46="未知"),"未知",IF(AND(L46="真",M46="真"),"TP",IF(AND(L46="真",M46="假"),"FP",IF(AND(L46="假",M46="真"),"FN","TN"))))))</f>
        <v/>
      </c>
      <c r="S46" s="3" t="n"/>
      <c r="T46" s="3" t="n"/>
      <c r="U46" s="3" t="n"/>
      <c r="V46" s="3" t="n"/>
    </row>
    <row r="47">
      <c r="A47" s="3" t="n"/>
      <c r="B47" s="3" t="n"/>
      <c r="C47" s="3" t="n"/>
      <c r="D47" s="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5">
        <f>IF(Q47&lt;&gt;"是","排除",IF(OR(L47="",M47=""),"",IF(OR(L47="未知",M47="未知"),"未知",IF(AND(L47="真",M47="真"),"TP",IF(AND(L47="真",M47="假"),"FP",IF(AND(L47="假",M47="真"),"FN","TN"))))))</f>
        <v/>
      </c>
      <c r="S47" s="3" t="n"/>
      <c r="T47" s="3" t="n"/>
      <c r="U47" s="3" t="n"/>
      <c r="V47" s="3" t="n"/>
    </row>
    <row r="48">
      <c r="A48" s="3" t="n"/>
      <c r="B48" s="3" t="n"/>
      <c r="C48" s="3" t="n"/>
      <c r="D48" s="4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5">
        <f>IF(Q48&lt;&gt;"是","排除",IF(OR(L48="",M48=""),"",IF(OR(L48="未知",M48="未知"),"未知",IF(AND(L48="真",M48="真"),"TP",IF(AND(L48="真",M48="假"),"FP",IF(AND(L48="假",M48="真"),"FN","TN"))))))</f>
        <v/>
      </c>
      <c r="S48" s="3" t="n"/>
      <c r="T48" s="3" t="n"/>
      <c r="U48" s="3" t="n"/>
      <c r="V48" s="3" t="n"/>
    </row>
    <row r="49">
      <c r="A49" s="3" t="n"/>
      <c r="B49" s="3" t="n"/>
      <c r="C49" s="3" t="n"/>
      <c r="D49" s="4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5">
        <f>IF(Q49&lt;&gt;"是","排除",IF(OR(L49="",M49=""),"",IF(OR(L49="未知",M49="未知"),"未知",IF(AND(L49="真",M49="真"),"TP",IF(AND(L49="真",M49="假"),"FP",IF(AND(L49="假",M49="真"),"FN","TN"))))))</f>
        <v/>
      </c>
      <c r="S49" s="3" t="n"/>
      <c r="T49" s="3" t="n"/>
      <c r="U49" s="3" t="n"/>
      <c r="V49" s="3" t="n"/>
    </row>
    <row r="50">
      <c r="A50" s="3" t="n"/>
      <c r="B50" s="3" t="n"/>
      <c r="C50" s="3" t="n"/>
      <c r="D50" s="4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5">
        <f>IF(Q50&lt;&gt;"是","排除",IF(OR(L50="",M50=""),"",IF(OR(L50="未知",M50="未知"),"未知",IF(AND(L50="真",M50="真"),"TP",IF(AND(L50="真",M50="假"),"FP",IF(AND(L50="假",M50="真"),"FN","TN"))))))</f>
        <v/>
      </c>
      <c r="S50" s="3" t="n"/>
      <c r="T50" s="3" t="n"/>
      <c r="U50" s="3" t="n"/>
      <c r="V50" s="3" t="n"/>
    </row>
    <row r="51">
      <c r="A51" s="3" t="n"/>
      <c r="B51" s="3" t="n"/>
      <c r="C51" s="3" t="n"/>
      <c r="D51" s="4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5">
        <f>IF(Q51&lt;&gt;"是","排除",IF(OR(L51="",M51=""),"",IF(OR(L51="未知",M51="未知"),"未知",IF(AND(L51="真",M51="真"),"TP",IF(AND(L51="真",M51="假"),"FP",IF(AND(L51="假",M51="真"),"FN","TN"))))))</f>
        <v/>
      </c>
      <c r="S51" s="3" t="n"/>
      <c r="T51" s="3" t="n"/>
      <c r="U51" s="3" t="n"/>
      <c r="V51" s="3" t="n"/>
    </row>
    <row r="52">
      <c r="A52" s="3" t="n"/>
      <c r="B52" s="3" t="n"/>
      <c r="C52" s="3" t="n"/>
      <c r="D52" s="4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5">
        <f>IF(Q52&lt;&gt;"是","排除",IF(OR(L52="",M52=""),"",IF(OR(L52="未知",M52="未知"),"未知",IF(AND(L52="真",M52="真"),"TP",IF(AND(L52="真",M52="假"),"FP",IF(AND(L52="假",M52="真"),"FN","TN"))))))</f>
        <v/>
      </c>
      <c r="S52" s="3" t="n"/>
      <c r="T52" s="3" t="n"/>
      <c r="U52" s="3" t="n"/>
      <c r="V52" s="3" t="n"/>
    </row>
    <row r="53">
      <c r="A53" s="3" t="n"/>
      <c r="B53" s="3" t="n"/>
      <c r="C53" s="3" t="n"/>
      <c r="D53" s="4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5">
        <f>IF(Q53&lt;&gt;"是","排除",IF(OR(L53="",M53=""),"",IF(OR(L53="未知",M53="未知"),"未知",IF(AND(L53="真",M53="真"),"TP",IF(AND(L53="真",M53="假"),"FP",IF(AND(L53="假",M53="真"),"FN","TN"))))))</f>
        <v/>
      </c>
      <c r="S53" s="3" t="n"/>
      <c r="T53" s="3" t="n"/>
      <c r="U53" s="3" t="n"/>
      <c r="V53" s="3" t="n"/>
    </row>
    <row r="54">
      <c r="A54" s="3" t="n"/>
      <c r="B54" s="3" t="n"/>
      <c r="C54" s="3" t="n"/>
      <c r="D54" s="4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5">
        <f>IF(Q54&lt;&gt;"是","排除",IF(OR(L54="",M54=""),"",IF(OR(L54="未知",M54="未知"),"未知",IF(AND(L54="真",M54="真"),"TP",IF(AND(L54="真",M54="假"),"FP",IF(AND(L54="假",M54="真"),"FN","TN"))))))</f>
        <v/>
      </c>
      <c r="S54" s="3" t="n"/>
      <c r="T54" s="3" t="n"/>
      <c r="U54" s="3" t="n"/>
      <c r="V54" s="3" t="n"/>
    </row>
    <row r="55">
      <c r="A55" s="3" t="n"/>
      <c r="B55" s="3" t="n"/>
      <c r="C55" s="3" t="n"/>
      <c r="D55" s="4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5">
        <f>IF(Q55&lt;&gt;"是","排除",IF(OR(L55="",M55=""),"",IF(OR(L55="未知",M55="未知"),"未知",IF(AND(L55="真",M55="真"),"TP",IF(AND(L55="真",M55="假"),"FP",IF(AND(L55="假",M55="真"),"FN","TN"))))))</f>
        <v/>
      </c>
      <c r="S55" s="3" t="n"/>
      <c r="T55" s="3" t="n"/>
      <c r="U55" s="3" t="n"/>
      <c r="V55" s="3" t="n"/>
    </row>
    <row r="56">
      <c r="A56" s="3" t="n"/>
      <c r="B56" s="3" t="n"/>
      <c r="C56" s="3" t="n"/>
      <c r="D56" s="4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5">
        <f>IF(Q56&lt;&gt;"是","排除",IF(OR(L56="",M56=""),"",IF(OR(L56="未知",M56="未知"),"未知",IF(AND(L56="真",M56="真"),"TP",IF(AND(L56="真",M56="假"),"FP",IF(AND(L56="假",M56="真"),"FN","TN"))))))</f>
        <v/>
      </c>
      <c r="S56" s="3" t="n"/>
      <c r="T56" s="3" t="n"/>
      <c r="U56" s="3" t="n"/>
      <c r="V56" s="3" t="n"/>
    </row>
    <row r="57">
      <c r="A57" s="3" t="n"/>
      <c r="B57" s="3" t="n"/>
      <c r="C57" s="3" t="n"/>
      <c r="D57" s="4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5">
        <f>IF(Q57&lt;&gt;"是","排除",IF(OR(L57="",M57=""),"",IF(OR(L57="未知",M57="未知"),"未知",IF(AND(L57="真",M57="真"),"TP",IF(AND(L57="真",M57="假"),"FP",IF(AND(L57="假",M57="真"),"FN","TN"))))))</f>
        <v/>
      </c>
      <c r="S57" s="3" t="n"/>
      <c r="T57" s="3" t="n"/>
      <c r="U57" s="3" t="n"/>
      <c r="V57" s="3" t="n"/>
    </row>
    <row r="58">
      <c r="A58" s="3" t="n"/>
      <c r="B58" s="3" t="n"/>
      <c r="C58" s="3" t="n"/>
      <c r="D58" s="4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5">
        <f>IF(Q58&lt;&gt;"是","排除",IF(OR(L58="",M58=""),"",IF(OR(L58="未知",M58="未知"),"未知",IF(AND(L58="真",M58="真"),"TP",IF(AND(L58="真",M58="假"),"FP",IF(AND(L58="假",M58="真"),"FN","TN"))))))</f>
        <v/>
      </c>
      <c r="S58" s="3" t="n"/>
      <c r="T58" s="3" t="n"/>
      <c r="U58" s="3" t="n"/>
      <c r="V58" s="3" t="n"/>
    </row>
    <row r="59">
      <c r="A59" s="3" t="n"/>
      <c r="B59" s="3" t="n"/>
      <c r="C59" s="3" t="n"/>
      <c r="D59" s="4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5">
        <f>IF(Q59&lt;&gt;"是","排除",IF(OR(L59="",M59=""),"",IF(OR(L59="未知",M59="未知"),"未知",IF(AND(L59="真",M59="真"),"TP",IF(AND(L59="真",M59="假"),"FP",IF(AND(L59="假",M59="真"),"FN","TN"))))))</f>
        <v/>
      </c>
      <c r="S59" s="3" t="n"/>
      <c r="T59" s="3" t="n"/>
      <c r="U59" s="3" t="n"/>
      <c r="V59" s="3" t="n"/>
    </row>
    <row r="60">
      <c r="A60" s="3" t="n"/>
      <c r="B60" s="3" t="n"/>
      <c r="C60" s="3" t="n"/>
      <c r="D60" s="4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5">
        <f>IF(Q60&lt;&gt;"是","排除",IF(OR(L60="",M60=""),"",IF(OR(L60="未知",M60="未知"),"未知",IF(AND(L60="真",M60="真"),"TP",IF(AND(L60="真",M60="假"),"FP",IF(AND(L60="假",M60="真"),"FN","TN"))))))</f>
        <v/>
      </c>
      <c r="S60" s="3" t="n"/>
      <c r="T60" s="3" t="n"/>
      <c r="U60" s="3" t="n"/>
      <c r="V60" s="3" t="n"/>
    </row>
    <row r="61">
      <c r="A61" s="3" t="n"/>
      <c r="B61" s="3" t="n"/>
      <c r="C61" s="3" t="n"/>
      <c r="D61" s="4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5">
        <f>IF(Q61&lt;&gt;"是","排除",IF(OR(L61="",M61=""),"",IF(OR(L61="未知",M61="未知"),"未知",IF(AND(L61="真",M61="真"),"TP",IF(AND(L61="真",M61="假"),"FP",IF(AND(L61="假",M61="真"),"FN","TN"))))))</f>
        <v/>
      </c>
      <c r="S61" s="3" t="n"/>
      <c r="T61" s="3" t="n"/>
      <c r="U61" s="3" t="n"/>
      <c r="V61" s="3" t="n"/>
    </row>
    <row r="62">
      <c r="A62" s="3" t="n"/>
      <c r="B62" s="3" t="n"/>
      <c r="C62" s="3" t="n"/>
      <c r="D62" s="4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5">
        <f>IF(Q62&lt;&gt;"是","排除",IF(OR(L62="",M62=""),"",IF(OR(L62="未知",M62="未知"),"未知",IF(AND(L62="真",M62="真"),"TP",IF(AND(L62="真",M62="假"),"FP",IF(AND(L62="假",M62="真"),"FN","TN"))))))</f>
        <v/>
      </c>
      <c r="S62" s="3" t="n"/>
      <c r="T62" s="3" t="n"/>
      <c r="U62" s="3" t="n"/>
      <c r="V62" s="3" t="n"/>
    </row>
    <row r="63">
      <c r="A63" s="3" t="n"/>
      <c r="B63" s="3" t="n"/>
      <c r="C63" s="3" t="n"/>
      <c r="D63" s="4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5">
        <f>IF(Q63&lt;&gt;"是","排除",IF(OR(L63="",M63=""),"",IF(OR(L63="未知",M63="未知"),"未知",IF(AND(L63="真",M63="真"),"TP",IF(AND(L63="真",M63="假"),"FP",IF(AND(L63="假",M63="真"),"FN","TN"))))))</f>
        <v/>
      </c>
      <c r="S63" s="3" t="n"/>
      <c r="T63" s="3" t="n"/>
      <c r="U63" s="3" t="n"/>
      <c r="V63" s="3" t="n"/>
    </row>
    <row r="64">
      <c r="A64" s="3" t="n"/>
      <c r="B64" s="3" t="n"/>
      <c r="C64" s="3" t="n"/>
      <c r="D64" s="4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5">
        <f>IF(Q64&lt;&gt;"是","排除",IF(OR(L64="",M64=""),"",IF(OR(L64="未知",M64="未知"),"未知",IF(AND(L64="真",M64="真"),"TP",IF(AND(L64="真",M64="假"),"FP",IF(AND(L64="假",M64="真"),"FN","TN"))))))</f>
        <v/>
      </c>
      <c r="S64" s="3" t="n"/>
      <c r="T64" s="3" t="n"/>
      <c r="U64" s="3" t="n"/>
      <c r="V64" s="3" t="n"/>
    </row>
    <row r="65">
      <c r="A65" s="3" t="n"/>
      <c r="B65" s="3" t="n"/>
      <c r="C65" s="3" t="n"/>
      <c r="D65" s="4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5">
        <f>IF(Q65&lt;&gt;"是","排除",IF(OR(L65="",M65=""),"",IF(OR(L65="未知",M65="未知"),"未知",IF(AND(L65="真",M65="真"),"TP",IF(AND(L65="真",M65="假"),"FP",IF(AND(L65="假",M65="真"),"FN","TN"))))))</f>
        <v/>
      </c>
      <c r="S65" s="3" t="n"/>
      <c r="T65" s="3" t="n"/>
      <c r="U65" s="3" t="n"/>
      <c r="V65" s="3" t="n"/>
    </row>
    <row r="66">
      <c r="A66" s="3" t="n"/>
      <c r="B66" s="3" t="n"/>
      <c r="C66" s="3" t="n"/>
      <c r="D66" s="4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5">
        <f>IF(Q66&lt;&gt;"是","排除",IF(OR(L66="",M66=""),"",IF(OR(L66="未知",M66="未知"),"未知",IF(AND(L66="真",M66="真"),"TP",IF(AND(L66="真",M66="假"),"FP",IF(AND(L66="假",M66="真"),"FN","TN"))))))</f>
        <v/>
      </c>
      <c r="S66" s="3" t="n"/>
      <c r="T66" s="3" t="n"/>
      <c r="U66" s="3" t="n"/>
      <c r="V66" s="3" t="n"/>
    </row>
    <row r="67">
      <c r="A67" s="3" t="n"/>
      <c r="B67" s="3" t="n"/>
      <c r="C67" s="3" t="n"/>
      <c r="D67" s="4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5">
        <f>IF(Q67&lt;&gt;"是","排除",IF(OR(L67="",M67=""),"",IF(OR(L67="未知",M67="未知"),"未知",IF(AND(L67="真",M67="真"),"TP",IF(AND(L67="真",M67="假"),"FP",IF(AND(L67="假",M67="真"),"FN","TN"))))))</f>
        <v/>
      </c>
      <c r="S67" s="3" t="n"/>
      <c r="T67" s="3" t="n"/>
      <c r="U67" s="3" t="n"/>
      <c r="V67" s="3" t="n"/>
    </row>
    <row r="68">
      <c r="A68" s="3" t="n"/>
      <c r="B68" s="3" t="n"/>
      <c r="C68" s="3" t="n"/>
      <c r="D68" s="4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5">
        <f>IF(Q68&lt;&gt;"是","排除",IF(OR(L68="",M68=""),"",IF(OR(L68="未知",M68="未知"),"未知",IF(AND(L68="真",M68="真"),"TP",IF(AND(L68="真",M68="假"),"FP",IF(AND(L68="假",M68="真"),"FN","TN"))))))</f>
        <v/>
      </c>
      <c r="S68" s="3" t="n"/>
      <c r="T68" s="3" t="n"/>
      <c r="U68" s="3" t="n"/>
      <c r="V68" s="3" t="n"/>
    </row>
    <row r="69">
      <c r="A69" s="3" t="n"/>
      <c r="B69" s="3" t="n"/>
      <c r="C69" s="3" t="n"/>
      <c r="D69" s="4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5">
        <f>IF(Q69&lt;&gt;"是","排除",IF(OR(L69="",M69=""),"",IF(OR(L69="未知",M69="未知"),"未知",IF(AND(L69="真",M69="真"),"TP",IF(AND(L69="真",M69="假"),"FP",IF(AND(L69="假",M69="真"),"FN","TN"))))))</f>
        <v/>
      </c>
      <c r="S69" s="3" t="n"/>
      <c r="T69" s="3" t="n"/>
      <c r="U69" s="3" t="n"/>
      <c r="V69" s="3" t="n"/>
    </row>
    <row r="70">
      <c r="A70" s="3" t="n"/>
      <c r="B70" s="3" t="n"/>
      <c r="C70" s="3" t="n"/>
      <c r="D70" s="4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5">
        <f>IF(Q70&lt;&gt;"是","排除",IF(OR(L70="",M70=""),"",IF(OR(L70="未知",M70="未知"),"未知",IF(AND(L70="真",M70="真"),"TP",IF(AND(L70="真",M70="假"),"FP",IF(AND(L70="假",M70="真"),"FN","TN"))))))</f>
        <v/>
      </c>
      <c r="S70" s="3" t="n"/>
      <c r="T70" s="3" t="n"/>
      <c r="U70" s="3" t="n"/>
      <c r="V70" s="3" t="n"/>
    </row>
    <row r="71">
      <c r="A71" s="3" t="n"/>
      <c r="B71" s="3" t="n"/>
      <c r="C71" s="3" t="n"/>
      <c r="D71" s="4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5">
        <f>IF(Q71&lt;&gt;"是","排除",IF(OR(L71="",M71=""),"",IF(OR(L71="未知",M71="未知"),"未知",IF(AND(L71="真",M71="真"),"TP",IF(AND(L71="真",M71="假"),"FP",IF(AND(L71="假",M71="真"),"FN","TN"))))))</f>
        <v/>
      </c>
      <c r="S71" s="3" t="n"/>
      <c r="T71" s="3" t="n"/>
      <c r="U71" s="3" t="n"/>
      <c r="V71" s="3" t="n"/>
    </row>
    <row r="72">
      <c r="A72" s="3" t="n"/>
      <c r="B72" s="3" t="n"/>
      <c r="C72" s="3" t="n"/>
      <c r="D72" s="4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5">
        <f>IF(Q72&lt;&gt;"是","排除",IF(OR(L72="",M72=""),"",IF(OR(L72="未知",M72="未知"),"未知",IF(AND(L72="真",M72="真"),"TP",IF(AND(L72="真",M72="假"),"FP",IF(AND(L72="假",M72="真"),"FN","TN"))))))</f>
        <v/>
      </c>
      <c r="S72" s="3" t="n"/>
      <c r="T72" s="3" t="n"/>
      <c r="U72" s="3" t="n"/>
      <c r="V72" s="3" t="n"/>
    </row>
    <row r="73">
      <c r="A73" s="3" t="n"/>
      <c r="B73" s="3" t="n"/>
      <c r="C73" s="3" t="n"/>
      <c r="D73" s="4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5">
        <f>IF(Q73&lt;&gt;"是","排除",IF(OR(L73="",M73=""),"",IF(OR(L73="未知",M73="未知"),"未知",IF(AND(L73="真",M73="真"),"TP",IF(AND(L73="真",M73="假"),"FP",IF(AND(L73="假",M73="真"),"FN","TN"))))))</f>
        <v/>
      </c>
      <c r="S73" s="3" t="n"/>
      <c r="T73" s="3" t="n"/>
      <c r="U73" s="3" t="n"/>
      <c r="V73" s="3" t="n"/>
    </row>
    <row r="74">
      <c r="A74" s="3" t="n"/>
      <c r="B74" s="3" t="n"/>
      <c r="C74" s="3" t="n"/>
      <c r="D74" s="4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5">
        <f>IF(Q74&lt;&gt;"是","排除",IF(OR(L74="",M74=""),"",IF(OR(L74="未知",M74="未知"),"未知",IF(AND(L74="真",M74="真"),"TP",IF(AND(L74="真",M74="假"),"FP",IF(AND(L74="假",M74="真"),"FN","TN"))))))</f>
        <v/>
      </c>
      <c r="S74" s="3" t="n"/>
      <c r="T74" s="3" t="n"/>
      <c r="U74" s="3" t="n"/>
      <c r="V74" s="3" t="n"/>
    </row>
    <row r="75">
      <c r="A75" s="3" t="n"/>
      <c r="B75" s="3" t="n"/>
      <c r="C75" s="3" t="n"/>
      <c r="D75" s="4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5">
        <f>IF(Q75&lt;&gt;"是","排除",IF(OR(L75="",M75=""),"",IF(OR(L75="未知",M75="未知"),"未知",IF(AND(L75="真",M75="真"),"TP",IF(AND(L75="真",M75="假"),"FP",IF(AND(L75="假",M75="真"),"FN","TN"))))))</f>
        <v/>
      </c>
      <c r="S75" s="3" t="n"/>
      <c r="T75" s="3" t="n"/>
      <c r="U75" s="3" t="n"/>
      <c r="V75" s="3" t="n"/>
    </row>
    <row r="76">
      <c r="A76" s="3" t="n"/>
      <c r="B76" s="3" t="n"/>
      <c r="C76" s="3" t="n"/>
      <c r="D76" s="4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5">
        <f>IF(Q76&lt;&gt;"是","排除",IF(OR(L76="",M76=""),"",IF(OR(L76="未知",M76="未知"),"未知",IF(AND(L76="真",M76="真"),"TP",IF(AND(L76="真",M76="假"),"FP",IF(AND(L76="假",M76="真"),"FN","TN"))))))</f>
        <v/>
      </c>
      <c r="S76" s="3" t="n"/>
      <c r="T76" s="3" t="n"/>
      <c r="U76" s="3" t="n"/>
      <c r="V76" s="3" t="n"/>
    </row>
    <row r="77">
      <c r="A77" s="3" t="n"/>
      <c r="B77" s="3" t="n"/>
      <c r="C77" s="3" t="n"/>
      <c r="D77" s="4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5">
        <f>IF(Q77&lt;&gt;"是","排除",IF(OR(L77="",M77=""),"",IF(OR(L77="未知",M77="未知"),"未知",IF(AND(L77="真",M77="真"),"TP",IF(AND(L77="真",M77="假"),"FP",IF(AND(L77="假",M77="真"),"FN","TN"))))))</f>
        <v/>
      </c>
      <c r="S77" s="3" t="n"/>
      <c r="T77" s="3" t="n"/>
      <c r="U77" s="3" t="n"/>
      <c r="V77" s="3" t="n"/>
    </row>
    <row r="78">
      <c r="A78" s="3" t="n"/>
      <c r="B78" s="3" t="n"/>
      <c r="C78" s="3" t="n"/>
      <c r="D78" s="4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5">
        <f>IF(Q78&lt;&gt;"是","排除",IF(OR(L78="",M78=""),"",IF(OR(L78="未知",M78="未知"),"未知",IF(AND(L78="真",M78="真"),"TP",IF(AND(L78="真",M78="假"),"FP",IF(AND(L78="假",M78="真"),"FN","TN"))))))</f>
        <v/>
      </c>
      <c r="S78" s="3" t="n"/>
      <c r="T78" s="3" t="n"/>
      <c r="U78" s="3" t="n"/>
      <c r="V78" s="3" t="n"/>
    </row>
    <row r="79">
      <c r="A79" s="3" t="n"/>
      <c r="B79" s="3" t="n"/>
      <c r="C79" s="3" t="n"/>
      <c r="D79" s="4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5">
        <f>IF(Q79&lt;&gt;"是","排除",IF(OR(L79="",M79=""),"",IF(OR(L79="未知",M79="未知"),"未知",IF(AND(L79="真",M79="真"),"TP",IF(AND(L79="真",M79="假"),"FP",IF(AND(L79="假",M79="真"),"FN","TN"))))))</f>
        <v/>
      </c>
      <c r="S79" s="3" t="n"/>
      <c r="T79" s="3" t="n"/>
      <c r="U79" s="3" t="n"/>
      <c r="V79" s="3" t="n"/>
    </row>
    <row r="80">
      <c r="A80" s="3" t="n"/>
      <c r="B80" s="3" t="n"/>
      <c r="C80" s="3" t="n"/>
      <c r="D80" s="4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5">
        <f>IF(Q80&lt;&gt;"是","排除",IF(OR(L80="",M80=""),"",IF(OR(L80="未知",M80="未知"),"未知",IF(AND(L80="真",M80="真"),"TP",IF(AND(L80="真",M80="假"),"FP",IF(AND(L80="假",M80="真"),"FN","TN"))))))</f>
        <v/>
      </c>
      <c r="S80" s="3" t="n"/>
      <c r="T80" s="3" t="n"/>
      <c r="U80" s="3" t="n"/>
      <c r="V80" s="3" t="n"/>
    </row>
    <row r="81">
      <c r="A81" s="3" t="n"/>
      <c r="B81" s="3" t="n"/>
      <c r="C81" s="3" t="n"/>
      <c r="D81" s="4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5">
        <f>IF(Q81&lt;&gt;"是","排除",IF(OR(L81="",M81=""),"",IF(OR(L81="未知",M81="未知"),"未知",IF(AND(L81="真",M81="真"),"TP",IF(AND(L81="真",M81="假"),"FP",IF(AND(L81="假",M81="真"),"FN","TN"))))))</f>
        <v/>
      </c>
      <c r="S81" s="3" t="n"/>
      <c r="T81" s="3" t="n"/>
      <c r="U81" s="3" t="n"/>
      <c r="V81" s="3" t="n"/>
    </row>
    <row r="82">
      <c r="A82" s="3" t="n"/>
      <c r="B82" s="3" t="n"/>
      <c r="C82" s="3" t="n"/>
      <c r="D82" s="4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5">
        <f>IF(Q82&lt;&gt;"是","排除",IF(OR(L82="",M82=""),"",IF(OR(L82="未知",M82="未知"),"未知",IF(AND(L82="真",M82="真"),"TP",IF(AND(L82="真",M82="假"),"FP",IF(AND(L82="假",M82="真"),"FN","TN"))))))</f>
        <v/>
      </c>
      <c r="S82" s="3" t="n"/>
      <c r="T82" s="3" t="n"/>
      <c r="U82" s="3" t="n"/>
      <c r="V82" s="3" t="n"/>
    </row>
    <row r="83">
      <c r="A83" s="3" t="n"/>
      <c r="B83" s="3" t="n"/>
      <c r="C83" s="3" t="n"/>
      <c r="D83" s="4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5">
        <f>IF(Q83&lt;&gt;"是","排除",IF(OR(L83="",M83=""),"",IF(OR(L83="未知",M83="未知"),"未知",IF(AND(L83="真",M83="真"),"TP",IF(AND(L83="真",M83="假"),"FP",IF(AND(L83="假",M83="真"),"FN","TN"))))))</f>
        <v/>
      </c>
      <c r="S83" s="3" t="n"/>
      <c r="T83" s="3" t="n"/>
      <c r="U83" s="3" t="n"/>
      <c r="V83" s="3" t="n"/>
    </row>
    <row r="84">
      <c r="A84" s="3" t="n"/>
      <c r="B84" s="3" t="n"/>
      <c r="C84" s="3" t="n"/>
      <c r="D84" s="4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5">
        <f>IF(Q84&lt;&gt;"是","排除",IF(OR(L84="",M84=""),"",IF(OR(L84="未知",M84="未知"),"未知",IF(AND(L84="真",M84="真"),"TP",IF(AND(L84="真",M84="假"),"FP",IF(AND(L84="假",M84="真"),"FN","TN"))))))</f>
        <v/>
      </c>
      <c r="S84" s="3" t="n"/>
      <c r="T84" s="3" t="n"/>
      <c r="U84" s="3" t="n"/>
      <c r="V84" s="3" t="n"/>
    </row>
    <row r="85">
      <c r="A85" s="3" t="n"/>
      <c r="B85" s="3" t="n"/>
      <c r="C85" s="3" t="n"/>
      <c r="D85" s="4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5">
        <f>IF(Q85&lt;&gt;"是","排除",IF(OR(L85="",M85=""),"",IF(OR(L85="未知",M85="未知"),"未知",IF(AND(L85="真",M85="真"),"TP",IF(AND(L85="真",M85="假"),"FP",IF(AND(L85="假",M85="真"),"FN","TN"))))))</f>
        <v/>
      </c>
      <c r="S85" s="3" t="n"/>
      <c r="T85" s="3" t="n"/>
      <c r="U85" s="3" t="n"/>
      <c r="V85" s="3" t="n"/>
    </row>
    <row r="86">
      <c r="A86" s="3" t="n"/>
      <c r="B86" s="3" t="n"/>
      <c r="C86" s="3" t="n"/>
      <c r="D86" s="4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5">
        <f>IF(Q86&lt;&gt;"是","排除",IF(OR(L86="",M86=""),"",IF(OR(L86="未知",M86="未知"),"未知",IF(AND(L86="真",M86="真"),"TP",IF(AND(L86="真",M86="假"),"FP",IF(AND(L86="假",M86="真"),"FN","TN"))))))</f>
        <v/>
      </c>
      <c r="S86" s="3" t="n"/>
      <c r="T86" s="3" t="n"/>
      <c r="U86" s="3" t="n"/>
      <c r="V86" s="3" t="n"/>
    </row>
    <row r="87">
      <c r="A87" s="3" t="n"/>
      <c r="B87" s="3" t="n"/>
      <c r="C87" s="3" t="n"/>
      <c r="D87" s="4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5">
        <f>IF(Q87&lt;&gt;"是","排除",IF(OR(L87="",M87=""),"",IF(OR(L87="未知",M87="未知"),"未知",IF(AND(L87="真",M87="真"),"TP",IF(AND(L87="真",M87="假"),"FP",IF(AND(L87="假",M87="真"),"FN","TN"))))))</f>
        <v/>
      </c>
      <c r="S87" s="3" t="n"/>
      <c r="T87" s="3" t="n"/>
      <c r="U87" s="3" t="n"/>
      <c r="V87" s="3" t="n"/>
    </row>
    <row r="88">
      <c r="A88" s="3" t="n"/>
      <c r="B88" s="3" t="n"/>
      <c r="C88" s="3" t="n"/>
      <c r="D88" s="4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5">
        <f>IF(Q88&lt;&gt;"是","排除",IF(OR(L88="",M88=""),"",IF(OR(L88="未知",M88="未知"),"未知",IF(AND(L88="真",M88="真"),"TP",IF(AND(L88="真",M88="假"),"FP",IF(AND(L88="假",M88="真"),"FN","TN"))))))</f>
        <v/>
      </c>
      <c r="S88" s="3" t="n"/>
      <c r="T88" s="3" t="n"/>
      <c r="U88" s="3" t="n"/>
      <c r="V88" s="3" t="n"/>
    </row>
    <row r="89">
      <c r="A89" s="3" t="n"/>
      <c r="B89" s="3" t="n"/>
      <c r="C89" s="3" t="n"/>
      <c r="D89" s="4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5">
        <f>IF(Q89&lt;&gt;"是","排除",IF(OR(L89="",M89=""),"",IF(OR(L89="未知",M89="未知"),"未知",IF(AND(L89="真",M89="真"),"TP",IF(AND(L89="真",M89="假"),"FP",IF(AND(L89="假",M89="真"),"FN","TN"))))))</f>
        <v/>
      </c>
      <c r="S89" s="3" t="n"/>
      <c r="T89" s="3" t="n"/>
      <c r="U89" s="3" t="n"/>
      <c r="V89" s="3" t="n"/>
    </row>
    <row r="90">
      <c r="A90" s="3" t="n"/>
      <c r="B90" s="3" t="n"/>
      <c r="C90" s="3" t="n"/>
      <c r="D90" s="4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5">
        <f>IF(Q90&lt;&gt;"是","排除",IF(OR(L90="",M90=""),"",IF(OR(L90="未知",M90="未知"),"未知",IF(AND(L90="真",M90="真"),"TP",IF(AND(L90="真",M90="假"),"FP",IF(AND(L90="假",M90="真"),"FN","TN"))))))</f>
        <v/>
      </c>
      <c r="S90" s="3" t="n"/>
      <c r="T90" s="3" t="n"/>
      <c r="U90" s="3" t="n"/>
      <c r="V90" s="3" t="n"/>
    </row>
    <row r="91">
      <c r="A91" s="3" t="n"/>
      <c r="B91" s="3" t="n"/>
      <c r="C91" s="3" t="n"/>
      <c r="D91" s="4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5">
        <f>IF(Q91&lt;&gt;"是","排除",IF(OR(L91="",M91=""),"",IF(OR(L91="未知",M91="未知"),"未知",IF(AND(L91="真",M91="真"),"TP",IF(AND(L91="真",M91="假"),"FP",IF(AND(L91="假",M91="真"),"FN","TN"))))))</f>
        <v/>
      </c>
      <c r="S91" s="3" t="n"/>
      <c r="T91" s="3" t="n"/>
      <c r="U91" s="3" t="n"/>
      <c r="V91" s="3" t="n"/>
    </row>
    <row r="92">
      <c r="A92" s="3" t="n"/>
      <c r="B92" s="3" t="n"/>
      <c r="C92" s="3" t="n"/>
      <c r="D92" s="4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5">
        <f>IF(Q92&lt;&gt;"是","排除",IF(OR(L92="",M92=""),"",IF(OR(L92="未知",M92="未知"),"未知",IF(AND(L92="真",M92="真"),"TP",IF(AND(L92="真",M92="假"),"FP",IF(AND(L92="假",M92="真"),"FN","TN"))))))</f>
        <v/>
      </c>
      <c r="S92" s="3" t="n"/>
      <c r="T92" s="3" t="n"/>
      <c r="U92" s="3" t="n"/>
      <c r="V92" s="3" t="n"/>
    </row>
    <row r="93">
      <c r="A93" s="3" t="n"/>
      <c r="B93" s="3" t="n"/>
      <c r="C93" s="3" t="n"/>
      <c r="D93" s="4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5">
        <f>IF(Q93&lt;&gt;"是","排除",IF(OR(L93="",M93=""),"",IF(OR(L93="未知",M93="未知"),"未知",IF(AND(L93="真",M93="真"),"TP",IF(AND(L93="真",M93="假"),"FP",IF(AND(L93="假",M93="真"),"FN","TN"))))))</f>
        <v/>
      </c>
      <c r="S93" s="3" t="n"/>
      <c r="T93" s="3" t="n"/>
      <c r="U93" s="3" t="n"/>
      <c r="V93" s="3" t="n"/>
    </row>
    <row r="94">
      <c r="A94" s="3" t="n"/>
      <c r="B94" s="3" t="n"/>
      <c r="C94" s="3" t="n"/>
      <c r="D94" s="4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5">
        <f>IF(Q94&lt;&gt;"是","排除",IF(OR(L94="",M94=""),"",IF(OR(L94="未知",M94="未知"),"未知",IF(AND(L94="真",M94="真"),"TP",IF(AND(L94="真",M94="假"),"FP",IF(AND(L94="假",M94="真"),"FN","TN"))))))</f>
        <v/>
      </c>
      <c r="S94" s="3" t="n"/>
      <c r="T94" s="3" t="n"/>
      <c r="U94" s="3" t="n"/>
      <c r="V94" s="3" t="n"/>
    </row>
    <row r="95">
      <c r="A95" s="3" t="n"/>
      <c r="B95" s="3" t="n"/>
      <c r="C95" s="3" t="n"/>
      <c r="D95" s="4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5">
        <f>IF(Q95&lt;&gt;"是","排除",IF(OR(L95="",M95=""),"",IF(OR(L95="未知",M95="未知"),"未知",IF(AND(L95="真",M95="真"),"TP",IF(AND(L95="真",M95="假"),"FP",IF(AND(L95="假",M95="真"),"FN","TN"))))))</f>
        <v/>
      </c>
      <c r="S95" s="3" t="n"/>
      <c r="T95" s="3" t="n"/>
      <c r="U95" s="3" t="n"/>
      <c r="V95" s="3" t="n"/>
    </row>
    <row r="96">
      <c r="A96" s="3" t="n"/>
      <c r="B96" s="3" t="n"/>
      <c r="C96" s="3" t="n"/>
      <c r="D96" s="4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5">
        <f>IF(Q96&lt;&gt;"是","排除",IF(OR(L96="",M96=""),"",IF(OR(L96="未知",M96="未知"),"未知",IF(AND(L96="真",M96="真"),"TP",IF(AND(L96="真",M96="假"),"FP",IF(AND(L96="假",M96="真"),"FN","TN"))))))</f>
        <v/>
      </c>
      <c r="S96" s="3" t="n"/>
      <c r="T96" s="3" t="n"/>
      <c r="U96" s="3" t="n"/>
      <c r="V96" s="3" t="n"/>
    </row>
    <row r="97">
      <c r="A97" s="3" t="n"/>
      <c r="B97" s="3" t="n"/>
      <c r="C97" s="3" t="n"/>
      <c r="D97" s="4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5">
        <f>IF(Q97&lt;&gt;"是","排除",IF(OR(L97="",M97=""),"",IF(OR(L97="未知",M97="未知"),"未知",IF(AND(L97="真",M97="真"),"TP",IF(AND(L97="真",M97="假"),"FP",IF(AND(L97="假",M97="真"),"FN","TN"))))))</f>
        <v/>
      </c>
      <c r="S97" s="3" t="n"/>
      <c r="T97" s="3" t="n"/>
      <c r="U97" s="3" t="n"/>
      <c r="V97" s="3" t="n"/>
    </row>
    <row r="98">
      <c r="A98" s="3" t="n"/>
      <c r="B98" s="3" t="n"/>
      <c r="C98" s="3" t="n"/>
      <c r="D98" s="4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5">
        <f>IF(Q98&lt;&gt;"是","排除",IF(OR(L98="",M98=""),"",IF(OR(L98="未知",M98="未知"),"未知",IF(AND(L98="真",M98="真"),"TP",IF(AND(L98="真",M98="假"),"FP",IF(AND(L98="假",M98="真"),"FN","TN"))))))</f>
        <v/>
      </c>
      <c r="S98" s="3" t="n"/>
      <c r="T98" s="3" t="n"/>
      <c r="U98" s="3" t="n"/>
      <c r="V98" s="3" t="n"/>
    </row>
    <row r="99">
      <c r="A99" s="3" t="n"/>
      <c r="B99" s="3" t="n"/>
      <c r="C99" s="3" t="n"/>
      <c r="D99" s="4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5">
        <f>IF(Q99&lt;&gt;"是","排除",IF(OR(L99="",M99=""),"",IF(OR(L99="未知",M99="未知"),"未知",IF(AND(L99="真",M99="真"),"TP",IF(AND(L99="真",M99="假"),"FP",IF(AND(L99="假",M99="真"),"FN","TN"))))))</f>
        <v/>
      </c>
      <c r="S99" s="3" t="n"/>
      <c r="T99" s="3" t="n"/>
      <c r="U99" s="3" t="n"/>
      <c r="V99" s="3" t="n"/>
    </row>
    <row r="100">
      <c r="A100" s="3" t="n"/>
      <c r="B100" s="3" t="n"/>
      <c r="C100" s="3" t="n"/>
      <c r="D100" s="4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5">
        <f>IF(Q100&lt;&gt;"是","排除",IF(OR(L100="",M100=""),"",IF(OR(L100="未知",M100="未知"),"未知",IF(AND(L100="真",M100="真"),"TP",IF(AND(L100="真",M100="假"),"FP",IF(AND(L100="假",M100="真"),"FN","TN"))))))</f>
        <v/>
      </c>
      <c r="S100" s="3" t="n"/>
      <c r="T100" s="3" t="n"/>
      <c r="U100" s="3" t="n"/>
      <c r="V100" s="3" t="n"/>
    </row>
    <row r="101">
      <c r="A101" s="3" t="n"/>
      <c r="B101" s="3" t="n"/>
      <c r="C101" s="3" t="n"/>
      <c r="D101" s="4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5">
        <f>IF(Q101&lt;&gt;"是","排除",IF(OR(L101="",M101=""),"",IF(OR(L101="未知",M101="未知"),"未知",IF(AND(L101="真",M101="真"),"TP",IF(AND(L101="真",M101="假"),"FP",IF(AND(L101="假",M101="真"),"FN","TN"))))))</f>
        <v/>
      </c>
      <c r="S101" s="3" t="n"/>
      <c r="T101" s="3" t="n"/>
      <c r="U101" s="3" t="n"/>
      <c r="V101" s="3" t="n"/>
    </row>
    <row r="102">
      <c r="A102" s="3" t="n"/>
      <c r="B102" s="3" t="n"/>
      <c r="C102" s="3" t="n"/>
      <c r="D102" s="4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5">
        <f>IF(Q102&lt;&gt;"是","排除",IF(OR(L102="",M102=""),"",IF(OR(L102="未知",M102="未知"),"未知",IF(AND(L102="真",M102="真"),"TP",IF(AND(L102="真",M102="假"),"FP",IF(AND(L102="假",M102="真"),"FN","TN"))))))</f>
        <v/>
      </c>
      <c r="S102" s="3" t="n"/>
      <c r="T102" s="3" t="n"/>
      <c r="U102" s="3" t="n"/>
      <c r="V102" s="3" t="n"/>
    </row>
    <row r="103">
      <c r="A103" s="3" t="n"/>
      <c r="B103" s="3" t="n"/>
      <c r="C103" s="3" t="n"/>
      <c r="D103" s="4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5">
        <f>IF(Q103&lt;&gt;"是","排除",IF(OR(L103="",M103=""),"",IF(OR(L103="未知",M103="未知"),"未知",IF(AND(L103="真",M103="真"),"TP",IF(AND(L103="真",M103="假"),"FP",IF(AND(L103="假",M103="真"),"FN","TN"))))))</f>
        <v/>
      </c>
      <c r="S103" s="3" t="n"/>
      <c r="T103" s="3" t="n"/>
      <c r="U103" s="3" t="n"/>
      <c r="V103" s="3" t="n"/>
    </row>
    <row r="104">
      <c r="A104" s="3" t="n"/>
      <c r="B104" s="3" t="n"/>
      <c r="C104" s="3" t="n"/>
      <c r="D104" s="4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5">
        <f>IF(Q104&lt;&gt;"是","排除",IF(OR(L104="",M104=""),"",IF(OR(L104="未知",M104="未知"),"未知",IF(AND(L104="真",M104="真"),"TP",IF(AND(L104="真",M104="假"),"FP",IF(AND(L104="假",M104="真"),"FN","TN"))))))</f>
        <v/>
      </c>
      <c r="S104" s="3" t="n"/>
      <c r="T104" s="3" t="n"/>
      <c r="U104" s="3" t="n"/>
      <c r="V104" s="3" t="n"/>
    </row>
    <row r="105">
      <c r="A105" s="3" t="n"/>
      <c r="B105" s="3" t="n"/>
      <c r="C105" s="3" t="n"/>
      <c r="D105" s="4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5">
        <f>IF(Q105&lt;&gt;"是","排除",IF(OR(L105="",M105=""),"",IF(OR(L105="未知",M105="未知"),"未知",IF(AND(L105="真",M105="真"),"TP",IF(AND(L105="真",M105="假"),"FP",IF(AND(L105="假",M105="真"),"FN","TN"))))))</f>
        <v/>
      </c>
      <c r="S105" s="3" t="n"/>
      <c r="T105" s="3" t="n"/>
      <c r="U105" s="3" t="n"/>
      <c r="V105" s="3" t="n"/>
    </row>
    <row r="106">
      <c r="A106" s="3" t="n"/>
      <c r="B106" s="3" t="n"/>
      <c r="C106" s="3" t="n"/>
      <c r="D106" s="4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5">
        <f>IF(Q106&lt;&gt;"是","排除",IF(OR(L106="",M106=""),"",IF(OR(L106="未知",M106="未知"),"未知",IF(AND(L106="真",M106="真"),"TP",IF(AND(L106="真",M106="假"),"FP",IF(AND(L106="假",M106="真"),"FN","TN"))))))</f>
        <v/>
      </c>
      <c r="S106" s="3" t="n"/>
      <c r="T106" s="3" t="n"/>
      <c r="U106" s="3" t="n"/>
      <c r="V106" s="3" t="n"/>
    </row>
    <row r="107">
      <c r="A107" s="3" t="n"/>
      <c r="B107" s="3" t="n"/>
      <c r="C107" s="3" t="n"/>
      <c r="D107" s="4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5">
        <f>IF(Q107&lt;&gt;"是","排除",IF(OR(L107="",M107=""),"",IF(OR(L107="未知",M107="未知"),"未知",IF(AND(L107="真",M107="真"),"TP",IF(AND(L107="真",M107="假"),"FP",IF(AND(L107="假",M107="真"),"FN","TN"))))))</f>
        <v/>
      </c>
      <c r="S107" s="3" t="n"/>
      <c r="T107" s="3" t="n"/>
      <c r="U107" s="3" t="n"/>
      <c r="V107" s="3" t="n"/>
    </row>
    <row r="108">
      <c r="A108" s="3" t="n"/>
      <c r="B108" s="3" t="n"/>
      <c r="C108" s="3" t="n"/>
      <c r="D108" s="4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5">
        <f>IF(Q108&lt;&gt;"是","排除",IF(OR(L108="",M108=""),"",IF(OR(L108="未知",M108="未知"),"未知",IF(AND(L108="真",M108="真"),"TP",IF(AND(L108="真",M108="假"),"FP",IF(AND(L108="假",M108="真"),"FN","TN"))))))</f>
        <v/>
      </c>
      <c r="S108" s="3" t="n"/>
      <c r="T108" s="3" t="n"/>
      <c r="U108" s="3" t="n"/>
      <c r="V108" s="3" t="n"/>
    </row>
    <row r="109">
      <c r="A109" s="3" t="n"/>
      <c r="B109" s="3" t="n"/>
      <c r="C109" s="3" t="n"/>
      <c r="D109" s="4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5">
        <f>IF(Q109&lt;&gt;"是","排除",IF(OR(L109="",M109=""),"",IF(OR(L109="未知",M109="未知"),"未知",IF(AND(L109="真",M109="真"),"TP",IF(AND(L109="真",M109="假"),"FP",IF(AND(L109="假",M109="真"),"FN","TN"))))))</f>
        <v/>
      </c>
      <c r="S109" s="3" t="n"/>
      <c r="T109" s="3" t="n"/>
      <c r="U109" s="3" t="n"/>
      <c r="V109" s="3" t="n"/>
    </row>
    <row r="110">
      <c r="A110" s="3" t="n"/>
      <c r="B110" s="3" t="n"/>
      <c r="C110" s="3" t="n"/>
      <c r="D110" s="4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5">
        <f>IF(Q110&lt;&gt;"是","排除",IF(OR(L110="",M110=""),"",IF(OR(L110="未知",M110="未知"),"未知",IF(AND(L110="真",M110="真"),"TP",IF(AND(L110="真",M110="假"),"FP",IF(AND(L110="假",M110="真"),"FN","TN"))))))</f>
        <v/>
      </c>
      <c r="S110" s="3" t="n"/>
      <c r="T110" s="3" t="n"/>
      <c r="U110" s="3" t="n"/>
      <c r="V110" s="3" t="n"/>
    </row>
    <row r="111">
      <c r="A111" s="3" t="n"/>
      <c r="B111" s="3" t="n"/>
      <c r="C111" s="3" t="n"/>
      <c r="D111" s="4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5">
        <f>IF(Q111&lt;&gt;"是","排除",IF(OR(L111="",M111=""),"",IF(OR(L111="未知",M111="未知"),"未知",IF(AND(L111="真",M111="真"),"TP",IF(AND(L111="真",M111="假"),"FP",IF(AND(L111="假",M111="真"),"FN","TN"))))))</f>
        <v/>
      </c>
      <c r="S111" s="3" t="n"/>
      <c r="T111" s="3" t="n"/>
      <c r="U111" s="3" t="n"/>
      <c r="V111" s="3" t="n"/>
    </row>
    <row r="112">
      <c r="A112" s="3" t="n"/>
      <c r="B112" s="3" t="n"/>
      <c r="C112" s="3" t="n"/>
      <c r="D112" s="4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5">
        <f>IF(Q112&lt;&gt;"是","排除",IF(OR(L112="",M112=""),"",IF(OR(L112="未知",M112="未知"),"未知",IF(AND(L112="真",M112="真"),"TP",IF(AND(L112="真",M112="假"),"FP",IF(AND(L112="假",M112="真"),"FN","TN"))))))</f>
        <v/>
      </c>
      <c r="S112" s="3" t="n"/>
      <c r="T112" s="3" t="n"/>
      <c r="U112" s="3" t="n"/>
      <c r="V112" s="3" t="n"/>
    </row>
    <row r="113">
      <c r="A113" s="3" t="n"/>
      <c r="B113" s="3" t="n"/>
      <c r="C113" s="3" t="n"/>
      <c r="D113" s="4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5">
        <f>IF(Q113&lt;&gt;"是","排除",IF(OR(L113="",M113=""),"",IF(OR(L113="未知",M113="未知"),"未知",IF(AND(L113="真",M113="真"),"TP",IF(AND(L113="真",M113="假"),"FP",IF(AND(L113="假",M113="真"),"FN","TN"))))))</f>
        <v/>
      </c>
      <c r="S113" s="3" t="n"/>
      <c r="T113" s="3" t="n"/>
      <c r="U113" s="3" t="n"/>
      <c r="V113" s="3" t="n"/>
    </row>
    <row r="114">
      <c r="A114" s="3" t="n"/>
      <c r="B114" s="3" t="n"/>
      <c r="C114" s="3" t="n"/>
      <c r="D114" s="4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5">
        <f>IF(Q114&lt;&gt;"是","排除",IF(OR(L114="",M114=""),"",IF(OR(L114="未知",M114="未知"),"未知",IF(AND(L114="真",M114="真"),"TP",IF(AND(L114="真",M114="假"),"FP",IF(AND(L114="假",M114="真"),"FN","TN"))))))</f>
        <v/>
      </c>
      <c r="S114" s="3" t="n"/>
      <c r="T114" s="3" t="n"/>
      <c r="U114" s="3" t="n"/>
      <c r="V114" s="3" t="n"/>
    </row>
    <row r="115">
      <c r="A115" s="3" t="n"/>
      <c r="B115" s="3" t="n"/>
      <c r="C115" s="3" t="n"/>
      <c r="D115" s="4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5">
        <f>IF(Q115&lt;&gt;"是","排除",IF(OR(L115="",M115=""),"",IF(OR(L115="未知",M115="未知"),"未知",IF(AND(L115="真",M115="真"),"TP",IF(AND(L115="真",M115="假"),"FP",IF(AND(L115="假",M115="真"),"FN","TN"))))))</f>
        <v/>
      </c>
      <c r="S115" s="3" t="n"/>
      <c r="T115" s="3" t="n"/>
      <c r="U115" s="3" t="n"/>
      <c r="V115" s="3" t="n"/>
    </row>
    <row r="116">
      <c r="A116" s="3" t="n"/>
      <c r="B116" s="3" t="n"/>
      <c r="C116" s="3" t="n"/>
      <c r="D116" s="4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5">
        <f>IF(Q116&lt;&gt;"是","排除",IF(OR(L116="",M116=""),"",IF(OR(L116="未知",M116="未知"),"未知",IF(AND(L116="真",M116="真"),"TP",IF(AND(L116="真",M116="假"),"FP",IF(AND(L116="假",M116="真"),"FN","TN"))))))</f>
        <v/>
      </c>
      <c r="S116" s="3" t="n"/>
      <c r="T116" s="3" t="n"/>
      <c r="U116" s="3" t="n"/>
      <c r="V116" s="3" t="n"/>
    </row>
    <row r="117">
      <c r="A117" s="3" t="n"/>
      <c r="B117" s="3" t="n"/>
      <c r="C117" s="3" t="n"/>
      <c r="D117" s="4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5">
        <f>IF(Q117&lt;&gt;"是","排除",IF(OR(L117="",M117=""),"",IF(OR(L117="未知",M117="未知"),"未知",IF(AND(L117="真",M117="真"),"TP",IF(AND(L117="真",M117="假"),"FP",IF(AND(L117="假",M117="真"),"FN","TN"))))))</f>
        <v/>
      </c>
      <c r="S117" s="3" t="n"/>
      <c r="T117" s="3" t="n"/>
      <c r="U117" s="3" t="n"/>
      <c r="V117" s="3" t="n"/>
    </row>
    <row r="118">
      <c r="A118" s="3" t="n"/>
      <c r="B118" s="3" t="n"/>
      <c r="C118" s="3" t="n"/>
      <c r="D118" s="4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5">
        <f>IF(Q118&lt;&gt;"是","排除",IF(OR(L118="",M118=""),"",IF(OR(L118="未知",M118="未知"),"未知",IF(AND(L118="真",M118="真"),"TP",IF(AND(L118="真",M118="假"),"FP",IF(AND(L118="假",M118="真"),"FN","TN"))))))</f>
        <v/>
      </c>
      <c r="S118" s="3" t="n"/>
      <c r="T118" s="3" t="n"/>
      <c r="U118" s="3" t="n"/>
      <c r="V118" s="3" t="n"/>
    </row>
    <row r="119">
      <c r="A119" s="3" t="n"/>
      <c r="B119" s="3" t="n"/>
      <c r="C119" s="3" t="n"/>
      <c r="D119" s="4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5">
        <f>IF(Q119&lt;&gt;"是","排除",IF(OR(L119="",M119=""),"",IF(OR(L119="未知",M119="未知"),"未知",IF(AND(L119="真",M119="真"),"TP",IF(AND(L119="真",M119="假"),"FP",IF(AND(L119="假",M119="真"),"FN","TN"))))))</f>
        <v/>
      </c>
      <c r="S119" s="3" t="n"/>
      <c r="T119" s="3" t="n"/>
      <c r="U119" s="3" t="n"/>
      <c r="V119" s="3" t="n"/>
    </row>
    <row r="120">
      <c r="A120" s="3" t="n"/>
      <c r="B120" s="3" t="n"/>
      <c r="C120" s="3" t="n"/>
      <c r="D120" s="4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5">
        <f>IF(Q120&lt;&gt;"是","排除",IF(OR(L120="",M120=""),"",IF(OR(L120="未知",M120="未知"),"未知",IF(AND(L120="真",M120="真"),"TP",IF(AND(L120="真",M120="假"),"FP",IF(AND(L120="假",M120="真"),"FN","TN"))))))</f>
        <v/>
      </c>
      <c r="S120" s="3" t="n"/>
      <c r="T120" s="3" t="n"/>
      <c r="U120" s="3" t="n"/>
      <c r="V120" s="3" t="n"/>
    </row>
    <row r="121">
      <c r="A121" s="3" t="n"/>
      <c r="B121" s="3" t="n"/>
      <c r="C121" s="3" t="n"/>
      <c r="D121" s="4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5">
        <f>IF(Q121&lt;&gt;"是","排除",IF(OR(L121="",M121=""),"",IF(OR(L121="未知",M121="未知"),"未知",IF(AND(L121="真",M121="真"),"TP",IF(AND(L121="真",M121="假"),"FP",IF(AND(L121="假",M121="真"),"FN","TN"))))))</f>
        <v/>
      </c>
      <c r="S121" s="3" t="n"/>
      <c r="T121" s="3" t="n"/>
      <c r="U121" s="3" t="n"/>
      <c r="V121" s="3" t="n"/>
    </row>
    <row r="122">
      <c r="A122" s="3" t="n"/>
      <c r="B122" s="3" t="n"/>
      <c r="C122" s="3" t="n"/>
      <c r="D122" s="4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5">
        <f>IF(Q122&lt;&gt;"是","排除",IF(OR(L122="",M122=""),"",IF(OR(L122="未知",M122="未知"),"未知",IF(AND(L122="真",M122="真"),"TP",IF(AND(L122="真",M122="假"),"FP",IF(AND(L122="假",M122="真"),"FN","TN"))))))</f>
        <v/>
      </c>
      <c r="S122" s="3" t="n"/>
      <c r="T122" s="3" t="n"/>
      <c r="U122" s="3" t="n"/>
      <c r="V122" s="3" t="n"/>
    </row>
    <row r="123">
      <c r="A123" s="3" t="n"/>
      <c r="B123" s="3" t="n"/>
      <c r="C123" s="3" t="n"/>
      <c r="D123" s="4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5">
        <f>IF(Q123&lt;&gt;"是","排除",IF(OR(L123="",M123=""),"",IF(OR(L123="未知",M123="未知"),"未知",IF(AND(L123="真",M123="真"),"TP",IF(AND(L123="真",M123="假"),"FP",IF(AND(L123="假",M123="真"),"FN","TN"))))))</f>
        <v/>
      </c>
      <c r="S123" s="3" t="n"/>
      <c r="T123" s="3" t="n"/>
      <c r="U123" s="3" t="n"/>
      <c r="V123" s="3" t="n"/>
    </row>
    <row r="124">
      <c r="A124" s="3" t="n"/>
      <c r="B124" s="3" t="n"/>
      <c r="C124" s="3" t="n"/>
      <c r="D124" s="4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5">
        <f>IF(Q124&lt;&gt;"是","排除",IF(OR(L124="",M124=""),"",IF(OR(L124="未知",M124="未知"),"未知",IF(AND(L124="真",M124="真"),"TP",IF(AND(L124="真",M124="假"),"FP",IF(AND(L124="假",M124="真"),"FN","TN"))))))</f>
        <v/>
      </c>
      <c r="S124" s="3" t="n"/>
      <c r="T124" s="3" t="n"/>
      <c r="U124" s="3" t="n"/>
      <c r="V124" s="3" t="n"/>
    </row>
    <row r="125">
      <c r="A125" s="3" t="n"/>
      <c r="B125" s="3" t="n"/>
      <c r="C125" s="3" t="n"/>
      <c r="D125" s="4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5">
        <f>IF(Q125&lt;&gt;"是","排除",IF(OR(L125="",M125=""),"",IF(OR(L125="未知",M125="未知"),"未知",IF(AND(L125="真",M125="真"),"TP",IF(AND(L125="真",M125="假"),"FP",IF(AND(L125="假",M125="真"),"FN","TN"))))))</f>
        <v/>
      </c>
      <c r="S125" s="3" t="n"/>
      <c r="T125" s="3" t="n"/>
      <c r="U125" s="3" t="n"/>
      <c r="V125" s="3" t="n"/>
    </row>
    <row r="126">
      <c r="A126" s="3" t="n"/>
      <c r="B126" s="3" t="n"/>
      <c r="C126" s="3" t="n"/>
      <c r="D126" s="4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5">
        <f>IF(Q126&lt;&gt;"是","排除",IF(OR(L126="",M126=""),"",IF(OR(L126="未知",M126="未知"),"未知",IF(AND(L126="真",M126="真"),"TP",IF(AND(L126="真",M126="假"),"FP",IF(AND(L126="假",M126="真"),"FN","TN"))))))</f>
        <v/>
      </c>
      <c r="S126" s="3" t="n"/>
      <c r="T126" s="3" t="n"/>
      <c r="U126" s="3" t="n"/>
      <c r="V126" s="3" t="n"/>
    </row>
    <row r="127">
      <c r="A127" s="3" t="n"/>
      <c r="B127" s="3" t="n"/>
      <c r="C127" s="3" t="n"/>
      <c r="D127" s="4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5">
        <f>IF(Q127&lt;&gt;"是","排除",IF(OR(L127="",M127=""),"",IF(OR(L127="未知",M127="未知"),"未知",IF(AND(L127="真",M127="真"),"TP",IF(AND(L127="真",M127="假"),"FP",IF(AND(L127="假",M127="真"),"FN","TN"))))))</f>
        <v/>
      </c>
      <c r="S127" s="3" t="n"/>
      <c r="T127" s="3" t="n"/>
      <c r="U127" s="3" t="n"/>
      <c r="V127" s="3" t="n"/>
    </row>
    <row r="128">
      <c r="A128" s="3" t="n"/>
      <c r="B128" s="3" t="n"/>
      <c r="C128" s="3" t="n"/>
      <c r="D128" s="4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5">
        <f>IF(Q128&lt;&gt;"是","排除",IF(OR(L128="",M128=""),"",IF(OR(L128="未知",M128="未知"),"未知",IF(AND(L128="真",M128="真"),"TP",IF(AND(L128="真",M128="假"),"FP",IF(AND(L128="假",M128="真"),"FN","TN"))))))</f>
        <v/>
      </c>
      <c r="S128" s="3" t="n"/>
      <c r="T128" s="3" t="n"/>
      <c r="U128" s="3" t="n"/>
      <c r="V128" s="3" t="n"/>
    </row>
    <row r="129">
      <c r="A129" s="3" t="n"/>
      <c r="B129" s="3" t="n"/>
      <c r="C129" s="3" t="n"/>
      <c r="D129" s="4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5">
        <f>IF(Q129&lt;&gt;"是","排除",IF(OR(L129="",M129=""),"",IF(OR(L129="未知",M129="未知"),"未知",IF(AND(L129="真",M129="真"),"TP",IF(AND(L129="真",M129="假"),"FP",IF(AND(L129="假",M129="真"),"FN","TN"))))))</f>
        <v/>
      </c>
      <c r="S129" s="3" t="n"/>
      <c r="T129" s="3" t="n"/>
      <c r="U129" s="3" t="n"/>
      <c r="V129" s="3" t="n"/>
    </row>
    <row r="130">
      <c r="A130" s="3" t="n"/>
      <c r="B130" s="3" t="n"/>
      <c r="C130" s="3" t="n"/>
      <c r="D130" s="4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5">
        <f>IF(Q130&lt;&gt;"是","排除",IF(OR(L130="",M130=""),"",IF(OR(L130="未知",M130="未知"),"未知",IF(AND(L130="真",M130="真"),"TP",IF(AND(L130="真",M130="假"),"FP",IF(AND(L130="假",M130="真"),"FN","TN"))))))</f>
        <v/>
      </c>
      <c r="S130" s="3" t="n"/>
      <c r="T130" s="3" t="n"/>
      <c r="U130" s="3" t="n"/>
      <c r="V130" s="3" t="n"/>
    </row>
    <row r="131">
      <c r="A131" s="3" t="n"/>
      <c r="B131" s="3" t="n"/>
      <c r="C131" s="3" t="n"/>
      <c r="D131" s="4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5">
        <f>IF(Q131&lt;&gt;"是","排除",IF(OR(L131="",M131=""),"",IF(OR(L131="未知",M131="未知"),"未知",IF(AND(L131="真",M131="真"),"TP",IF(AND(L131="真",M131="假"),"FP",IF(AND(L131="假",M131="真"),"FN","TN"))))))</f>
        <v/>
      </c>
      <c r="S131" s="3" t="n"/>
      <c r="T131" s="3" t="n"/>
      <c r="U131" s="3" t="n"/>
      <c r="V131" s="3" t="n"/>
    </row>
    <row r="132">
      <c r="A132" s="3" t="n"/>
      <c r="B132" s="3" t="n"/>
      <c r="C132" s="3" t="n"/>
      <c r="D132" s="4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5">
        <f>IF(Q132&lt;&gt;"是","排除",IF(OR(L132="",M132=""),"",IF(OR(L132="未知",M132="未知"),"未知",IF(AND(L132="真",M132="真"),"TP",IF(AND(L132="真",M132="假"),"FP",IF(AND(L132="假",M132="真"),"FN","TN"))))))</f>
        <v/>
      </c>
      <c r="S132" s="3" t="n"/>
      <c r="T132" s="3" t="n"/>
      <c r="U132" s="3" t="n"/>
      <c r="V132" s="3" t="n"/>
    </row>
    <row r="133">
      <c r="A133" s="3" t="n"/>
      <c r="B133" s="3" t="n"/>
      <c r="C133" s="3" t="n"/>
      <c r="D133" s="4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5">
        <f>IF(Q133&lt;&gt;"是","排除",IF(OR(L133="",M133=""),"",IF(OR(L133="未知",M133="未知"),"未知",IF(AND(L133="真",M133="真"),"TP",IF(AND(L133="真",M133="假"),"FP",IF(AND(L133="假",M133="真"),"FN","TN"))))))</f>
        <v/>
      </c>
      <c r="S133" s="3" t="n"/>
      <c r="T133" s="3" t="n"/>
      <c r="U133" s="3" t="n"/>
      <c r="V133" s="3" t="n"/>
    </row>
    <row r="134">
      <c r="A134" s="3" t="n"/>
      <c r="B134" s="3" t="n"/>
      <c r="C134" s="3" t="n"/>
      <c r="D134" s="4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5">
        <f>IF(Q134&lt;&gt;"是","排除",IF(OR(L134="",M134=""),"",IF(OR(L134="未知",M134="未知"),"未知",IF(AND(L134="真",M134="真"),"TP",IF(AND(L134="真",M134="假"),"FP",IF(AND(L134="假",M134="真"),"FN","TN"))))))</f>
        <v/>
      </c>
      <c r="S134" s="3" t="n"/>
      <c r="T134" s="3" t="n"/>
      <c r="U134" s="3" t="n"/>
      <c r="V134" s="3" t="n"/>
    </row>
    <row r="135">
      <c r="A135" s="3" t="n"/>
      <c r="B135" s="3" t="n"/>
      <c r="C135" s="3" t="n"/>
      <c r="D135" s="4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5">
        <f>IF(Q135&lt;&gt;"是","排除",IF(OR(L135="",M135=""),"",IF(OR(L135="未知",M135="未知"),"未知",IF(AND(L135="真",M135="真"),"TP",IF(AND(L135="真",M135="假"),"FP",IF(AND(L135="假",M135="真"),"FN","TN"))))))</f>
        <v/>
      </c>
      <c r="S135" s="3" t="n"/>
      <c r="T135" s="3" t="n"/>
      <c r="U135" s="3" t="n"/>
      <c r="V135" s="3" t="n"/>
    </row>
    <row r="136">
      <c r="A136" s="3" t="n"/>
      <c r="B136" s="3" t="n"/>
      <c r="C136" s="3" t="n"/>
      <c r="D136" s="4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5">
        <f>IF(Q136&lt;&gt;"是","排除",IF(OR(L136="",M136=""),"",IF(OR(L136="未知",M136="未知"),"未知",IF(AND(L136="真",M136="真"),"TP",IF(AND(L136="真",M136="假"),"FP",IF(AND(L136="假",M136="真"),"FN","TN"))))))</f>
        <v/>
      </c>
      <c r="S136" s="3" t="n"/>
      <c r="T136" s="3" t="n"/>
      <c r="U136" s="3" t="n"/>
      <c r="V136" s="3" t="n"/>
    </row>
    <row r="137">
      <c r="A137" s="3" t="n"/>
      <c r="B137" s="3" t="n"/>
      <c r="C137" s="3" t="n"/>
      <c r="D137" s="4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5">
        <f>IF(Q137&lt;&gt;"是","排除",IF(OR(L137="",M137=""),"",IF(OR(L137="未知",M137="未知"),"未知",IF(AND(L137="真",M137="真"),"TP",IF(AND(L137="真",M137="假"),"FP",IF(AND(L137="假",M137="真"),"FN","TN"))))))</f>
        <v/>
      </c>
      <c r="S137" s="3" t="n"/>
      <c r="T137" s="3" t="n"/>
      <c r="U137" s="3" t="n"/>
      <c r="V137" s="3" t="n"/>
    </row>
    <row r="138">
      <c r="A138" s="3" t="n"/>
      <c r="B138" s="3" t="n"/>
      <c r="C138" s="3" t="n"/>
      <c r="D138" s="4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5">
        <f>IF(Q138&lt;&gt;"是","排除",IF(OR(L138="",M138=""),"",IF(OR(L138="未知",M138="未知"),"未知",IF(AND(L138="真",M138="真"),"TP",IF(AND(L138="真",M138="假"),"FP",IF(AND(L138="假",M138="真"),"FN","TN"))))))</f>
        <v/>
      </c>
      <c r="S138" s="3" t="n"/>
      <c r="T138" s="3" t="n"/>
      <c r="U138" s="3" t="n"/>
      <c r="V138" s="3" t="n"/>
    </row>
    <row r="139">
      <c r="A139" s="3" t="n"/>
      <c r="B139" s="3" t="n"/>
      <c r="C139" s="3" t="n"/>
      <c r="D139" s="4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5">
        <f>IF(Q139&lt;&gt;"是","排除",IF(OR(L139="",M139=""),"",IF(OR(L139="未知",M139="未知"),"未知",IF(AND(L139="真",M139="真"),"TP",IF(AND(L139="真",M139="假"),"FP",IF(AND(L139="假",M139="真"),"FN","TN"))))))</f>
        <v/>
      </c>
      <c r="S139" s="3" t="n"/>
      <c r="T139" s="3" t="n"/>
      <c r="U139" s="3" t="n"/>
      <c r="V139" s="3" t="n"/>
    </row>
    <row r="140">
      <c r="A140" s="3" t="n"/>
      <c r="B140" s="3" t="n"/>
      <c r="C140" s="3" t="n"/>
      <c r="D140" s="4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5">
        <f>IF(Q140&lt;&gt;"是","排除",IF(OR(L140="",M140=""),"",IF(OR(L140="未知",M140="未知"),"未知",IF(AND(L140="真",M140="真"),"TP",IF(AND(L140="真",M140="假"),"FP",IF(AND(L140="假",M140="真"),"FN","TN"))))))</f>
        <v/>
      </c>
      <c r="S140" s="3" t="n"/>
      <c r="T140" s="3" t="n"/>
      <c r="U140" s="3" t="n"/>
      <c r="V140" s="3" t="n"/>
    </row>
    <row r="141">
      <c r="A141" s="3" t="n"/>
      <c r="B141" s="3" t="n"/>
      <c r="C141" s="3" t="n"/>
      <c r="D141" s="4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5">
        <f>IF(Q141&lt;&gt;"是","排除",IF(OR(L141="",M141=""),"",IF(OR(L141="未知",M141="未知"),"未知",IF(AND(L141="真",M141="真"),"TP",IF(AND(L141="真",M141="假"),"FP",IF(AND(L141="假",M141="真"),"FN","TN"))))))</f>
        <v/>
      </c>
      <c r="S141" s="3" t="n"/>
      <c r="T141" s="3" t="n"/>
      <c r="U141" s="3" t="n"/>
      <c r="V141" s="3" t="n"/>
    </row>
    <row r="142">
      <c r="A142" s="3" t="n"/>
      <c r="B142" s="3" t="n"/>
      <c r="C142" s="3" t="n"/>
      <c r="D142" s="4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5">
        <f>IF(Q142&lt;&gt;"是","排除",IF(OR(L142="",M142=""),"",IF(OR(L142="未知",M142="未知"),"未知",IF(AND(L142="真",M142="真"),"TP",IF(AND(L142="真",M142="假"),"FP",IF(AND(L142="假",M142="真"),"FN","TN"))))))</f>
        <v/>
      </c>
      <c r="S142" s="3" t="n"/>
      <c r="T142" s="3" t="n"/>
      <c r="U142" s="3" t="n"/>
      <c r="V142" s="3" t="n"/>
    </row>
    <row r="143">
      <c r="A143" s="3" t="n"/>
      <c r="B143" s="3" t="n"/>
      <c r="C143" s="3" t="n"/>
      <c r="D143" s="4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5">
        <f>IF(Q143&lt;&gt;"是","排除",IF(OR(L143="",M143=""),"",IF(OR(L143="未知",M143="未知"),"未知",IF(AND(L143="真",M143="真"),"TP",IF(AND(L143="真",M143="假"),"FP",IF(AND(L143="假",M143="真"),"FN","TN"))))))</f>
        <v/>
      </c>
      <c r="S143" s="3" t="n"/>
      <c r="T143" s="3" t="n"/>
      <c r="U143" s="3" t="n"/>
      <c r="V143" s="3" t="n"/>
    </row>
    <row r="144">
      <c r="A144" s="3" t="n"/>
      <c r="B144" s="3" t="n"/>
      <c r="C144" s="3" t="n"/>
      <c r="D144" s="4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5">
        <f>IF(Q144&lt;&gt;"是","排除",IF(OR(L144="",M144=""),"",IF(OR(L144="未知",M144="未知"),"未知",IF(AND(L144="真",M144="真"),"TP",IF(AND(L144="真",M144="假"),"FP",IF(AND(L144="假",M144="真"),"FN","TN"))))))</f>
        <v/>
      </c>
      <c r="S144" s="3" t="n"/>
      <c r="T144" s="3" t="n"/>
      <c r="U144" s="3" t="n"/>
      <c r="V144" s="3" t="n"/>
    </row>
    <row r="145">
      <c r="A145" s="3" t="n"/>
      <c r="B145" s="3" t="n"/>
      <c r="C145" s="3" t="n"/>
      <c r="D145" s="4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5">
        <f>IF(Q145&lt;&gt;"是","排除",IF(OR(L145="",M145=""),"",IF(OR(L145="未知",M145="未知"),"未知",IF(AND(L145="真",M145="真"),"TP",IF(AND(L145="真",M145="假"),"FP",IF(AND(L145="假",M145="真"),"FN","TN"))))))</f>
        <v/>
      </c>
      <c r="S145" s="3" t="n"/>
      <c r="T145" s="3" t="n"/>
      <c r="U145" s="3" t="n"/>
      <c r="V145" s="3" t="n"/>
    </row>
    <row r="146">
      <c r="A146" s="3" t="n"/>
      <c r="B146" s="3" t="n"/>
      <c r="C146" s="3" t="n"/>
      <c r="D146" s="4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5">
        <f>IF(Q146&lt;&gt;"是","排除",IF(OR(L146="",M146=""),"",IF(OR(L146="未知",M146="未知"),"未知",IF(AND(L146="真",M146="真"),"TP",IF(AND(L146="真",M146="假"),"FP",IF(AND(L146="假",M146="真"),"FN","TN"))))))</f>
        <v/>
      </c>
      <c r="S146" s="3" t="n"/>
      <c r="T146" s="3" t="n"/>
      <c r="U146" s="3" t="n"/>
      <c r="V146" s="3" t="n"/>
    </row>
    <row r="147">
      <c r="A147" s="3" t="n"/>
      <c r="B147" s="3" t="n"/>
      <c r="C147" s="3" t="n"/>
      <c r="D147" s="4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5">
        <f>IF(Q147&lt;&gt;"是","排除",IF(OR(L147="",M147=""),"",IF(OR(L147="未知",M147="未知"),"未知",IF(AND(L147="真",M147="真"),"TP",IF(AND(L147="真",M147="假"),"FP",IF(AND(L147="假",M147="真"),"FN","TN"))))))</f>
        <v/>
      </c>
      <c r="S147" s="3" t="n"/>
      <c r="T147" s="3" t="n"/>
      <c r="U147" s="3" t="n"/>
      <c r="V147" s="3" t="n"/>
    </row>
    <row r="148">
      <c r="A148" s="3" t="n"/>
      <c r="B148" s="3" t="n"/>
      <c r="C148" s="3" t="n"/>
      <c r="D148" s="4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5">
        <f>IF(Q148&lt;&gt;"是","排除",IF(OR(L148="",M148=""),"",IF(OR(L148="未知",M148="未知"),"未知",IF(AND(L148="真",M148="真"),"TP",IF(AND(L148="真",M148="假"),"FP",IF(AND(L148="假",M148="真"),"FN","TN"))))))</f>
        <v/>
      </c>
      <c r="S148" s="3" t="n"/>
      <c r="T148" s="3" t="n"/>
      <c r="U148" s="3" t="n"/>
      <c r="V148" s="3" t="n"/>
    </row>
    <row r="149">
      <c r="A149" s="3" t="n"/>
      <c r="B149" s="3" t="n"/>
      <c r="C149" s="3" t="n"/>
      <c r="D149" s="4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5">
        <f>IF(Q149&lt;&gt;"是","排除",IF(OR(L149="",M149=""),"",IF(OR(L149="未知",M149="未知"),"未知",IF(AND(L149="真",M149="真"),"TP",IF(AND(L149="真",M149="假"),"FP",IF(AND(L149="假",M149="真"),"FN","TN"))))))</f>
        <v/>
      </c>
      <c r="S149" s="3" t="n"/>
      <c r="T149" s="3" t="n"/>
      <c r="U149" s="3" t="n"/>
      <c r="V149" s="3" t="n"/>
    </row>
    <row r="150">
      <c r="A150" s="3" t="n"/>
      <c r="B150" s="3" t="n"/>
      <c r="C150" s="3" t="n"/>
      <c r="D150" s="4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5">
        <f>IF(Q150&lt;&gt;"是","排除",IF(OR(L150="",M150=""),"",IF(OR(L150="未知",M150="未知"),"未知",IF(AND(L150="真",M150="真"),"TP",IF(AND(L150="真",M150="假"),"FP",IF(AND(L150="假",M150="真"),"FN","TN"))))))</f>
        <v/>
      </c>
      <c r="S150" s="3" t="n"/>
      <c r="T150" s="3" t="n"/>
      <c r="U150" s="3" t="n"/>
      <c r="V150" s="3" t="n"/>
    </row>
    <row r="151">
      <c r="A151" s="3" t="n"/>
      <c r="B151" s="3" t="n"/>
      <c r="C151" s="3" t="n"/>
      <c r="D151" s="4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5">
        <f>IF(Q151&lt;&gt;"是","排除",IF(OR(L151="",M151=""),"",IF(OR(L151="未知",M151="未知"),"未知",IF(AND(L151="真",M151="真"),"TP",IF(AND(L151="真",M151="假"),"FP",IF(AND(L151="假",M151="真"),"FN","TN"))))))</f>
        <v/>
      </c>
      <c r="S151" s="3" t="n"/>
      <c r="T151" s="3" t="n"/>
      <c r="U151" s="3" t="n"/>
      <c r="V151" s="3" t="n"/>
    </row>
    <row r="152">
      <c r="A152" s="3" t="n"/>
      <c r="B152" s="3" t="n"/>
      <c r="C152" s="3" t="n"/>
      <c r="D152" s="4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5">
        <f>IF(Q152&lt;&gt;"是","排除",IF(OR(L152="",M152=""),"",IF(OR(L152="未知",M152="未知"),"未知",IF(AND(L152="真",M152="真"),"TP",IF(AND(L152="真",M152="假"),"FP",IF(AND(L152="假",M152="真"),"FN","TN"))))))</f>
        <v/>
      </c>
      <c r="S152" s="3" t="n"/>
      <c r="T152" s="3" t="n"/>
      <c r="U152" s="3" t="n"/>
      <c r="V152" s="3" t="n"/>
    </row>
    <row r="153">
      <c r="A153" s="3" t="n"/>
      <c r="B153" s="3" t="n"/>
      <c r="C153" s="3" t="n"/>
      <c r="D153" s="4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5">
        <f>IF(Q153&lt;&gt;"是","排除",IF(OR(L153="",M153=""),"",IF(OR(L153="未知",M153="未知"),"未知",IF(AND(L153="真",M153="真"),"TP",IF(AND(L153="真",M153="假"),"FP",IF(AND(L153="假",M153="真"),"FN","TN"))))))</f>
        <v/>
      </c>
      <c r="S153" s="3" t="n"/>
      <c r="T153" s="3" t="n"/>
      <c r="U153" s="3" t="n"/>
      <c r="V153" s="3" t="n"/>
    </row>
    <row r="154">
      <c r="A154" s="3" t="n"/>
      <c r="B154" s="3" t="n"/>
      <c r="C154" s="3" t="n"/>
      <c r="D154" s="4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5">
        <f>IF(Q154&lt;&gt;"是","排除",IF(OR(L154="",M154=""),"",IF(OR(L154="未知",M154="未知"),"未知",IF(AND(L154="真",M154="真"),"TP",IF(AND(L154="真",M154="假"),"FP",IF(AND(L154="假",M154="真"),"FN","TN"))))))</f>
        <v/>
      </c>
      <c r="S154" s="3" t="n"/>
      <c r="T154" s="3" t="n"/>
      <c r="U154" s="3" t="n"/>
      <c r="V154" s="3" t="n"/>
    </row>
    <row r="155">
      <c r="A155" s="3" t="n"/>
      <c r="B155" s="3" t="n"/>
      <c r="C155" s="3" t="n"/>
      <c r="D155" s="4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5">
        <f>IF(Q155&lt;&gt;"是","排除",IF(OR(L155="",M155=""),"",IF(OR(L155="未知",M155="未知"),"未知",IF(AND(L155="真",M155="真"),"TP",IF(AND(L155="真",M155="假"),"FP",IF(AND(L155="假",M155="真"),"FN","TN"))))))</f>
        <v/>
      </c>
      <c r="S155" s="3" t="n"/>
      <c r="T155" s="3" t="n"/>
      <c r="U155" s="3" t="n"/>
      <c r="V155" s="3" t="n"/>
    </row>
    <row r="156">
      <c r="A156" s="3" t="n"/>
      <c r="B156" s="3" t="n"/>
      <c r="C156" s="3" t="n"/>
      <c r="D156" s="4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5">
        <f>IF(Q156&lt;&gt;"是","排除",IF(OR(L156="",M156=""),"",IF(OR(L156="未知",M156="未知"),"未知",IF(AND(L156="真",M156="真"),"TP",IF(AND(L156="真",M156="假"),"FP",IF(AND(L156="假",M156="真"),"FN","TN"))))))</f>
        <v/>
      </c>
      <c r="S156" s="3" t="n"/>
      <c r="T156" s="3" t="n"/>
      <c r="U156" s="3" t="n"/>
      <c r="V156" s="3" t="n"/>
    </row>
    <row r="157">
      <c r="A157" s="3" t="n"/>
      <c r="B157" s="3" t="n"/>
      <c r="C157" s="3" t="n"/>
      <c r="D157" s="4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5">
        <f>IF(Q157&lt;&gt;"是","排除",IF(OR(L157="",M157=""),"",IF(OR(L157="未知",M157="未知"),"未知",IF(AND(L157="真",M157="真"),"TP",IF(AND(L157="真",M157="假"),"FP",IF(AND(L157="假",M157="真"),"FN","TN"))))))</f>
        <v/>
      </c>
      <c r="S157" s="3" t="n"/>
      <c r="T157" s="3" t="n"/>
      <c r="U157" s="3" t="n"/>
      <c r="V157" s="3" t="n"/>
    </row>
    <row r="158">
      <c r="A158" s="3" t="n"/>
      <c r="B158" s="3" t="n"/>
      <c r="C158" s="3" t="n"/>
      <c r="D158" s="4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5">
        <f>IF(Q158&lt;&gt;"是","排除",IF(OR(L158="",M158=""),"",IF(OR(L158="未知",M158="未知"),"未知",IF(AND(L158="真",M158="真"),"TP",IF(AND(L158="真",M158="假"),"FP",IF(AND(L158="假",M158="真"),"FN","TN"))))))</f>
        <v/>
      </c>
      <c r="S158" s="3" t="n"/>
      <c r="T158" s="3" t="n"/>
      <c r="U158" s="3" t="n"/>
      <c r="V158" s="3" t="n"/>
    </row>
    <row r="159">
      <c r="A159" s="3" t="n"/>
      <c r="B159" s="3" t="n"/>
      <c r="C159" s="3" t="n"/>
      <c r="D159" s="4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5">
        <f>IF(Q159&lt;&gt;"是","排除",IF(OR(L159="",M159=""),"",IF(OR(L159="未知",M159="未知"),"未知",IF(AND(L159="真",M159="真"),"TP",IF(AND(L159="真",M159="假"),"FP",IF(AND(L159="假",M159="真"),"FN","TN"))))))</f>
        <v/>
      </c>
      <c r="S159" s="3" t="n"/>
      <c r="T159" s="3" t="n"/>
      <c r="U159" s="3" t="n"/>
      <c r="V159" s="3" t="n"/>
    </row>
    <row r="160">
      <c r="A160" s="3" t="n"/>
      <c r="B160" s="3" t="n"/>
      <c r="C160" s="3" t="n"/>
      <c r="D160" s="4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5">
        <f>IF(Q160&lt;&gt;"是","排除",IF(OR(L160="",M160=""),"",IF(OR(L160="未知",M160="未知"),"未知",IF(AND(L160="真",M160="真"),"TP",IF(AND(L160="真",M160="假"),"FP",IF(AND(L160="假",M160="真"),"FN","TN"))))))</f>
        <v/>
      </c>
      <c r="S160" s="3" t="n"/>
      <c r="T160" s="3" t="n"/>
      <c r="U160" s="3" t="n"/>
      <c r="V160" s="3" t="n"/>
    </row>
    <row r="161">
      <c r="A161" s="3" t="n"/>
      <c r="B161" s="3" t="n"/>
      <c r="C161" s="3" t="n"/>
      <c r="D161" s="4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5">
        <f>IF(Q161&lt;&gt;"是","排除",IF(OR(L161="",M161=""),"",IF(OR(L161="未知",M161="未知"),"未知",IF(AND(L161="真",M161="真"),"TP",IF(AND(L161="真",M161="假"),"FP",IF(AND(L161="假",M161="真"),"FN","TN"))))))</f>
        <v/>
      </c>
      <c r="S161" s="3" t="n"/>
      <c r="T161" s="3" t="n"/>
      <c r="U161" s="3" t="n"/>
      <c r="V161" s="3" t="n"/>
    </row>
    <row r="162">
      <c r="A162" s="3" t="n"/>
      <c r="B162" s="3" t="n"/>
      <c r="C162" s="3" t="n"/>
      <c r="D162" s="4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5">
        <f>IF(Q162&lt;&gt;"是","排除",IF(OR(L162="",M162=""),"",IF(OR(L162="未知",M162="未知"),"未知",IF(AND(L162="真",M162="真"),"TP",IF(AND(L162="真",M162="假"),"FP",IF(AND(L162="假",M162="真"),"FN","TN"))))))</f>
        <v/>
      </c>
      <c r="S162" s="3" t="n"/>
      <c r="T162" s="3" t="n"/>
      <c r="U162" s="3" t="n"/>
      <c r="V162" s="3" t="n"/>
    </row>
    <row r="163">
      <c r="A163" s="3" t="n"/>
      <c r="B163" s="3" t="n"/>
      <c r="C163" s="3" t="n"/>
      <c r="D163" s="4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5">
        <f>IF(Q163&lt;&gt;"是","排除",IF(OR(L163="",M163=""),"",IF(OR(L163="未知",M163="未知"),"未知",IF(AND(L163="真",M163="真"),"TP",IF(AND(L163="真",M163="假"),"FP",IF(AND(L163="假",M163="真"),"FN","TN"))))))</f>
        <v/>
      </c>
      <c r="S163" s="3" t="n"/>
      <c r="T163" s="3" t="n"/>
      <c r="U163" s="3" t="n"/>
      <c r="V163" s="3" t="n"/>
    </row>
    <row r="164">
      <c r="A164" s="3" t="n"/>
      <c r="B164" s="3" t="n"/>
      <c r="C164" s="3" t="n"/>
      <c r="D164" s="4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5">
        <f>IF(Q164&lt;&gt;"是","排除",IF(OR(L164="",M164=""),"",IF(OR(L164="未知",M164="未知"),"未知",IF(AND(L164="真",M164="真"),"TP",IF(AND(L164="真",M164="假"),"FP",IF(AND(L164="假",M164="真"),"FN","TN"))))))</f>
        <v/>
      </c>
      <c r="S164" s="3" t="n"/>
      <c r="T164" s="3" t="n"/>
      <c r="U164" s="3" t="n"/>
      <c r="V164" s="3" t="n"/>
    </row>
    <row r="165">
      <c r="A165" s="3" t="n"/>
      <c r="B165" s="3" t="n"/>
      <c r="C165" s="3" t="n"/>
      <c r="D165" s="4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5">
        <f>IF(Q165&lt;&gt;"是","排除",IF(OR(L165="",M165=""),"",IF(OR(L165="未知",M165="未知"),"未知",IF(AND(L165="真",M165="真"),"TP",IF(AND(L165="真",M165="假"),"FP",IF(AND(L165="假",M165="真"),"FN","TN"))))))</f>
        <v/>
      </c>
      <c r="S165" s="3" t="n"/>
      <c r="T165" s="3" t="n"/>
      <c r="U165" s="3" t="n"/>
      <c r="V165" s="3" t="n"/>
    </row>
    <row r="166">
      <c r="A166" s="3" t="n"/>
      <c r="B166" s="3" t="n"/>
      <c r="C166" s="3" t="n"/>
      <c r="D166" s="4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5">
        <f>IF(Q166&lt;&gt;"是","排除",IF(OR(L166="",M166=""),"",IF(OR(L166="未知",M166="未知"),"未知",IF(AND(L166="真",M166="真"),"TP",IF(AND(L166="真",M166="假"),"FP",IF(AND(L166="假",M166="真"),"FN","TN"))))))</f>
        <v/>
      </c>
      <c r="S166" s="3" t="n"/>
      <c r="T166" s="3" t="n"/>
      <c r="U166" s="3" t="n"/>
      <c r="V166" s="3" t="n"/>
    </row>
    <row r="167">
      <c r="A167" s="3" t="n"/>
      <c r="B167" s="3" t="n"/>
      <c r="C167" s="3" t="n"/>
      <c r="D167" s="4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5">
        <f>IF(Q167&lt;&gt;"是","排除",IF(OR(L167="",M167=""),"",IF(OR(L167="未知",M167="未知"),"未知",IF(AND(L167="真",M167="真"),"TP",IF(AND(L167="真",M167="假"),"FP",IF(AND(L167="假",M167="真"),"FN","TN"))))))</f>
        <v/>
      </c>
      <c r="S167" s="3" t="n"/>
      <c r="T167" s="3" t="n"/>
      <c r="U167" s="3" t="n"/>
      <c r="V167" s="3" t="n"/>
    </row>
    <row r="168">
      <c r="A168" s="3" t="n"/>
      <c r="B168" s="3" t="n"/>
      <c r="C168" s="3" t="n"/>
      <c r="D168" s="4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5">
        <f>IF(Q168&lt;&gt;"是","排除",IF(OR(L168="",M168=""),"",IF(OR(L168="未知",M168="未知"),"未知",IF(AND(L168="真",M168="真"),"TP",IF(AND(L168="真",M168="假"),"FP",IF(AND(L168="假",M168="真"),"FN","TN"))))))</f>
        <v/>
      </c>
      <c r="S168" s="3" t="n"/>
      <c r="T168" s="3" t="n"/>
      <c r="U168" s="3" t="n"/>
      <c r="V168" s="3" t="n"/>
    </row>
    <row r="169">
      <c r="A169" s="3" t="n"/>
      <c r="B169" s="3" t="n"/>
      <c r="C169" s="3" t="n"/>
      <c r="D169" s="4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5">
        <f>IF(Q169&lt;&gt;"是","排除",IF(OR(L169="",M169=""),"",IF(OR(L169="未知",M169="未知"),"未知",IF(AND(L169="真",M169="真"),"TP",IF(AND(L169="真",M169="假"),"FP",IF(AND(L169="假",M169="真"),"FN","TN"))))))</f>
        <v/>
      </c>
      <c r="S169" s="3" t="n"/>
      <c r="T169" s="3" t="n"/>
      <c r="U169" s="3" t="n"/>
      <c r="V169" s="3" t="n"/>
    </row>
    <row r="170">
      <c r="A170" s="3" t="n"/>
      <c r="B170" s="3" t="n"/>
      <c r="C170" s="3" t="n"/>
      <c r="D170" s="4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5">
        <f>IF(Q170&lt;&gt;"是","排除",IF(OR(L170="",M170=""),"",IF(OR(L170="未知",M170="未知"),"未知",IF(AND(L170="真",M170="真"),"TP",IF(AND(L170="真",M170="假"),"FP",IF(AND(L170="假",M170="真"),"FN","TN"))))))</f>
        <v/>
      </c>
      <c r="S170" s="3" t="n"/>
      <c r="T170" s="3" t="n"/>
      <c r="U170" s="3" t="n"/>
      <c r="V170" s="3" t="n"/>
    </row>
    <row r="171">
      <c r="A171" s="3" t="n"/>
      <c r="B171" s="3" t="n"/>
      <c r="C171" s="3" t="n"/>
      <c r="D171" s="4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5">
        <f>IF(Q171&lt;&gt;"是","排除",IF(OR(L171="",M171=""),"",IF(OR(L171="未知",M171="未知"),"未知",IF(AND(L171="真",M171="真"),"TP",IF(AND(L171="真",M171="假"),"FP",IF(AND(L171="假",M171="真"),"FN","TN"))))))</f>
        <v/>
      </c>
      <c r="S171" s="3" t="n"/>
      <c r="T171" s="3" t="n"/>
      <c r="U171" s="3" t="n"/>
      <c r="V171" s="3" t="n"/>
    </row>
    <row r="172">
      <c r="A172" s="3" t="n"/>
      <c r="B172" s="3" t="n"/>
      <c r="C172" s="3" t="n"/>
      <c r="D172" s="4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5">
        <f>IF(Q172&lt;&gt;"是","排除",IF(OR(L172="",M172=""),"",IF(OR(L172="未知",M172="未知"),"未知",IF(AND(L172="真",M172="真"),"TP",IF(AND(L172="真",M172="假"),"FP",IF(AND(L172="假",M172="真"),"FN","TN"))))))</f>
        <v/>
      </c>
      <c r="S172" s="3" t="n"/>
      <c r="T172" s="3" t="n"/>
      <c r="U172" s="3" t="n"/>
      <c r="V172" s="3" t="n"/>
    </row>
    <row r="173">
      <c r="A173" s="3" t="n"/>
      <c r="B173" s="3" t="n"/>
      <c r="C173" s="3" t="n"/>
      <c r="D173" s="4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5">
        <f>IF(Q173&lt;&gt;"是","排除",IF(OR(L173="",M173=""),"",IF(OR(L173="未知",M173="未知"),"未知",IF(AND(L173="真",M173="真"),"TP",IF(AND(L173="真",M173="假"),"FP",IF(AND(L173="假",M173="真"),"FN","TN"))))))</f>
        <v/>
      </c>
      <c r="S173" s="3" t="n"/>
      <c r="T173" s="3" t="n"/>
      <c r="U173" s="3" t="n"/>
      <c r="V173" s="3" t="n"/>
    </row>
    <row r="174">
      <c r="A174" s="3" t="n"/>
      <c r="B174" s="3" t="n"/>
      <c r="C174" s="3" t="n"/>
      <c r="D174" s="4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5">
        <f>IF(Q174&lt;&gt;"是","排除",IF(OR(L174="",M174=""),"",IF(OR(L174="未知",M174="未知"),"未知",IF(AND(L174="真",M174="真"),"TP",IF(AND(L174="真",M174="假"),"FP",IF(AND(L174="假",M174="真"),"FN","TN"))))))</f>
        <v/>
      </c>
      <c r="S174" s="3" t="n"/>
      <c r="T174" s="3" t="n"/>
      <c r="U174" s="3" t="n"/>
      <c r="V174" s="3" t="n"/>
    </row>
    <row r="175">
      <c r="A175" s="3" t="n"/>
      <c r="B175" s="3" t="n"/>
      <c r="C175" s="3" t="n"/>
      <c r="D175" s="4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5">
        <f>IF(Q175&lt;&gt;"是","排除",IF(OR(L175="",M175=""),"",IF(OR(L175="未知",M175="未知"),"未知",IF(AND(L175="真",M175="真"),"TP",IF(AND(L175="真",M175="假"),"FP",IF(AND(L175="假",M175="真"),"FN","TN"))))))</f>
        <v/>
      </c>
      <c r="S175" s="3" t="n"/>
      <c r="T175" s="3" t="n"/>
      <c r="U175" s="3" t="n"/>
      <c r="V175" s="3" t="n"/>
    </row>
    <row r="176">
      <c r="A176" s="3" t="n"/>
      <c r="B176" s="3" t="n"/>
      <c r="C176" s="3" t="n"/>
      <c r="D176" s="4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5">
        <f>IF(Q176&lt;&gt;"是","排除",IF(OR(L176="",M176=""),"",IF(OR(L176="未知",M176="未知"),"未知",IF(AND(L176="真",M176="真"),"TP",IF(AND(L176="真",M176="假"),"FP",IF(AND(L176="假",M176="真"),"FN","TN"))))))</f>
        <v/>
      </c>
      <c r="S176" s="3" t="n"/>
      <c r="T176" s="3" t="n"/>
      <c r="U176" s="3" t="n"/>
      <c r="V176" s="3" t="n"/>
    </row>
    <row r="177">
      <c r="A177" s="3" t="n"/>
      <c r="B177" s="3" t="n"/>
      <c r="C177" s="3" t="n"/>
      <c r="D177" s="4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5">
        <f>IF(Q177&lt;&gt;"是","排除",IF(OR(L177="",M177=""),"",IF(OR(L177="未知",M177="未知"),"未知",IF(AND(L177="真",M177="真"),"TP",IF(AND(L177="真",M177="假"),"FP",IF(AND(L177="假",M177="真"),"FN","TN"))))))</f>
        <v/>
      </c>
      <c r="S177" s="3" t="n"/>
      <c r="T177" s="3" t="n"/>
      <c r="U177" s="3" t="n"/>
      <c r="V177" s="3" t="n"/>
    </row>
    <row r="178">
      <c r="A178" s="3" t="n"/>
      <c r="B178" s="3" t="n"/>
      <c r="C178" s="3" t="n"/>
      <c r="D178" s="4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5">
        <f>IF(Q178&lt;&gt;"是","排除",IF(OR(L178="",M178=""),"",IF(OR(L178="未知",M178="未知"),"未知",IF(AND(L178="真",M178="真"),"TP",IF(AND(L178="真",M178="假"),"FP",IF(AND(L178="假",M178="真"),"FN","TN"))))))</f>
        <v/>
      </c>
      <c r="S178" s="3" t="n"/>
      <c r="T178" s="3" t="n"/>
      <c r="U178" s="3" t="n"/>
      <c r="V178" s="3" t="n"/>
    </row>
    <row r="179">
      <c r="A179" s="3" t="n"/>
      <c r="B179" s="3" t="n"/>
      <c r="C179" s="3" t="n"/>
      <c r="D179" s="4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5">
        <f>IF(Q179&lt;&gt;"是","排除",IF(OR(L179="",M179=""),"",IF(OR(L179="未知",M179="未知"),"未知",IF(AND(L179="真",M179="真"),"TP",IF(AND(L179="真",M179="假"),"FP",IF(AND(L179="假",M179="真"),"FN","TN"))))))</f>
        <v/>
      </c>
      <c r="S179" s="3" t="n"/>
      <c r="T179" s="3" t="n"/>
      <c r="U179" s="3" t="n"/>
      <c r="V179" s="3" t="n"/>
    </row>
    <row r="180">
      <c r="A180" s="3" t="n"/>
      <c r="B180" s="3" t="n"/>
      <c r="C180" s="3" t="n"/>
      <c r="D180" s="4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5">
        <f>IF(Q180&lt;&gt;"是","排除",IF(OR(L180="",M180=""),"",IF(OR(L180="未知",M180="未知"),"未知",IF(AND(L180="真",M180="真"),"TP",IF(AND(L180="真",M180="假"),"FP",IF(AND(L180="假",M180="真"),"FN","TN"))))))</f>
        <v/>
      </c>
      <c r="S180" s="3" t="n"/>
      <c r="T180" s="3" t="n"/>
      <c r="U180" s="3" t="n"/>
      <c r="V180" s="3" t="n"/>
    </row>
    <row r="181">
      <c r="A181" s="3" t="n"/>
      <c r="B181" s="3" t="n"/>
      <c r="C181" s="3" t="n"/>
      <c r="D181" s="4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5">
        <f>IF(Q181&lt;&gt;"是","排除",IF(OR(L181="",M181=""),"",IF(OR(L181="未知",M181="未知"),"未知",IF(AND(L181="真",M181="真"),"TP",IF(AND(L181="真",M181="假"),"FP",IF(AND(L181="假",M181="真"),"FN","TN"))))))</f>
        <v/>
      </c>
      <c r="S181" s="3" t="n"/>
      <c r="T181" s="3" t="n"/>
      <c r="U181" s="3" t="n"/>
      <c r="V181" s="3" t="n"/>
    </row>
    <row r="182">
      <c r="A182" s="3" t="n"/>
      <c r="B182" s="3" t="n"/>
      <c r="C182" s="3" t="n"/>
      <c r="D182" s="4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5">
        <f>IF(Q182&lt;&gt;"是","排除",IF(OR(L182="",M182=""),"",IF(OR(L182="未知",M182="未知"),"未知",IF(AND(L182="真",M182="真"),"TP",IF(AND(L182="真",M182="假"),"FP",IF(AND(L182="假",M182="真"),"FN","TN"))))))</f>
        <v/>
      </c>
      <c r="S182" s="3" t="n"/>
      <c r="T182" s="3" t="n"/>
      <c r="U182" s="3" t="n"/>
      <c r="V182" s="3" t="n"/>
    </row>
    <row r="183">
      <c r="A183" s="3" t="n"/>
      <c r="B183" s="3" t="n"/>
      <c r="C183" s="3" t="n"/>
      <c r="D183" s="4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5">
        <f>IF(Q183&lt;&gt;"是","排除",IF(OR(L183="",M183=""),"",IF(OR(L183="未知",M183="未知"),"未知",IF(AND(L183="真",M183="真"),"TP",IF(AND(L183="真",M183="假"),"FP",IF(AND(L183="假",M183="真"),"FN","TN"))))))</f>
        <v/>
      </c>
      <c r="S183" s="3" t="n"/>
      <c r="T183" s="3" t="n"/>
      <c r="U183" s="3" t="n"/>
      <c r="V183" s="3" t="n"/>
    </row>
    <row r="184">
      <c r="A184" s="3" t="n"/>
      <c r="B184" s="3" t="n"/>
      <c r="C184" s="3" t="n"/>
      <c r="D184" s="4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5">
        <f>IF(Q184&lt;&gt;"是","排除",IF(OR(L184="",M184=""),"",IF(OR(L184="未知",M184="未知"),"未知",IF(AND(L184="真",M184="真"),"TP",IF(AND(L184="真",M184="假"),"FP",IF(AND(L184="假",M184="真"),"FN","TN"))))))</f>
        <v/>
      </c>
      <c r="S184" s="3" t="n"/>
      <c r="T184" s="3" t="n"/>
      <c r="U184" s="3" t="n"/>
      <c r="V184" s="3" t="n"/>
    </row>
    <row r="185">
      <c r="A185" s="3" t="n"/>
      <c r="B185" s="3" t="n"/>
      <c r="C185" s="3" t="n"/>
      <c r="D185" s="4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5">
        <f>IF(Q185&lt;&gt;"是","排除",IF(OR(L185="",M185=""),"",IF(OR(L185="未知",M185="未知"),"未知",IF(AND(L185="真",M185="真"),"TP",IF(AND(L185="真",M185="假"),"FP",IF(AND(L185="假",M185="真"),"FN","TN"))))))</f>
        <v/>
      </c>
      <c r="S185" s="3" t="n"/>
      <c r="T185" s="3" t="n"/>
      <c r="U185" s="3" t="n"/>
      <c r="V185" s="3" t="n"/>
    </row>
    <row r="186">
      <c r="A186" s="3" t="n"/>
      <c r="B186" s="3" t="n"/>
      <c r="C186" s="3" t="n"/>
      <c r="D186" s="4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5">
        <f>IF(Q186&lt;&gt;"是","排除",IF(OR(L186="",M186=""),"",IF(OR(L186="未知",M186="未知"),"未知",IF(AND(L186="真",M186="真"),"TP",IF(AND(L186="真",M186="假"),"FP",IF(AND(L186="假",M186="真"),"FN","TN"))))))</f>
        <v/>
      </c>
      <c r="S186" s="3" t="n"/>
      <c r="T186" s="3" t="n"/>
      <c r="U186" s="3" t="n"/>
      <c r="V186" s="3" t="n"/>
    </row>
    <row r="187">
      <c r="A187" s="3" t="n"/>
      <c r="B187" s="3" t="n"/>
      <c r="C187" s="3" t="n"/>
      <c r="D187" s="4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5">
        <f>IF(Q187&lt;&gt;"是","排除",IF(OR(L187="",M187=""),"",IF(OR(L187="未知",M187="未知"),"未知",IF(AND(L187="真",M187="真"),"TP",IF(AND(L187="真",M187="假"),"FP",IF(AND(L187="假",M187="真"),"FN","TN"))))))</f>
        <v/>
      </c>
      <c r="S187" s="3" t="n"/>
      <c r="T187" s="3" t="n"/>
      <c r="U187" s="3" t="n"/>
      <c r="V187" s="3" t="n"/>
    </row>
    <row r="188">
      <c r="A188" s="3" t="n"/>
      <c r="B188" s="3" t="n"/>
      <c r="C188" s="3" t="n"/>
      <c r="D188" s="4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5">
        <f>IF(Q188&lt;&gt;"是","排除",IF(OR(L188="",M188=""),"",IF(OR(L188="未知",M188="未知"),"未知",IF(AND(L188="真",M188="真"),"TP",IF(AND(L188="真",M188="假"),"FP",IF(AND(L188="假",M188="真"),"FN","TN"))))))</f>
        <v/>
      </c>
      <c r="S188" s="3" t="n"/>
      <c r="T188" s="3" t="n"/>
      <c r="U188" s="3" t="n"/>
      <c r="V188" s="3" t="n"/>
    </row>
    <row r="189">
      <c r="A189" s="3" t="n"/>
      <c r="B189" s="3" t="n"/>
      <c r="C189" s="3" t="n"/>
      <c r="D189" s="4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5">
        <f>IF(Q189&lt;&gt;"是","排除",IF(OR(L189="",M189=""),"",IF(OR(L189="未知",M189="未知"),"未知",IF(AND(L189="真",M189="真"),"TP",IF(AND(L189="真",M189="假"),"FP",IF(AND(L189="假",M189="真"),"FN","TN"))))))</f>
        <v/>
      </c>
      <c r="S189" s="3" t="n"/>
      <c r="T189" s="3" t="n"/>
      <c r="U189" s="3" t="n"/>
      <c r="V189" s="3" t="n"/>
    </row>
    <row r="190">
      <c r="A190" s="3" t="n"/>
      <c r="B190" s="3" t="n"/>
      <c r="C190" s="3" t="n"/>
      <c r="D190" s="4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5">
        <f>IF(Q190&lt;&gt;"是","排除",IF(OR(L190="",M190=""),"",IF(OR(L190="未知",M190="未知"),"未知",IF(AND(L190="真",M190="真"),"TP",IF(AND(L190="真",M190="假"),"FP",IF(AND(L190="假",M190="真"),"FN","TN"))))))</f>
        <v/>
      </c>
      <c r="S190" s="3" t="n"/>
      <c r="T190" s="3" t="n"/>
      <c r="U190" s="3" t="n"/>
      <c r="V190" s="3" t="n"/>
    </row>
    <row r="191">
      <c r="A191" s="3" t="n"/>
      <c r="B191" s="3" t="n"/>
      <c r="C191" s="3" t="n"/>
      <c r="D191" s="4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5">
        <f>IF(Q191&lt;&gt;"是","排除",IF(OR(L191="",M191=""),"",IF(OR(L191="未知",M191="未知"),"未知",IF(AND(L191="真",M191="真"),"TP",IF(AND(L191="真",M191="假"),"FP",IF(AND(L191="假",M191="真"),"FN","TN"))))))</f>
        <v/>
      </c>
      <c r="S191" s="3" t="n"/>
      <c r="T191" s="3" t="n"/>
      <c r="U191" s="3" t="n"/>
      <c r="V191" s="3" t="n"/>
    </row>
    <row r="192">
      <c r="A192" s="3" t="n"/>
      <c r="B192" s="3" t="n"/>
      <c r="C192" s="3" t="n"/>
      <c r="D192" s="4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5">
        <f>IF(Q192&lt;&gt;"是","排除",IF(OR(L192="",M192=""),"",IF(OR(L192="未知",M192="未知"),"未知",IF(AND(L192="真",M192="真"),"TP",IF(AND(L192="真",M192="假"),"FP",IF(AND(L192="假",M192="真"),"FN","TN"))))))</f>
        <v/>
      </c>
      <c r="S192" s="3" t="n"/>
      <c r="T192" s="3" t="n"/>
      <c r="U192" s="3" t="n"/>
      <c r="V192" s="3" t="n"/>
    </row>
    <row r="193">
      <c r="A193" s="3" t="n"/>
      <c r="B193" s="3" t="n"/>
      <c r="C193" s="3" t="n"/>
      <c r="D193" s="4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5">
        <f>IF(Q193&lt;&gt;"是","排除",IF(OR(L193="",M193=""),"",IF(OR(L193="未知",M193="未知"),"未知",IF(AND(L193="真",M193="真"),"TP",IF(AND(L193="真",M193="假"),"FP",IF(AND(L193="假",M193="真"),"FN","TN"))))))</f>
        <v/>
      </c>
      <c r="S193" s="3" t="n"/>
      <c r="T193" s="3" t="n"/>
      <c r="U193" s="3" t="n"/>
      <c r="V193" s="3" t="n"/>
    </row>
    <row r="194">
      <c r="A194" s="3" t="n"/>
      <c r="B194" s="3" t="n"/>
      <c r="C194" s="3" t="n"/>
      <c r="D194" s="4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5">
        <f>IF(Q194&lt;&gt;"是","排除",IF(OR(L194="",M194=""),"",IF(OR(L194="未知",M194="未知"),"未知",IF(AND(L194="真",M194="真"),"TP",IF(AND(L194="真",M194="假"),"FP",IF(AND(L194="假",M194="真"),"FN","TN"))))))</f>
        <v/>
      </c>
      <c r="S194" s="3" t="n"/>
      <c r="T194" s="3" t="n"/>
      <c r="U194" s="3" t="n"/>
      <c r="V194" s="3" t="n"/>
    </row>
    <row r="195">
      <c r="A195" s="3" t="n"/>
      <c r="B195" s="3" t="n"/>
      <c r="C195" s="3" t="n"/>
      <c r="D195" s="4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5">
        <f>IF(Q195&lt;&gt;"是","排除",IF(OR(L195="",M195=""),"",IF(OR(L195="未知",M195="未知"),"未知",IF(AND(L195="真",M195="真"),"TP",IF(AND(L195="真",M195="假"),"FP",IF(AND(L195="假",M195="真"),"FN","TN"))))))</f>
        <v/>
      </c>
      <c r="S195" s="3" t="n"/>
      <c r="T195" s="3" t="n"/>
      <c r="U195" s="3" t="n"/>
      <c r="V195" s="3" t="n"/>
    </row>
    <row r="196">
      <c r="A196" s="3" t="n"/>
      <c r="B196" s="3" t="n"/>
      <c r="C196" s="3" t="n"/>
      <c r="D196" s="4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5">
        <f>IF(Q196&lt;&gt;"是","排除",IF(OR(L196="",M196=""),"",IF(OR(L196="未知",M196="未知"),"未知",IF(AND(L196="真",M196="真"),"TP",IF(AND(L196="真",M196="假"),"FP",IF(AND(L196="假",M196="真"),"FN","TN"))))))</f>
        <v/>
      </c>
      <c r="S196" s="3" t="n"/>
      <c r="T196" s="3" t="n"/>
      <c r="U196" s="3" t="n"/>
      <c r="V196" s="3" t="n"/>
    </row>
    <row r="197">
      <c r="A197" s="3" t="n"/>
      <c r="B197" s="3" t="n"/>
      <c r="C197" s="3" t="n"/>
      <c r="D197" s="4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5">
        <f>IF(Q197&lt;&gt;"是","排除",IF(OR(L197="",M197=""),"",IF(OR(L197="未知",M197="未知"),"未知",IF(AND(L197="真",M197="真"),"TP",IF(AND(L197="真",M197="假"),"FP",IF(AND(L197="假",M197="真"),"FN","TN"))))))</f>
        <v/>
      </c>
      <c r="S197" s="3" t="n"/>
      <c r="T197" s="3" t="n"/>
      <c r="U197" s="3" t="n"/>
      <c r="V197" s="3" t="n"/>
    </row>
    <row r="198">
      <c r="A198" s="3" t="n"/>
      <c r="B198" s="3" t="n"/>
      <c r="C198" s="3" t="n"/>
      <c r="D198" s="4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5">
        <f>IF(Q198&lt;&gt;"是","排除",IF(OR(L198="",M198=""),"",IF(OR(L198="未知",M198="未知"),"未知",IF(AND(L198="真",M198="真"),"TP",IF(AND(L198="真",M198="假"),"FP",IF(AND(L198="假",M198="真"),"FN","TN"))))))</f>
        <v/>
      </c>
      <c r="S198" s="3" t="n"/>
      <c r="T198" s="3" t="n"/>
      <c r="U198" s="3" t="n"/>
      <c r="V198" s="3" t="n"/>
    </row>
    <row r="199">
      <c r="A199" s="3" t="n"/>
      <c r="B199" s="3" t="n"/>
      <c r="C199" s="3" t="n"/>
      <c r="D199" s="4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5">
        <f>IF(Q199&lt;&gt;"是","排除",IF(OR(L199="",M199=""),"",IF(OR(L199="未知",M199="未知"),"未知",IF(AND(L199="真",M199="真"),"TP",IF(AND(L199="真",M199="假"),"FP",IF(AND(L199="假",M199="真"),"FN","TN"))))))</f>
        <v/>
      </c>
      <c r="S199" s="3" t="n"/>
      <c r="T199" s="3" t="n"/>
      <c r="U199" s="3" t="n"/>
      <c r="V199" s="3" t="n"/>
    </row>
    <row r="200">
      <c r="A200" s="3" t="n"/>
      <c r="B200" s="3" t="n"/>
      <c r="C200" s="3" t="n"/>
      <c r="D200" s="4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5">
        <f>IF(Q200&lt;&gt;"是","排除",IF(OR(L200="",M200=""),"",IF(OR(L200="未知",M200="未知"),"未知",IF(AND(L200="真",M200="真"),"TP",IF(AND(L200="真",M200="假"),"FP",IF(AND(L200="假",M200="真"),"FN","TN"))))))</f>
        <v/>
      </c>
      <c r="S200" s="3" t="n"/>
      <c r="T200" s="3" t="n"/>
      <c r="U200" s="3" t="n"/>
      <c r="V200" s="3" t="n"/>
    </row>
    <row r="201">
      <c r="A201" s="3" t="n"/>
      <c r="B201" s="3" t="n"/>
      <c r="C201" s="3" t="n"/>
      <c r="D201" s="4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5">
        <f>IF(Q201&lt;&gt;"是","排除",IF(OR(L201="",M201=""),"",IF(OR(L201="未知",M201="未知"),"未知",IF(AND(L201="真",M201="真"),"TP",IF(AND(L201="真",M201="假"),"FP",IF(AND(L201="假",M201="真"),"FN","TN"))))))</f>
        <v/>
      </c>
      <c r="S201" s="3" t="n"/>
      <c r="T201" s="3" t="n"/>
      <c r="U201" s="3" t="n"/>
      <c r="V201" s="3" t="n"/>
    </row>
    <row r="202">
      <c r="A202" s="3" t="n"/>
      <c r="B202" s="3" t="n"/>
      <c r="C202" s="3" t="n"/>
      <c r="D202" s="4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5">
        <f>IF(Q202&lt;&gt;"是","排除",IF(OR(L202="",M202=""),"",IF(OR(L202="未知",M202="未知"),"未知",IF(AND(L202="真",M202="真"),"TP",IF(AND(L202="真",M202="假"),"FP",IF(AND(L202="假",M202="真"),"FN","TN"))))))</f>
        <v/>
      </c>
      <c r="S202" s="3" t="n"/>
      <c r="T202" s="3" t="n"/>
      <c r="U202" s="3" t="n"/>
      <c r="V202" s="3" t="n"/>
    </row>
    <row r="203">
      <c r="A203" s="3" t="n"/>
      <c r="B203" s="3" t="n"/>
      <c r="C203" s="3" t="n"/>
      <c r="D203" s="4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5">
        <f>IF(Q203&lt;&gt;"是","排除",IF(OR(L203="",M203=""),"",IF(OR(L203="未知",M203="未知"),"未知",IF(AND(L203="真",M203="真"),"TP",IF(AND(L203="真",M203="假"),"FP",IF(AND(L203="假",M203="真"),"FN","TN"))))))</f>
        <v/>
      </c>
      <c r="S203" s="3" t="n"/>
      <c r="T203" s="3" t="n"/>
      <c r="U203" s="3" t="n"/>
      <c r="V203" s="3" t="n"/>
    </row>
    <row r="204">
      <c r="A204" s="3" t="n"/>
      <c r="B204" s="3" t="n"/>
      <c r="C204" s="3" t="n"/>
      <c r="D204" s="4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5">
        <f>IF(Q204&lt;&gt;"是","排除",IF(OR(L204="",M204=""),"",IF(OR(L204="未知",M204="未知"),"未知",IF(AND(L204="真",M204="真"),"TP",IF(AND(L204="真",M204="假"),"FP",IF(AND(L204="假",M204="真"),"FN","TN"))))))</f>
        <v/>
      </c>
      <c r="S204" s="3" t="n"/>
      <c r="T204" s="3" t="n"/>
      <c r="U204" s="3" t="n"/>
      <c r="V204" s="3" t="n"/>
    </row>
    <row r="205">
      <c r="A205" s="3" t="n"/>
      <c r="B205" s="3" t="n"/>
      <c r="C205" s="3" t="n"/>
      <c r="D205" s="4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5">
        <f>IF(Q205&lt;&gt;"是","排除",IF(OR(L205="",M205=""),"",IF(OR(L205="未知",M205="未知"),"未知",IF(AND(L205="真",M205="真"),"TP",IF(AND(L205="真",M205="假"),"FP",IF(AND(L205="假",M205="真"),"FN","TN"))))))</f>
        <v/>
      </c>
      <c r="S205" s="3" t="n"/>
      <c r="T205" s="3" t="n"/>
      <c r="U205" s="3" t="n"/>
      <c r="V205" s="3" t="n"/>
    </row>
    <row r="206">
      <c r="A206" s="3" t="n"/>
      <c r="B206" s="3" t="n"/>
      <c r="C206" s="3" t="n"/>
      <c r="D206" s="4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5">
        <f>IF(Q206&lt;&gt;"是","排除",IF(OR(L206="",M206=""),"",IF(OR(L206="未知",M206="未知"),"未知",IF(AND(L206="真",M206="真"),"TP",IF(AND(L206="真",M206="假"),"FP",IF(AND(L206="假",M206="真"),"FN","TN"))))))</f>
        <v/>
      </c>
      <c r="S206" s="3" t="n"/>
      <c r="T206" s="3" t="n"/>
      <c r="U206" s="3" t="n"/>
      <c r="V206" s="3" t="n"/>
    </row>
    <row r="207">
      <c r="A207" s="3" t="n"/>
      <c r="B207" s="3" t="n"/>
      <c r="C207" s="3" t="n"/>
      <c r="D207" s="4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5">
        <f>IF(Q207&lt;&gt;"是","排除",IF(OR(L207="",M207=""),"",IF(OR(L207="未知",M207="未知"),"未知",IF(AND(L207="真",M207="真"),"TP",IF(AND(L207="真",M207="假"),"FP",IF(AND(L207="假",M207="真"),"FN","TN"))))))</f>
        <v/>
      </c>
      <c r="S207" s="3" t="n"/>
      <c r="T207" s="3" t="n"/>
      <c r="U207" s="3" t="n"/>
      <c r="V207" s="3" t="n"/>
    </row>
    <row r="208">
      <c r="A208" s="3" t="n"/>
      <c r="B208" s="3" t="n"/>
      <c r="C208" s="3" t="n"/>
      <c r="D208" s="4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5">
        <f>IF(Q208&lt;&gt;"是","排除",IF(OR(L208="",M208=""),"",IF(OR(L208="未知",M208="未知"),"未知",IF(AND(L208="真",M208="真"),"TP",IF(AND(L208="真",M208="假"),"FP",IF(AND(L208="假",M208="真"),"FN","TN"))))))</f>
        <v/>
      </c>
      <c r="S208" s="3" t="n"/>
      <c r="T208" s="3" t="n"/>
      <c r="U208" s="3" t="n"/>
      <c r="V208" s="3" t="n"/>
    </row>
    <row r="209">
      <c r="A209" s="3" t="n"/>
      <c r="B209" s="3" t="n"/>
      <c r="C209" s="3" t="n"/>
      <c r="D209" s="4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5">
        <f>IF(Q209&lt;&gt;"是","排除",IF(OR(L209="",M209=""),"",IF(OR(L209="未知",M209="未知"),"未知",IF(AND(L209="真",M209="真"),"TP",IF(AND(L209="真",M209="假"),"FP",IF(AND(L209="假",M209="真"),"FN","TN"))))))</f>
        <v/>
      </c>
      <c r="S209" s="3" t="n"/>
      <c r="T209" s="3" t="n"/>
      <c r="U209" s="3" t="n"/>
      <c r="V209" s="3" t="n"/>
    </row>
    <row r="210">
      <c r="A210" s="3" t="n"/>
      <c r="B210" s="3" t="n"/>
      <c r="C210" s="3" t="n"/>
      <c r="D210" s="4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5">
        <f>IF(Q210&lt;&gt;"是","排除",IF(OR(L210="",M210=""),"",IF(OR(L210="未知",M210="未知"),"未知",IF(AND(L210="真",M210="真"),"TP",IF(AND(L210="真",M210="假"),"FP",IF(AND(L210="假",M210="真"),"FN","TN"))))))</f>
        <v/>
      </c>
      <c r="S210" s="3" t="n"/>
      <c r="T210" s="3" t="n"/>
      <c r="U210" s="3" t="n"/>
      <c r="V210" s="3" t="n"/>
    </row>
    <row r="211">
      <c r="A211" s="3" t="n"/>
      <c r="B211" s="3" t="n"/>
      <c r="C211" s="3" t="n"/>
      <c r="D211" s="4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5">
        <f>IF(Q211&lt;&gt;"是","排除",IF(OR(L211="",M211=""),"",IF(OR(L211="未知",M211="未知"),"未知",IF(AND(L211="真",M211="真"),"TP",IF(AND(L211="真",M211="假"),"FP",IF(AND(L211="假",M211="真"),"FN","TN"))))))</f>
        <v/>
      </c>
      <c r="S211" s="3" t="n"/>
      <c r="T211" s="3" t="n"/>
      <c r="U211" s="3" t="n"/>
      <c r="V211" s="3" t="n"/>
    </row>
    <row r="212">
      <c r="A212" s="3" t="n"/>
      <c r="B212" s="3" t="n"/>
      <c r="C212" s="3" t="n"/>
      <c r="D212" s="4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5">
        <f>IF(Q212&lt;&gt;"是","排除",IF(OR(L212="",M212=""),"",IF(OR(L212="未知",M212="未知"),"未知",IF(AND(L212="真",M212="真"),"TP",IF(AND(L212="真",M212="假"),"FP",IF(AND(L212="假",M212="真"),"FN","TN"))))))</f>
        <v/>
      </c>
      <c r="S212" s="3" t="n"/>
      <c r="T212" s="3" t="n"/>
      <c r="U212" s="3" t="n"/>
      <c r="V212" s="3" t="n"/>
    </row>
    <row r="213">
      <c r="A213" s="3" t="n"/>
      <c r="B213" s="3" t="n"/>
      <c r="C213" s="3" t="n"/>
      <c r="D213" s="4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5">
        <f>IF(Q213&lt;&gt;"是","排除",IF(OR(L213="",M213=""),"",IF(OR(L213="未知",M213="未知"),"未知",IF(AND(L213="真",M213="真"),"TP",IF(AND(L213="真",M213="假"),"FP",IF(AND(L213="假",M213="真"),"FN","TN"))))))</f>
        <v/>
      </c>
      <c r="S213" s="3" t="n"/>
      <c r="T213" s="3" t="n"/>
      <c r="U213" s="3" t="n"/>
      <c r="V213" s="3" t="n"/>
    </row>
    <row r="214">
      <c r="A214" s="3" t="n"/>
      <c r="B214" s="3" t="n"/>
      <c r="C214" s="3" t="n"/>
      <c r="D214" s="4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5">
        <f>IF(Q214&lt;&gt;"是","排除",IF(OR(L214="",M214=""),"",IF(OR(L214="未知",M214="未知"),"未知",IF(AND(L214="真",M214="真"),"TP",IF(AND(L214="真",M214="假"),"FP",IF(AND(L214="假",M214="真"),"FN","TN"))))))</f>
        <v/>
      </c>
      <c r="S214" s="3" t="n"/>
      <c r="T214" s="3" t="n"/>
      <c r="U214" s="3" t="n"/>
      <c r="V214" s="3" t="n"/>
    </row>
    <row r="215">
      <c r="A215" s="3" t="n"/>
      <c r="B215" s="3" t="n"/>
      <c r="C215" s="3" t="n"/>
      <c r="D215" s="4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5">
        <f>IF(Q215&lt;&gt;"是","排除",IF(OR(L215="",M215=""),"",IF(OR(L215="未知",M215="未知"),"未知",IF(AND(L215="真",M215="真"),"TP",IF(AND(L215="真",M215="假"),"FP",IF(AND(L215="假",M215="真"),"FN","TN"))))))</f>
        <v/>
      </c>
      <c r="S215" s="3" t="n"/>
      <c r="T215" s="3" t="n"/>
      <c r="U215" s="3" t="n"/>
      <c r="V215" s="3" t="n"/>
    </row>
    <row r="216">
      <c r="A216" s="3" t="n"/>
      <c r="B216" s="3" t="n"/>
      <c r="C216" s="3" t="n"/>
      <c r="D216" s="4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5">
        <f>IF(Q216&lt;&gt;"是","排除",IF(OR(L216="",M216=""),"",IF(OR(L216="未知",M216="未知"),"未知",IF(AND(L216="真",M216="真"),"TP",IF(AND(L216="真",M216="假"),"FP",IF(AND(L216="假",M216="真"),"FN","TN"))))))</f>
        <v/>
      </c>
      <c r="S216" s="3" t="n"/>
      <c r="T216" s="3" t="n"/>
      <c r="U216" s="3" t="n"/>
      <c r="V216" s="3" t="n"/>
    </row>
    <row r="217">
      <c r="A217" s="3" t="n"/>
      <c r="B217" s="3" t="n"/>
      <c r="C217" s="3" t="n"/>
      <c r="D217" s="4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5">
        <f>IF(Q217&lt;&gt;"是","排除",IF(OR(L217="",M217=""),"",IF(OR(L217="未知",M217="未知"),"未知",IF(AND(L217="真",M217="真"),"TP",IF(AND(L217="真",M217="假"),"FP",IF(AND(L217="假",M217="真"),"FN","TN"))))))</f>
        <v/>
      </c>
      <c r="S217" s="3" t="n"/>
      <c r="T217" s="3" t="n"/>
      <c r="U217" s="3" t="n"/>
      <c r="V217" s="3" t="n"/>
    </row>
    <row r="218">
      <c r="A218" s="3" t="n"/>
      <c r="B218" s="3" t="n"/>
      <c r="C218" s="3" t="n"/>
      <c r="D218" s="4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5">
        <f>IF(Q218&lt;&gt;"是","排除",IF(OR(L218="",M218=""),"",IF(OR(L218="未知",M218="未知"),"未知",IF(AND(L218="真",M218="真"),"TP",IF(AND(L218="真",M218="假"),"FP",IF(AND(L218="假",M218="真"),"FN","TN"))))))</f>
        <v/>
      </c>
      <c r="S218" s="3" t="n"/>
      <c r="T218" s="3" t="n"/>
      <c r="U218" s="3" t="n"/>
      <c r="V218" s="3" t="n"/>
    </row>
    <row r="219">
      <c r="A219" s="3" t="n"/>
      <c r="B219" s="3" t="n"/>
      <c r="C219" s="3" t="n"/>
      <c r="D219" s="4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5">
        <f>IF(Q219&lt;&gt;"是","排除",IF(OR(L219="",M219=""),"",IF(OR(L219="未知",M219="未知"),"未知",IF(AND(L219="真",M219="真"),"TP",IF(AND(L219="真",M219="假"),"FP",IF(AND(L219="假",M219="真"),"FN","TN"))))))</f>
        <v/>
      </c>
      <c r="S219" s="3" t="n"/>
      <c r="T219" s="3" t="n"/>
      <c r="U219" s="3" t="n"/>
      <c r="V219" s="3" t="n"/>
    </row>
    <row r="220">
      <c r="A220" s="3" t="n"/>
      <c r="B220" s="3" t="n"/>
      <c r="C220" s="3" t="n"/>
      <c r="D220" s="4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5">
        <f>IF(Q220&lt;&gt;"是","排除",IF(OR(L220="",M220=""),"",IF(OR(L220="未知",M220="未知"),"未知",IF(AND(L220="真",M220="真"),"TP",IF(AND(L220="真",M220="假"),"FP",IF(AND(L220="假",M220="真"),"FN","TN"))))))</f>
        <v/>
      </c>
      <c r="S220" s="3" t="n"/>
      <c r="T220" s="3" t="n"/>
      <c r="U220" s="3" t="n"/>
      <c r="V220" s="3" t="n"/>
    </row>
    <row r="221">
      <c r="A221" s="3" t="n"/>
      <c r="B221" s="3" t="n"/>
      <c r="C221" s="3" t="n"/>
      <c r="D221" s="4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5">
        <f>IF(Q221&lt;&gt;"是","排除",IF(OR(L221="",M221=""),"",IF(OR(L221="未知",M221="未知"),"未知",IF(AND(L221="真",M221="真"),"TP",IF(AND(L221="真",M221="假"),"FP",IF(AND(L221="假",M221="真"),"FN","TN"))))))</f>
        <v/>
      </c>
      <c r="S221" s="3" t="n"/>
      <c r="T221" s="3" t="n"/>
      <c r="U221" s="3" t="n"/>
      <c r="V221" s="3" t="n"/>
    </row>
    <row r="222">
      <c r="A222" s="3" t="n"/>
      <c r="B222" s="3" t="n"/>
      <c r="C222" s="3" t="n"/>
      <c r="D222" s="4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5">
        <f>IF(Q222&lt;&gt;"是","排除",IF(OR(L222="",M222=""),"",IF(OR(L222="未知",M222="未知"),"未知",IF(AND(L222="真",M222="真"),"TP",IF(AND(L222="真",M222="假"),"FP",IF(AND(L222="假",M222="真"),"FN","TN"))))))</f>
        <v/>
      </c>
      <c r="S222" s="3" t="n"/>
      <c r="T222" s="3" t="n"/>
      <c r="U222" s="3" t="n"/>
      <c r="V222" s="3" t="n"/>
    </row>
    <row r="223">
      <c r="A223" s="3" t="n"/>
      <c r="B223" s="3" t="n"/>
      <c r="C223" s="3" t="n"/>
      <c r="D223" s="4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5">
        <f>IF(Q223&lt;&gt;"是","排除",IF(OR(L223="",M223=""),"",IF(OR(L223="未知",M223="未知"),"未知",IF(AND(L223="真",M223="真"),"TP",IF(AND(L223="真",M223="假"),"FP",IF(AND(L223="假",M223="真"),"FN","TN"))))))</f>
        <v/>
      </c>
      <c r="S223" s="3" t="n"/>
      <c r="T223" s="3" t="n"/>
      <c r="U223" s="3" t="n"/>
      <c r="V223" s="3" t="n"/>
    </row>
    <row r="224">
      <c r="A224" s="3" t="n"/>
      <c r="B224" s="3" t="n"/>
      <c r="C224" s="3" t="n"/>
      <c r="D224" s="4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5">
        <f>IF(Q224&lt;&gt;"是","排除",IF(OR(L224="",M224=""),"",IF(OR(L224="未知",M224="未知"),"未知",IF(AND(L224="真",M224="真"),"TP",IF(AND(L224="真",M224="假"),"FP",IF(AND(L224="假",M224="真"),"FN","TN"))))))</f>
        <v/>
      </c>
      <c r="S224" s="3" t="n"/>
      <c r="T224" s="3" t="n"/>
      <c r="U224" s="3" t="n"/>
      <c r="V224" s="3" t="n"/>
    </row>
    <row r="225">
      <c r="A225" s="3" t="n"/>
      <c r="B225" s="3" t="n"/>
      <c r="C225" s="3" t="n"/>
      <c r="D225" s="4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5">
        <f>IF(Q225&lt;&gt;"是","排除",IF(OR(L225="",M225=""),"",IF(OR(L225="未知",M225="未知"),"未知",IF(AND(L225="真",M225="真"),"TP",IF(AND(L225="真",M225="假"),"FP",IF(AND(L225="假",M225="真"),"FN","TN"))))))</f>
        <v/>
      </c>
      <c r="S225" s="3" t="n"/>
      <c r="T225" s="3" t="n"/>
      <c r="U225" s="3" t="n"/>
      <c r="V225" s="3" t="n"/>
    </row>
    <row r="226">
      <c r="A226" s="3" t="n"/>
      <c r="B226" s="3" t="n"/>
      <c r="C226" s="3" t="n"/>
      <c r="D226" s="4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5">
        <f>IF(Q226&lt;&gt;"是","排除",IF(OR(L226="",M226=""),"",IF(OR(L226="未知",M226="未知"),"未知",IF(AND(L226="真",M226="真"),"TP",IF(AND(L226="真",M226="假"),"FP",IF(AND(L226="假",M226="真"),"FN","TN"))))))</f>
        <v/>
      </c>
      <c r="S226" s="3" t="n"/>
      <c r="T226" s="3" t="n"/>
      <c r="U226" s="3" t="n"/>
      <c r="V226" s="3" t="n"/>
    </row>
    <row r="227">
      <c r="A227" s="3" t="n"/>
      <c r="B227" s="3" t="n"/>
      <c r="C227" s="3" t="n"/>
      <c r="D227" s="4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5">
        <f>IF(Q227&lt;&gt;"是","排除",IF(OR(L227="",M227=""),"",IF(OR(L227="未知",M227="未知"),"未知",IF(AND(L227="真",M227="真"),"TP",IF(AND(L227="真",M227="假"),"FP",IF(AND(L227="假",M227="真"),"FN","TN"))))))</f>
        <v/>
      </c>
      <c r="S227" s="3" t="n"/>
      <c r="T227" s="3" t="n"/>
      <c r="U227" s="3" t="n"/>
      <c r="V227" s="3" t="n"/>
    </row>
    <row r="228">
      <c r="A228" s="3" t="n"/>
      <c r="B228" s="3" t="n"/>
      <c r="C228" s="3" t="n"/>
      <c r="D228" s="4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5">
        <f>IF(Q228&lt;&gt;"是","排除",IF(OR(L228="",M228=""),"",IF(OR(L228="未知",M228="未知"),"未知",IF(AND(L228="真",M228="真"),"TP",IF(AND(L228="真",M228="假"),"FP",IF(AND(L228="假",M228="真"),"FN","TN"))))))</f>
        <v/>
      </c>
      <c r="S228" s="3" t="n"/>
      <c r="T228" s="3" t="n"/>
      <c r="U228" s="3" t="n"/>
      <c r="V228" s="3" t="n"/>
    </row>
    <row r="229">
      <c r="A229" s="3" t="n"/>
      <c r="B229" s="3" t="n"/>
      <c r="C229" s="3" t="n"/>
      <c r="D229" s="4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5">
        <f>IF(Q229&lt;&gt;"是","排除",IF(OR(L229="",M229=""),"",IF(OR(L229="未知",M229="未知"),"未知",IF(AND(L229="真",M229="真"),"TP",IF(AND(L229="真",M229="假"),"FP",IF(AND(L229="假",M229="真"),"FN","TN"))))))</f>
        <v/>
      </c>
      <c r="S229" s="3" t="n"/>
      <c r="T229" s="3" t="n"/>
      <c r="U229" s="3" t="n"/>
      <c r="V229" s="3" t="n"/>
    </row>
    <row r="230">
      <c r="A230" s="3" t="n"/>
      <c r="B230" s="3" t="n"/>
      <c r="C230" s="3" t="n"/>
      <c r="D230" s="4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5">
        <f>IF(Q230&lt;&gt;"是","排除",IF(OR(L230="",M230=""),"",IF(OR(L230="未知",M230="未知"),"未知",IF(AND(L230="真",M230="真"),"TP",IF(AND(L230="真",M230="假"),"FP",IF(AND(L230="假",M230="真"),"FN","TN"))))))</f>
        <v/>
      </c>
      <c r="S230" s="3" t="n"/>
      <c r="T230" s="3" t="n"/>
      <c r="U230" s="3" t="n"/>
      <c r="V230" s="3" t="n"/>
    </row>
    <row r="231">
      <c r="A231" s="3" t="n"/>
      <c r="B231" s="3" t="n"/>
      <c r="C231" s="3" t="n"/>
      <c r="D231" s="4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5">
        <f>IF(Q231&lt;&gt;"是","排除",IF(OR(L231="",M231=""),"",IF(OR(L231="未知",M231="未知"),"未知",IF(AND(L231="真",M231="真"),"TP",IF(AND(L231="真",M231="假"),"FP",IF(AND(L231="假",M231="真"),"FN","TN"))))))</f>
        <v/>
      </c>
      <c r="S231" s="3" t="n"/>
      <c r="T231" s="3" t="n"/>
      <c r="U231" s="3" t="n"/>
      <c r="V231" s="3" t="n"/>
    </row>
    <row r="232">
      <c r="A232" s="3" t="n"/>
      <c r="B232" s="3" t="n"/>
      <c r="C232" s="3" t="n"/>
      <c r="D232" s="4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5">
        <f>IF(Q232&lt;&gt;"是","排除",IF(OR(L232="",M232=""),"",IF(OR(L232="未知",M232="未知"),"未知",IF(AND(L232="真",M232="真"),"TP",IF(AND(L232="真",M232="假"),"FP",IF(AND(L232="假",M232="真"),"FN","TN"))))))</f>
        <v/>
      </c>
      <c r="S232" s="3" t="n"/>
      <c r="T232" s="3" t="n"/>
      <c r="U232" s="3" t="n"/>
      <c r="V232" s="3" t="n"/>
    </row>
    <row r="233">
      <c r="A233" s="3" t="n"/>
      <c r="B233" s="3" t="n"/>
      <c r="C233" s="3" t="n"/>
      <c r="D233" s="4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5">
        <f>IF(Q233&lt;&gt;"是","排除",IF(OR(L233="",M233=""),"",IF(OR(L233="未知",M233="未知"),"未知",IF(AND(L233="真",M233="真"),"TP",IF(AND(L233="真",M233="假"),"FP",IF(AND(L233="假",M233="真"),"FN","TN"))))))</f>
        <v/>
      </c>
      <c r="S233" s="3" t="n"/>
      <c r="T233" s="3" t="n"/>
      <c r="U233" s="3" t="n"/>
      <c r="V233" s="3" t="n"/>
    </row>
    <row r="234">
      <c r="A234" s="3" t="n"/>
      <c r="B234" s="3" t="n"/>
      <c r="C234" s="3" t="n"/>
      <c r="D234" s="4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5">
        <f>IF(Q234&lt;&gt;"是","排除",IF(OR(L234="",M234=""),"",IF(OR(L234="未知",M234="未知"),"未知",IF(AND(L234="真",M234="真"),"TP",IF(AND(L234="真",M234="假"),"FP",IF(AND(L234="假",M234="真"),"FN","TN"))))))</f>
        <v/>
      </c>
      <c r="S234" s="3" t="n"/>
      <c r="T234" s="3" t="n"/>
      <c r="U234" s="3" t="n"/>
      <c r="V234" s="3" t="n"/>
    </row>
    <row r="235">
      <c r="A235" s="3" t="n"/>
      <c r="B235" s="3" t="n"/>
      <c r="C235" s="3" t="n"/>
      <c r="D235" s="4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5">
        <f>IF(Q235&lt;&gt;"是","排除",IF(OR(L235="",M235=""),"",IF(OR(L235="未知",M235="未知"),"未知",IF(AND(L235="真",M235="真"),"TP",IF(AND(L235="真",M235="假"),"FP",IF(AND(L235="假",M235="真"),"FN","TN"))))))</f>
        <v/>
      </c>
      <c r="S235" s="3" t="n"/>
      <c r="T235" s="3" t="n"/>
      <c r="U235" s="3" t="n"/>
      <c r="V235" s="3" t="n"/>
    </row>
    <row r="236">
      <c r="A236" s="3" t="n"/>
      <c r="B236" s="3" t="n"/>
      <c r="C236" s="3" t="n"/>
      <c r="D236" s="4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5">
        <f>IF(Q236&lt;&gt;"是","排除",IF(OR(L236="",M236=""),"",IF(OR(L236="未知",M236="未知"),"未知",IF(AND(L236="真",M236="真"),"TP",IF(AND(L236="真",M236="假"),"FP",IF(AND(L236="假",M236="真"),"FN","TN"))))))</f>
        <v/>
      </c>
      <c r="S236" s="3" t="n"/>
      <c r="T236" s="3" t="n"/>
      <c r="U236" s="3" t="n"/>
      <c r="V236" s="3" t="n"/>
    </row>
    <row r="237">
      <c r="A237" s="3" t="n"/>
      <c r="B237" s="3" t="n"/>
      <c r="C237" s="3" t="n"/>
      <c r="D237" s="4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5">
        <f>IF(Q237&lt;&gt;"是","排除",IF(OR(L237="",M237=""),"",IF(OR(L237="未知",M237="未知"),"未知",IF(AND(L237="真",M237="真"),"TP",IF(AND(L237="真",M237="假"),"FP",IF(AND(L237="假",M237="真"),"FN","TN"))))))</f>
        <v/>
      </c>
      <c r="S237" s="3" t="n"/>
      <c r="T237" s="3" t="n"/>
      <c r="U237" s="3" t="n"/>
      <c r="V237" s="3" t="n"/>
    </row>
    <row r="238">
      <c r="A238" s="3" t="n"/>
      <c r="B238" s="3" t="n"/>
      <c r="C238" s="3" t="n"/>
      <c r="D238" s="4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5">
        <f>IF(Q238&lt;&gt;"是","排除",IF(OR(L238="",M238=""),"",IF(OR(L238="未知",M238="未知"),"未知",IF(AND(L238="真",M238="真"),"TP",IF(AND(L238="真",M238="假"),"FP",IF(AND(L238="假",M238="真"),"FN","TN"))))))</f>
        <v/>
      </c>
      <c r="S238" s="3" t="n"/>
      <c r="T238" s="3" t="n"/>
      <c r="U238" s="3" t="n"/>
      <c r="V238" s="3" t="n"/>
    </row>
    <row r="239">
      <c r="A239" s="3" t="n"/>
      <c r="B239" s="3" t="n"/>
      <c r="C239" s="3" t="n"/>
      <c r="D239" s="4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5">
        <f>IF(Q239&lt;&gt;"是","排除",IF(OR(L239="",M239=""),"",IF(OR(L239="未知",M239="未知"),"未知",IF(AND(L239="真",M239="真"),"TP",IF(AND(L239="真",M239="假"),"FP",IF(AND(L239="假",M239="真"),"FN","TN"))))))</f>
        <v/>
      </c>
      <c r="S239" s="3" t="n"/>
      <c r="T239" s="3" t="n"/>
      <c r="U239" s="3" t="n"/>
      <c r="V239" s="3" t="n"/>
    </row>
    <row r="240">
      <c r="A240" s="3" t="n"/>
      <c r="B240" s="3" t="n"/>
      <c r="C240" s="3" t="n"/>
      <c r="D240" s="4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5">
        <f>IF(Q240&lt;&gt;"是","排除",IF(OR(L240="",M240=""),"",IF(OR(L240="未知",M240="未知"),"未知",IF(AND(L240="真",M240="真"),"TP",IF(AND(L240="真",M240="假"),"FP",IF(AND(L240="假",M240="真"),"FN","TN"))))))</f>
        <v/>
      </c>
      <c r="S240" s="3" t="n"/>
      <c r="T240" s="3" t="n"/>
      <c r="U240" s="3" t="n"/>
      <c r="V240" s="3" t="n"/>
    </row>
    <row r="241">
      <c r="A241" s="3" t="n"/>
      <c r="B241" s="3" t="n"/>
      <c r="C241" s="3" t="n"/>
      <c r="D241" s="4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5">
        <f>IF(Q241&lt;&gt;"是","排除",IF(OR(L241="",M241=""),"",IF(OR(L241="未知",M241="未知"),"未知",IF(AND(L241="真",M241="真"),"TP",IF(AND(L241="真",M241="假"),"FP",IF(AND(L241="假",M241="真"),"FN","TN"))))))</f>
        <v/>
      </c>
      <c r="S241" s="3" t="n"/>
      <c r="T241" s="3" t="n"/>
      <c r="U241" s="3" t="n"/>
      <c r="V241" s="3" t="n"/>
    </row>
    <row r="242">
      <c r="A242" s="3" t="n"/>
      <c r="B242" s="3" t="n"/>
      <c r="C242" s="3" t="n"/>
      <c r="D242" s="4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5">
        <f>IF(Q242&lt;&gt;"是","排除",IF(OR(L242="",M242=""),"",IF(OR(L242="未知",M242="未知"),"未知",IF(AND(L242="真",M242="真"),"TP",IF(AND(L242="真",M242="假"),"FP",IF(AND(L242="假",M242="真"),"FN","TN"))))))</f>
        <v/>
      </c>
      <c r="S242" s="3" t="n"/>
      <c r="T242" s="3" t="n"/>
      <c r="U242" s="3" t="n"/>
      <c r="V242" s="3" t="n"/>
    </row>
    <row r="243">
      <c r="A243" s="3" t="n"/>
      <c r="B243" s="3" t="n"/>
      <c r="C243" s="3" t="n"/>
      <c r="D243" s="4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5">
        <f>IF(Q243&lt;&gt;"是","排除",IF(OR(L243="",M243=""),"",IF(OR(L243="未知",M243="未知"),"未知",IF(AND(L243="真",M243="真"),"TP",IF(AND(L243="真",M243="假"),"FP",IF(AND(L243="假",M243="真"),"FN","TN"))))))</f>
        <v/>
      </c>
      <c r="S243" s="3" t="n"/>
      <c r="T243" s="3" t="n"/>
      <c r="U243" s="3" t="n"/>
      <c r="V243" s="3" t="n"/>
    </row>
    <row r="244">
      <c r="A244" s="3" t="n"/>
      <c r="B244" s="3" t="n"/>
      <c r="C244" s="3" t="n"/>
      <c r="D244" s="4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5">
        <f>IF(Q244&lt;&gt;"是","排除",IF(OR(L244="",M244=""),"",IF(OR(L244="未知",M244="未知"),"未知",IF(AND(L244="真",M244="真"),"TP",IF(AND(L244="真",M244="假"),"FP",IF(AND(L244="假",M244="真"),"FN","TN"))))))</f>
        <v/>
      </c>
      <c r="S244" s="3" t="n"/>
      <c r="T244" s="3" t="n"/>
      <c r="U244" s="3" t="n"/>
      <c r="V244" s="3" t="n"/>
    </row>
    <row r="245">
      <c r="A245" s="3" t="n"/>
      <c r="B245" s="3" t="n"/>
      <c r="C245" s="3" t="n"/>
      <c r="D245" s="4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5">
        <f>IF(Q245&lt;&gt;"是","排除",IF(OR(L245="",M245=""),"",IF(OR(L245="未知",M245="未知"),"未知",IF(AND(L245="真",M245="真"),"TP",IF(AND(L245="真",M245="假"),"FP",IF(AND(L245="假",M245="真"),"FN","TN"))))))</f>
        <v/>
      </c>
      <c r="S245" s="3" t="n"/>
      <c r="T245" s="3" t="n"/>
      <c r="U245" s="3" t="n"/>
      <c r="V245" s="3" t="n"/>
    </row>
    <row r="246">
      <c r="A246" s="3" t="n"/>
      <c r="B246" s="3" t="n"/>
      <c r="C246" s="3" t="n"/>
      <c r="D246" s="4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5">
        <f>IF(Q246&lt;&gt;"是","排除",IF(OR(L246="",M246=""),"",IF(OR(L246="未知",M246="未知"),"未知",IF(AND(L246="真",M246="真"),"TP",IF(AND(L246="真",M246="假"),"FP",IF(AND(L246="假",M246="真"),"FN","TN"))))))</f>
        <v/>
      </c>
      <c r="S246" s="3" t="n"/>
      <c r="T246" s="3" t="n"/>
      <c r="U246" s="3" t="n"/>
      <c r="V246" s="3" t="n"/>
    </row>
    <row r="247">
      <c r="A247" s="3" t="n"/>
      <c r="B247" s="3" t="n"/>
      <c r="C247" s="3" t="n"/>
      <c r="D247" s="4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5">
        <f>IF(Q247&lt;&gt;"是","排除",IF(OR(L247="",M247=""),"",IF(OR(L247="未知",M247="未知"),"未知",IF(AND(L247="真",M247="真"),"TP",IF(AND(L247="真",M247="假"),"FP",IF(AND(L247="假",M247="真"),"FN","TN"))))))</f>
        <v/>
      </c>
      <c r="S247" s="3" t="n"/>
      <c r="T247" s="3" t="n"/>
      <c r="U247" s="3" t="n"/>
      <c r="V247" s="3" t="n"/>
    </row>
    <row r="248">
      <c r="A248" s="3" t="n"/>
      <c r="B248" s="3" t="n"/>
      <c r="C248" s="3" t="n"/>
      <c r="D248" s="4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5">
        <f>IF(Q248&lt;&gt;"是","排除",IF(OR(L248="",M248=""),"",IF(OR(L248="未知",M248="未知"),"未知",IF(AND(L248="真",M248="真"),"TP",IF(AND(L248="真",M248="假"),"FP",IF(AND(L248="假",M248="真"),"FN","TN"))))))</f>
        <v/>
      </c>
      <c r="S248" s="3" t="n"/>
      <c r="T248" s="3" t="n"/>
      <c r="U248" s="3" t="n"/>
      <c r="V248" s="3" t="n"/>
    </row>
    <row r="249">
      <c r="A249" s="3" t="n"/>
      <c r="B249" s="3" t="n"/>
      <c r="C249" s="3" t="n"/>
      <c r="D249" s="4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5">
        <f>IF(Q249&lt;&gt;"是","排除",IF(OR(L249="",M249=""),"",IF(OR(L249="未知",M249="未知"),"未知",IF(AND(L249="真",M249="真"),"TP",IF(AND(L249="真",M249="假"),"FP",IF(AND(L249="假",M249="真"),"FN","TN"))))))</f>
        <v/>
      </c>
      <c r="S249" s="3" t="n"/>
      <c r="T249" s="3" t="n"/>
      <c r="U249" s="3" t="n"/>
      <c r="V249" s="3" t="n"/>
    </row>
    <row r="250">
      <c r="A250" s="3" t="n"/>
      <c r="B250" s="3" t="n"/>
      <c r="C250" s="3" t="n"/>
      <c r="D250" s="4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5">
        <f>IF(Q250&lt;&gt;"是","排除",IF(OR(L250="",M250=""),"",IF(OR(L250="未知",M250="未知"),"未知",IF(AND(L250="真",M250="真"),"TP",IF(AND(L250="真",M250="假"),"FP",IF(AND(L250="假",M250="真"),"FN","TN"))))))</f>
        <v/>
      </c>
      <c r="S250" s="3" t="n"/>
      <c r="T250" s="3" t="n"/>
      <c r="U250" s="3" t="n"/>
      <c r="V250" s="3" t="n"/>
    </row>
    <row r="251">
      <c r="A251" s="3" t="n"/>
      <c r="B251" s="3" t="n"/>
      <c r="C251" s="3" t="n"/>
      <c r="D251" s="4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5">
        <f>IF(Q251&lt;&gt;"是","排除",IF(OR(L251="",M251=""),"",IF(OR(L251="未知",M251="未知"),"未知",IF(AND(L251="真",M251="真"),"TP",IF(AND(L251="真",M251="假"),"FP",IF(AND(L251="假",M251="真"),"FN","TN"))))))</f>
        <v/>
      </c>
      <c r="S251" s="3" t="n"/>
      <c r="T251" s="3" t="n"/>
      <c r="U251" s="3" t="n"/>
      <c r="V251" s="3" t="n"/>
    </row>
    <row r="252">
      <c r="A252" s="3" t="n"/>
      <c r="B252" s="3" t="n"/>
      <c r="C252" s="3" t="n"/>
      <c r="D252" s="4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5">
        <f>IF(Q252&lt;&gt;"是","排除",IF(OR(L252="",M252=""),"",IF(OR(L252="未知",M252="未知"),"未知",IF(AND(L252="真",M252="真"),"TP",IF(AND(L252="真",M252="假"),"FP",IF(AND(L252="假",M252="真"),"FN","TN"))))))</f>
        <v/>
      </c>
      <c r="S252" s="3" t="n"/>
      <c r="T252" s="3" t="n"/>
      <c r="U252" s="3" t="n"/>
      <c r="V252" s="3" t="n"/>
    </row>
    <row r="253">
      <c r="A253" s="3" t="n"/>
      <c r="B253" s="3" t="n"/>
      <c r="C253" s="3" t="n"/>
      <c r="D253" s="4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5">
        <f>IF(Q253&lt;&gt;"是","排除",IF(OR(L253="",M253=""),"",IF(OR(L253="未知",M253="未知"),"未知",IF(AND(L253="真",M253="真"),"TP",IF(AND(L253="真",M253="假"),"FP",IF(AND(L253="假",M253="真"),"FN","TN"))))))</f>
        <v/>
      </c>
      <c r="S253" s="3" t="n"/>
      <c r="T253" s="3" t="n"/>
      <c r="U253" s="3" t="n"/>
      <c r="V253" s="3" t="n"/>
    </row>
    <row r="254">
      <c r="A254" s="3" t="n"/>
      <c r="B254" s="3" t="n"/>
      <c r="C254" s="3" t="n"/>
      <c r="D254" s="4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5">
        <f>IF(Q254&lt;&gt;"是","排除",IF(OR(L254="",M254=""),"",IF(OR(L254="未知",M254="未知"),"未知",IF(AND(L254="真",M254="真"),"TP",IF(AND(L254="真",M254="假"),"FP",IF(AND(L254="假",M254="真"),"FN","TN"))))))</f>
        <v/>
      </c>
      <c r="S254" s="3" t="n"/>
      <c r="T254" s="3" t="n"/>
      <c r="U254" s="3" t="n"/>
      <c r="V254" s="3" t="n"/>
    </row>
    <row r="255">
      <c r="A255" s="3" t="n"/>
      <c r="B255" s="3" t="n"/>
      <c r="C255" s="3" t="n"/>
      <c r="D255" s="4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5">
        <f>IF(Q255&lt;&gt;"是","排除",IF(OR(L255="",M255=""),"",IF(OR(L255="未知",M255="未知"),"未知",IF(AND(L255="真",M255="真"),"TP",IF(AND(L255="真",M255="假"),"FP",IF(AND(L255="假",M255="真"),"FN","TN"))))))</f>
        <v/>
      </c>
      <c r="S255" s="3" t="n"/>
      <c r="T255" s="3" t="n"/>
      <c r="U255" s="3" t="n"/>
      <c r="V255" s="3" t="n"/>
    </row>
    <row r="256">
      <c r="A256" s="3" t="n"/>
      <c r="B256" s="3" t="n"/>
      <c r="C256" s="3" t="n"/>
      <c r="D256" s="4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5">
        <f>IF(Q256&lt;&gt;"是","排除",IF(OR(L256="",M256=""),"",IF(OR(L256="未知",M256="未知"),"未知",IF(AND(L256="真",M256="真"),"TP",IF(AND(L256="真",M256="假"),"FP",IF(AND(L256="假",M256="真"),"FN","TN"))))))</f>
        <v/>
      </c>
      <c r="S256" s="3" t="n"/>
      <c r="T256" s="3" t="n"/>
      <c r="U256" s="3" t="n"/>
      <c r="V256" s="3" t="n"/>
    </row>
    <row r="257">
      <c r="A257" s="3" t="n"/>
      <c r="B257" s="3" t="n"/>
      <c r="C257" s="3" t="n"/>
      <c r="D257" s="4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5">
        <f>IF(Q257&lt;&gt;"是","排除",IF(OR(L257="",M257=""),"",IF(OR(L257="未知",M257="未知"),"未知",IF(AND(L257="真",M257="真"),"TP",IF(AND(L257="真",M257="假"),"FP",IF(AND(L257="假",M257="真"),"FN","TN"))))))</f>
        <v/>
      </c>
      <c r="S257" s="3" t="n"/>
      <c r="T257" s="3" t="n"/>
      <c r="U257" s="3" t="n"/>
      <c r="V257" s="3" t="n"/>
    </row>
    <row r="258">
      <c r="A258" s="3" t="n"/>
      <c r="B258" s="3" t="n"/>
      <c r="C258" s="3" t="n"/>
      <c r="D258" s="4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5">
        <f>IF(Q258&lt;&gt;"是","排除",IF(OR(L258="",M258=""),"",IF(OR(L258="未知",M258="未知"),"未知",IF(AND(L258="真",M258="真"),"TP",IF(AND(L258="真",M258="假"),"FP",IF(AND(L258="假",M258="真"),"FN","TN"))))))</f>
        <v/>
      </c>
      <c r="S258" s="3" t="n"/>
      <c r="T258" s="3" t="n"/>
      <c r="U258" s="3" t="n"/>
      <c r="V258" s="3" t="n"/>
    </row>
    <row r="259">
      <c r="A259" s="3" t="n"/>
      <c r="B259" s="3" t="n"/>
      <c r="C259" s="3" t="n"/>
      <c r="D259" s="4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5">
        <f>IF(Q259&lt;&gt;"是","排除",IF(OR(L259="",M259=""),"",IF(OR(L259="未知",M259="未知"),"未知",IF(AND(L259="真",M259="真"),"TP",IF(AND(L259="真",M259="假"),"FP",IF(AND(L259="假",M259="真"),"FN","TN"))))))</f>
        <v/>
      </c>
      <c r="S259" s="3" t="n"/>
      <c r="T259" s="3" t="n"/>
      <c r="U259" s="3" t="n"/>
      <c r="V259" s="3" t="n"/>
    </row>
    <row r="260">
      <c r="A260" s="3" t="n"/>
      <c r="B260" s="3" t="n"/>
      <c r="C260" s="3" t="n"/>
      <c r="D260" s="4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5">
        <f>IF(Q260&lt;&gt;"是","排除",IF(OR(L260="",M260=""),"",IF(OR(L260="未知",M260="未知"),"未知",IF(AND(L260="真",M260="真"),"TP",IF(AND(L260="真",M260="假"),"FP",IF(AND(L260="假",M260="真"),"FN","TN"))))))</f>
        <v/>
      </c>
      <c r="S260" s="3" t="n"/>
      <c r="T260" s="3" t="n"/>
      <c r="U260" s="3" t="n"/>
      <c r="V260" s="3" t="n"/>
    </row>
    <row r="261">
      <c r="A261" s="3" t="n"/>
      <c r="B261" s="3" t="n"/>
      <c r="C261" s="3" t="n"/>
      <c r="D261" s="4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5">
        <f>IF(Q261&lt;&gt;"是","排除",IF(OR(L261="",M261=""),"",IF(OR(L261="未知",M261="未知"),"未知",IF(AND(L261="真",M261="真"),"TP",IF(AND(L261="真",M261="假"),"FP",IF(AND(L261="假",M261="真"),"FN","TN"))))))</f>
        <v/>
      </c>
      <c r="S261" s="3" t="n"/>
      <c r="T261" s="3" t="n"/>
      <c r="U261" s="3" t="n"/>
      <c r="V261" s="3" t="n"/>
    </row>
    <row r="262">
      <c r="A262" s="3" t="n"/>
      <c r="B262" s="3" t="n"/>
      <c r="C262" s="3" t="n"/>
      <c r="D262" s="4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5">
        <f>IF(Q262&lt;&gt;"是","排除",IF(OR(L262="",M262=""),"",IF(OR(L262="未知",M262="未知"),"未知",IF(AND(L262="真",M262="真"),"TP",IF(AND(L262="真",M262="假"),"FP",IF(AND(L262="假",M262="真"),"FN","TN"))))))</f>
        <v/>
      </c>
      <c r="S262" s="3" t="n"/>
      <c r="T262" s="3" t="n"/>
      <c r="U262" s="3" t="n"/>
      <c r="V262" s="3" t="n"/>
    </row>
    <row r="263">
      <c r="A263" s="3" t="n"/>
      <c r="B263" s="3" t="n"/>
      <c r="C263" s="3" t="n"/>
      <c r="D263" s="4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5">
        <f>IF(Q263&lt;&gt;"是","排除",IF(OR(L263="",M263=""),"",IF(OR(L263="未知",M263="未知"),"未知",IF(AND(L263="真",M263="真"),"TP",IF(AND(L263="真",M263="假"),"FP",IF(AND(L263="假",M263="真"),"FN","TN"))))))</f>
        <v/>
      </c>
      <c r="S263" s="3" t="n"/>
      <c r="T263" s="3" t="n"/>
      <c r="U263" s="3" t="n"/>
      <c r="V263" s="3" t="n"/>
    </row>
    <row r="264">
      <c r="A264" s="3" t="n"/>
      <c r="B264" s="3" t="n"/>
      <c r="C264" s="3" t="n"/>
      <c r="D264" s="4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5">
        <f>IF(Q264&lt;&gt;"是","排除",IF(OR(L264="",M264=""),"",IF(OR(L264="未知",M264="未知"),"未知",IF(AND(L264="真",M264="真"),"TP",IF(AND(L264="真",M264="假"),"FP",IF(AND(L264="假",M264="真"),"FN","TN"))))))</f>
        <v/>
      </c>
      <c r="S264" s="3" t="n"/>
      <c r="T264" s="3" t="n"/>
      <c r="U264" s="3" t="n"/>
      <c r="V264" s="3" t="n"/>
    </row>
    <row r="265">
      <c r="A265" s="3" t="n"/>
      <c r="B265" s="3" t="n"/>
      <c r="C265" s="3" t="n"/>
      <c r="D265" s="4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5">
        <f>IF(Q265&lt;&gt;"是","排除",IF(OR(L265="",M265=""),"",IF(OR(L265="未知",M265="未知"),"未知",IF(AND(L265="真",M265="真"),"TP",IF(AND(L265="真",M265="假"),"FP",IF(AND(L265="假",M265="真"),"FN","TN"))))))</f>
        <v/>
      </c>
      <c r="S265" s="3" t="n"/>
      <c r="T265" s="3" t="n"/>
      <c r="U265" s="3" t="n"/>
      <c r="V265" s="3" t="n"/>
    </row>
    <row r="266">
      <c r="A266" s="3" t="n"/>
      <c r="B266" s="3" t="n"/>
      <c r="C266" s="3" t="n"/>
      <c r="D266" s="4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5">
        <f>IF(Q266&lt;&gt;"是","排除",IF(OR(L266="",M266=""),"",IF(OR(L266="未知",M266="未知"),"未知",IF(AND(L266="真",M266="真"),"TP",IF(AND(L266="真",M266="假"),"FP",IF(AND(L266="假",M266="真"),"FN","TN"))))))</f>
        <v/>
      </c>
      <c r="S266" s="3" t="n"/>
      <c r="T266" s="3" t="n"/>
      <c r="U266" s="3" t="n"/>
      <c r="V266" s="3" t="n"/>
    </row>
    <row r="267">
      <c r="A267" s="3" t="n"/>
      <c r="B267" s="3" t="n"/>
      <c r="C267" s="3" t="n"/>
      <c r="D267" s="4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5">
        <f>IF(Q267&lt;&gt;"是","排除",IF(OR(L267="",M267=""),"",IF(OR(L267="未知",M267="未知"),"未知",IF(AND(L267="真",M267="真"),"TP",IF(AND(L267="真",M267="假"),"FP",IF(AND(L267="假",M267="真"),"FN","TN"))))))</f>
        <v/>
      </c>
      <c r="S267" s="3" t="n"/>
      <c r="T267" s="3" t="n"/>
      <c r="U267" s="3" t="n"/>
      <c r="V267" s="3" t="n"/>
    </row>
    <row r="268">
      <c r="A268" s="3" t="n"/>
      <c r="B268" s="3" t="n"/>
      <c r="C268" s="3" t="n"/>
      <c r="D268" s="4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5">
        <f>IF(Q268&lt;&gt;"是","排除",IF(OR(L268="",M268=""),"",IF(OR(L268="未知",M268="未知"),"未知",IF(AND(L268="真",M268="真"),"TP",IF(AND(L268="真",M268="假"),"FP",IF(AND(L268="假",M268="真"),"FN","TN"))))))</f>
        <v/>
      </c>
      <c r="S268" s="3" t="n"/>
      <c r="T268" s="3" t="n"/>
      <c r="U268" s="3" t="n"/>
      <c r="V268" s="3" t="n"/>
    </row>
    <row r="269">
      <c r="A269" s="3" t="n"/>
      <c r="B269" s="3" t="n"/>
      <c r="C269" s="3" t="n"/>
      <c r="D269" s="4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5">
        <f>IF(Q269&lt;&gt;"是","排除",IF(OR(L269="",M269=""),"",IF(OR(L269="未知",M269="未知"),"未知",IF(AND(L269="真",M269="真"),"TP",IF(AND(L269="真",M269="假"),"FP",IF(AND(L269="假",M269="真"),"FN","TN"))))))</f>
        <v/>
      </c>
      <c r="S269" s="3" t="n"/>
      <c r="T269" s="3" t="n"/>
      <c r="U269" s="3" t="n"/>
      <c r="V269" s="3" t="n"/>
    </row>
    <row r="270">
      <c r="A270" s="3" t="n"/>
      <c r="B270" s="3" t="n"/>
      <c r="C270" s="3" t="n"/>
      <c r="D270" s="4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5">
        <f>IF(Q270&lt;&gt;"是","排除",IF(OR(L270="",M270=""),"",IF(OR(L270="未知",M270="未知"),"未知",IF(AND(L270="真",M270="真"),"TP",IF(AND(L270="真",M270="假"),"FP",IF(AND(L270="假",M270="真"),"FN","TN"))))))</f>
        <v/>
      </c>
      <c r="S270" s="3" t="n"/>
      <c r="T270" s="3" t="n"/>
      <c r="U270" s="3" t="n"/>
      <c r="V270" s="3" t="n"/>
    </row>
    <row r="271">
      <c r="A271" s="3" t="n"/>
      <c r="B271" s="3" t="n"/>
      <c r="C271" s="3" t="n"/>
      <c r="D271" s="4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5">
        <f>IF(Q271&lt;&gt;"是","排除",IF(OR(L271="",M271=""),"",IF(OR(L271="未知",M271="未知"),"未知",IF(AND(L271="真",M271="真"),"TP",IF(AND(L271="真",M271="假"),"FP",IF(AND(L271="假",M271="真"),"FN","TN"))))))</f>
        <v/>
      </c>
      <c r="S271" s="3" t="n"/>
      <c r="T271" s="3" t="n"/>
      <c r="U271" s="3" t="n"/>
      <c r="V271" s="3" t="n"/>
    </row>
    <row r="272">
      <c r="A272" s="3" t="n"/>
      <c r="B272" s="3" t="n"/>
      <c r="C272" s="3" t="n"/>
      <c r="D272" s="4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5">
        <f>IF(Q272&lt;&gt;"是","排除",IF(OR(L272="",M272=""),"",IF(OR(L272="未知",M272="未知"),"未知",IF(AND(L272="真",M272="真"),"TP",IF(AND(L272="真",M272="假"),"FP",IF(AND(L272="假",M272="真"),"FN","TN"))))))</f>
        <v/>
      </c>
      <c r="S272" s="3" t="n"/>
      <c r="T272" s="3" t="n"/>
      <c r="U272" s="3" t="n"/>
      <c r="V272" s="3" t="n"/>
    </row>
    <row r="273">
      <c r="A273" s="3" t="n"/>
      <c r="B273" s="3" t="n"/>
      <c r="C273" s="3" t="n"/>
      <c r="D273" s="4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5">
        <f>IF(Q273&lt;&gt;"是","排除",IF(OR(L273="",M273=""),"",IF(OR(L273="未知",M273="未知"),"未知",IF(AND(L273="真",M273="真"),"TP",IF(AND(L273="真",M273="假"),"FP",IF(AND(L273="假",M273="真"),"FN","TN"))))))</f>
        <v/>
      </c>
      <c r="S273" s="3" t="n"/>
      <c r="T273" s="3" t="n"/>
      <c r="U273" s="3" t="n"/>
      <c r="V273" s="3" t="n"/>
    </row>
    <row r="274">
      <c r="A274" s="3" t="n"/>
      <c r="B274" s="3" t="n"/>
      <c r="C274" s="3" t="n"/>
      <c r="D274" s="4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5">
        <f>IF(Q274&lt;&gt;"是","排除",IF(OR(L274="",M274=""),"",IF(OR(L274="未知",M274="未知"),"未知",IF(AND(L274="真",M274="真"),"TP",IF(AND(L274="真",M274="假"),"FP",IF(AND(L274="假",M274="真"),"FN","TN"))))))</f>
        <v/>
      </c>
      <c r="S274" s="3" t="n"/>
      <c r="T274" s="3" t="n"/>
      <c r="U274" s="3" t="n"/>
      <c r="V274" s="3" t="n"/>
    </row>
    <row r="275">
      <c r="A275" s="3" t="n"/>
      <c r="B275" s="3" t="n"/>
      <c r="C275" s="3" t="n"/>
      <c r="D275" s="4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5">
        <f>IF(Q275&lt;&gt;"是","排除",IF(OR(L275="",M275=""),"",IF(OR(L275="未知",M275="未知"),"未知",IF(AND(L275="真",M275="真"),"TP",IF(AND(L275="真",M275="假"),"FP",IF(AND(L275="假",M275="真"),"FN","TN"))))))</f>
        <v/>
      </c>
      <c r="S275" s="3" t="n"/>
      <c r="T275" s="3" t="n"/>
      <c r="U275" s="3" t="n"/>
      <c r="V275" s="3" t="n"/>
    </row>
    <row r="276">
      <c r="A276" s="3" t="n"/>
      <c r="B276" s="3" t="n"/>
      <c r="C276" s="3" t="n"/>
      <c r="D276" s="4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5">
        <f>IF(Q276&lt;&gt;"是","排除",IF(OR(L276="",M276=""),"",IF(OR(L276="未知",M276="未知"),"未知",IF(AND(L276="真",M276="真"),"TP",IF(AND(L276="真",M276="假"),"FP",IF(AND(L276="假",M276="真"),"FN","TN"))))))</f>
        <v/>
      </c>
      <c r="S276" s="3" t="n"/>
      <c r="T276" s="3" t="n"/>
      <c r="U276" s="3" t="n"/>
      <c r="V276" s="3" t="n"/>
    </row>
    <row r="277">
      <c r="A277" s="3" t="n"/>
      <c r="B277" s="3" t="n"/>
      <c r="C277" s="3" t="n"/>
      <c r="D277" s="4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5">
        <f>IF(Q277&lt;&gt;"是","排除",IF(OR(L277="",M277=""),"",IF(OR(L277="未知",M277="未知"),"未知",IF(AND(L277="真",M277="真"),"TP",IF(AND(L277="真",M277="假"),"FP",IF(AND(L277="假",M277="真"),"FN","TN"))))))</f>
        <v/>
      </c>
      <c r="S277" s="3" t="n"/>
      <c r="T277" s="3" t="n"/>
      <c r="U277" s="3" t="n"/>
      <c r="V277" s="3" t="n"/>
    </row>
    <row r="278">
      <c r="A278" s="3" t="n"/>
      <c r="B278" s="3" t="n"/>
      <c r="C278" s="3" t="n"/>
      <c r="D278" s="4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5">
        <f>IF(Q278&lt;&gt;"是","排除",IF(OR(L278="",M278=""),"",IF(OR(L278="未知",M278="未知"),"未知",IF(AND(L278="真",M278="真"),"TP",IF(AND(L278="真",M278="假"),"FP",IF(AND(L278="假",M278="真"),"FN","TN"))))))</f>
        <v/>
      </c>
      <c r="S278" s="3" t="n"/>
      <c r="T278" s="3" t="n"/>
      <c r="U278" s="3" t="n"/>
      <c r="V278" s="3" t="n"/>
    </row>
    <row r="279">
      <c r="A279" s="3" t="n"/>
      <c r="B279" s="3" t="n"/>
      <c r="C279" s="3" t="n"/>
      <c r="D279" s="4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5">
        <f>IF(Q279&lt;&gt;"是","排除",IF(OR(L279="",M279=""),"",IF(OR(L279="未知",M279="未知"),"未知",IF(AND(L279="真",M279="真"),"TP",IF(AND(L279="真",M279="假"),"FP",IF(AND(L279="假",M279="真"),"FN","TN"))))))</f>
        <v/>
      </c>
      <c r="S279" s="3" t="n"/>
      <c r="T279" s="3" t="n"/>
      <c r="U279" s="3" t="n"/>
      <c r="V279" s="3" t="n"/>
    </row>
    <row r="280">
      <c r="A280" s="3" t="n"/>
      <c r="B280" s="3" t="n"/>
      <c r="C280" s="3" t="n"/>
      <c r="D280" s="4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5">
        <f>IF(Q280&lt;&gt;"是","排除",IF(OR(L280="",M280=""),"",IF(OR(L280="未知",M280="未知"),"未知",IF(AND(L280="真",M280="真"),"TP",IF(AND(L280="真",M280="假"),"FP",IF(AND(L280="假",M280="真"),"FN","TN"))))))</f>
        <v/>
      </c>
      <c r="S280" s="3" t="n"/>
      <c r="T280" s="3" t="n"/>
      <c r="U280" s="3" t="n"/>
      <c r="V280" s="3" t="n"/>
    </row>
    <row r="281">
      <c r="A281" s="3" t="n"/>
      <c r="B281" s="3" t="n"/>
      <c r="C281" s="3" t="n"/>
      <c r="D281" s="4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5">
        <f>IF(Q281&lt;&gt;"是","排除",IF(OR(L281="",M281=""),"",IF(OR(L281="未知",M281="未知"),"未知",IF(AND(L281="真",M281="真"),"TP",IF(AND(L281="真",M281="假"),"FP",IF(AND(L281="假",M281="真"),"FN","TN"))))))</f>
        <v/>
      </c>
      <c r="S281" s="3" t="n"/>
      <c r="T281" s="3" t="n"/>
      <c r="U281" s="3" t="n"/>
      <c r="V281" s="3" t="n"/>
    </row>
    <row r="282">
      <c r="A282" s="3" t="n"/>
      <c r="B282" s="3" t="n"/>
      <c r="C282" s="3" t="n"/>
      <c r="D282" s="4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5">
        <f>IF(Q282&lt;&gt;"是","排除",IF(OR(L282="",M282=""),"",IF(OR(L282="未知",M282="未知"),"未知",IF(AND(L282="真",M282="真"),"TP",IF(AND(L282="真",M282="假"),"FP",IF(AND(L282="假",M282="真"),"FN","TN"))))))</f>
        <v/>
      </c>
      <c r="S282" s="3" t="n"/>
      <c r="T282" s="3" t="n"/>
      <c r="U282" s="3" t="n"/>
      <c r="V282" s="3" t="n"/>
    </row>
    <row r="283">
      <c r="A283" s="3" t="n"/>
      <c r="B283" s="3" t="n"/>
      <c r="C283" s="3" t="n"/>
      <c r="D283" s="4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5">
        <f>IF(Q283&lt;&gt;"是","排除",IF(OR(L283="",M283=""),"",IF(OR(L283="未知",M283="未知"),"未知",IF(AND(L283="真",M283="真"),"TP",IF(AND(L283="真",M283="假"),"FP",IF(AND(L283="假",M283="真"),"FN","TN"))))))</f>
        <v/>
      </c>
      <c r="S283" s="3" t="n"/>
      <c r="T283" s="3" t="n"/>
      <c r="U283" s="3" t="n"/>
      <c r="V283" s="3" t="n"/>
    </row>
    <row r="284">
      <c r="A284" s="3" t="n"/>
      <c r="B284" s="3" t="n"/>
      <c r="C284" s="3" t="n"/>
      <c r="D284" s="4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5">
        <f>IF(Q284&lt;&gt;"是","排除",IF(OR(L284="",M284=""),"",IF(OR(L284="未知",M284="未知"),"未知",IF(AND(L284="真",M284="真"),"TP",IF(AND(L284="真",M284="假"),"FP",IF(AND(L284="假",M284="真"),"FN","TN"))))))</f>
        <v/>
      </c>
      <c r="S284" s="3" t="n"/>
      <c r="T284" s="3" t="n"/>
      <c r="U284" s="3" t="n"/>
      <c r="V284" s="3" t="n"/>
    </row>
    <row r="285">
      <c r="A285" s="3" t="n"/>
      <c r="B285" s="3" t="n"/>
      <c r="C285" s="3" t="n"/>
      <c r="D285" s="4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5">
        <f>IF(Q285&lt;&gt;"是","排除",IF(OR(L285="",M285=""),"",IF(OR(L285="未知",M285="未知"),"未知",IF(AND(L285="真",M285="真"),"TP",IF(AND(L285="真",M285="假"),"FP",IF(AND(L285="假",M285="真"),"FN","TN"))))))</f>
        <v/>
      </c>
      <c r="S285" s="3" t="n"/>
      <c r="T285" s="3" t="n"/>
      <c r="U285" s="3" t="n"/>
      <c r="V285" s="3" t="n"/>
    </row>
    <row r="286">
      <c r="A286" s="3" t="n"/>
      <c r="B286" s="3" t="n"/>
      <c r="C286" s="3" t="n"/>
      <c r="D286" s="4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5">
        <f>IF(Q286&lt;&gt;"是","排除",IF(OR(L286="",M286=""),"",IF(OR(L286="未知",M286="未知"),"未知",IF(AND(L286="真",M286="真"),"TP",IF(AND(L286="真",M286="假"),"FP",IF(AND(L286="假",M286="真"),"FN","TN"))))))</f>
        <v/>
      </c>
      <c r="S286" s="3" t="n"/>
      <c r="T286" s="3" t="n"/>
      <c r="U286" s="3" t="n"/>
      <c r="V286" s="3" t="n"/>
    </row>
    <row r="287">
      <c r="A287" s="3" t="n"/>
      <c r="B287" s="3" t="n"/>
      <c r="C287" s="3" t="n"/>
      <c r="D287" s="4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5">
        <f>IF(Q287&lt;&gt;"是","排除",IF(OR(L287="",M287=""),"",IF(OR(L287="未知",M287="未知"),"未知",IF(AND(L287="真",M287="真"),"TP",IF(AND(L287="真",M287="假"),"FP",IF(AND(L287="假",M287="真"),"FN","TN"))))))</f>
        <v/>
      </c>
      <c r="S287" s="3" t="n"/>
      <c r="T287" s="3" t="n"/>
      <c r="U287" s="3" t="n"/>
      <c r="V287" s="3" t="n"/>
    </row>
    <row r="288">
      <c r="A288" s="3" t="n"/>
      <c r="B288" s="3" t="n"/>
      <c r="C288" s="3" t="n"/>
      <c r="D288" s="4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5">
        <f>IF(Q288&lt;&gt;"是","排除",IF(OR(L288="",M288=""),"",IF(OR(L288="未知",M288="未知"),"未知",IF(AND(L288="真",M288="真"),"TP",IF(AND(L288="真",M288="假"),"FP",IF(AND(L288="假",M288="真"),"FN","TN"))))))</f>
        <v/>
      </c>
      <c r="S288" s="3" t="n"/>
      <c r="T288" s="3" t="n"/>
      <c r="U288" s="3" t="n"/>
      <c r="V288" s="3" t="n"/>
    </row>
    <row r="289">
      <c r="A289" s="3" t="n"/>
      <c r="B289" s="3" t="n"/>
      <c r="C289" s="3" t="n"/>
      <c r="D289" s="4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5">
        <f>IF(Q289&lt;&gt;"是","排除",IF(OR(L289="",M289=""),"",IF(OR(L289="未知",M289="未知"),"未知",IF(AND(L289="真",M289="真"),"TP",IF(AND(L289="真",M289="假"),"FP",IF(AND(L289="假",M289="真"),"FN","TN"))))))</f>
        <v/>
      </c>
      <c r="S289" s="3" t="n"/>
      <c r="T289" s="3" t="n"/>
      <c r="U289" s="3" t="n"/>
      <c r="V289" s="3" t="n"/>
    </row>
    <row r="290">
      <c r="A290" s="3" t="n"/>
      <c r="B290" s="3" t="n"/>
      <c r="C290" s="3" t="n"/>
      <c r="D290" s="4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5">
        <f>IF(Q290&lt;&gt;"是","排除",IF(OR(L290="",M290=""),"",IF(OR(L290="未知",M290="未知"),"未知",IF(AND(L290="真",M290="真"),"TP",IF(AND(L290="真",M290="假"),"FP",IF(AND(L290="假",M290="真"),"FN","TN"))))))</f>
        <v/>
      </c>
      <c r="S290" s="3" t="n"/>
      <c r="T290" s="3" t="n"/>
      <c r="U290" s="3" t="n"/>
      <c r="V290" s="3" t="n"/>
    </row>
    <row r="291">
      <c r="A291" s="3" t="n"/>
      <c r="B291" s="3" t="n"/>
      <c r="C291" s="3" t="n"/>
      <c r="D291" s="4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5">
        <f>IF(Q291&lt;&gt;"是","排除",IF(OR(L291="",M291=""),"",IF(OR(L291="未知",M291="未知"),"未知",IF(AND(L291="真",M291="真"),"TP",IF(AND(L291="真",M291="假"),"FP",IF(AND(L291="假",M291="真"),"FN","TN"))))))</f>
        <v/>
      </c>
      <c r="S291" s="3" t="n"/>
      <c r="T291" s="3" t="n"/>
      <c r="U291" s="3" t="n"/>
      <c r="V291" s="3" t="n"/>
    </row>
    <row r="292">
      <c r="A292" s="3" t="n"/>
      <c r="B292" s="3" t="n"/>
      <c r="C292" s="3" t="n"/>
      <c r="D292" s="4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5">
        <f>IF(Q292&lt;&gt;"是","排除",IF(OR(L292="",M292=""),"",IF(OR(L292="未知",M292="未知"),"未知",IF(AND(L292="真",M292="真"),"TP",IF(AND(L292="真",M292="假"),"FP",IF(AND(L292="假",M292="真"),"FN","TN"))))))</f>
        <v/>
      </c>
      <c r="S292" s="3" t="n"/>
      <c r="T292" s="3" t="n"/>
      <c r="U292" s="3" t="n"/>
      <c r="V292" s="3" t="n"/>
    </row>
    <row r="293">
      <c r="A293" s="3" t="n"/>
      <c r="B293" s="3" t="n"/>
      <c r="C293" s="3" t="n"/>
      <c r="D293" s="4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5">
        <f>IF(Q293&lt;&gt;"是","排除",IF(OR(L293="",M293=""),"",IF(OR(L293="未知",M293="未知"),"未知",IF(AND(L293="真",M293="真"),"TP",IF(AND(L293="真",M293="假"),"FP",IF(AND(L293="假",M293="真"),"FN","TN"))))))</f>
        <v/>
      </c>
      <c r="S293" s="3" t="n"/>
      <c r="T293" s="3" t="n"/>
      <c r="U293" s="3" t="n"/>
      <c r="V293" s="3" t="n"/>
    </row>
    <row r="294">
      <c r="A294" s="3" t="n"/>
      <c r="B294" s="3" t="n"/>
      <c r="C294" s="3" t="n"/>
      <c r="D294" s="4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5">
        <f>IF(Q294&lt;&gt;"是","排除",IF(OR(L294="",M294=""),"",IF(OR(L294="未知",M294="未知"),"未知",IF(AND(L294="真",M294="真"),"TP",IF(AND(L294="真",M294="假"),"FP",IF(AND(L294="假",M294="真"),"FN","TN"))))))</f>
        <v/>
      </c>
      <c r="S294" s="3" t="n"/>
      <c r="T294" s="3" t="n"/>
      <c r="U294" s="3" t="n"/>
      <c r="V294" s="3" t="n"/>
    </row>
    <row r="295">
      <c r="A295" s="3" t="n"/>
      <c r="B295" s="3" t="n"/>
      <c r="C295" s="3" t="n"/>
      <c r="D295" s="4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5">
        <f>IF(Q295&lt;&gt;"是","排除",IF(OR(L295="",M295=""),"",IF(OR(L295="未知",M295="未知"),"未知",IF(AND(L295="真",M295="真"),"TP",IF(AND(L295="真",M295="假"),"FP",IF(AND(L295="假",M295="真"),"FN","TN"))))))</f>
        <v/>
      </c>
      <c r="S295" s="3" t="n"/>
      <c r="T295" s="3" t="n"/>
      <c r="U295" s="3" t="n"/>
      <c r="V295" s="3" t="n"/>
    </row>
    <row r="296">
      <c r="A296" s="3" t="n"/>
      <c r="B296" s="3" t="n"/>
      <c r="C296" s="3" t="n"/>
      <c r="D296" s="4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5">
        <f>IF(Q296&lt;&gt;"是","排除",IF(OR(L296="",M296=""),"",IF(OR(L296="未知",M296="未知"),"未知",IF(AND(L296="真",M296="真"),"TP",IF(AND(L296="真",M296="假"),"FP",IF(AND(L296="假",M296="真"),"FN","TN"))))))</f>
        <v/>
      </c>
      <c r="S296" s="3" t="n"/>
      <c r="T296" s="3" t="n"/>
      <c r="U296" s="3" t="n"/>
      <c r="V296" s="3" t="n"/>
    </row>
    <row r="297">
      <c r="A297" s="3" t="n"/>
      <c r="B297" s="3" t="n"/>
      <c r="C297" s="3" t="n"/>
      <c r="D297" s="4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5">
        <f>IF(Q297&lt;&gt;"是","排除",IF(OR(L297="",M297=""),"",IF(OR(L297="未知",M297="未知"),"未知",IF(AND(L297="真",M297="真"),"TP",IF(AND(L297="真",M297="假"),"FP",IF(AND(L297="假",M297="真"),"FN","TN"))))))</f>
        <v/>
      </c>
      <c r="S297" s="3" t="n"/>
      <c r="T297" s="3" t="n"/>
      <c r="U297" s="3" t="n"/>
      <c r="V297" s="3" t="n"/>
    </row>
    <row r="298">
      <c r="A298" s="3" t="n"/>
      <c r="B298" s="3" t="n"/>
      <c r="C298" s="3" t="n"/>
      <c r="D298" s="4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5">
        <f>IF(Q298&lt;&gt;"是","排除",IF(OR(L298="",M298=""),"",IF(OR(L298="未知",M298="未知"),"未知",IF(AND(L298="真",M298="真"),"TP",IF(AND(L298="真",M298="假"),"FP",IF(AND(L298="假",M298="真"),"FN","TN"))))))</f>
        <v/>
      </c>
      <c r="S298" s="3" t="n"/>
      <c r="T298" s="3" t="n"/>
      <c r="U298" s="3" t="n"/>
      <c r="V298" s="3" t="n"/>
    </row>
    <row r="299">
      <c r="A299" s="3" t="n"/>
      <c r="B299" s="3" t="n"/>
      <c r="C299" s="3" t="n"/>
      <c r="D299" s="4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5">
        <f>IF(Q299&lt;&gt;"是","排除",IF(OR(L299="",M299=""),"",IF(OR(L299="未知",M299="未知"),"未知",IF(AND(L299="真",M299="真"),"TP",IF(AND(L299="真",M299="假"),"FP",IF(AND(L299="假",M299="真"),"FN","TN"))))))</f>
        <v/>
      </c>
      <c r="S299" s="3" t="n"/>
      <c r="T299" s="3" t="n"/>
      <c r="U299" s="3" t="n"/>
      <c r="V299" s="3" t="n"/>
    </row>
    <row r="300">
      <c r="A300" s="3" t="n"/>
      <c r="B300" s="3" t="n"/>
      <c r="C300" s="3" t="n"/>
      <c r="D300" s="4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5">
        <f>IF(Q300&lt;&gt;"是","排除",IF(OR(L300="",M300=""),"",IF(OR(L300="未知",M300="未知"),"未知",IF(AND(L300="真",M300="真"),"TP",IF(AND(L300="真",M300="假"),"FP",IF(AND(L300="假",M300="真"),"FN","TN"))))))</f>
        <v/>
      </c>
      <c r="S300" s="3" t="n"/>
      <c r="T300" s="3" t="n"/>
      <c r="U300" s="3" t="n"/>
      <c r="V300" s="3" t="n"/>
    </row>
    <row r="301">
      <c r="A301" s="3" t="n"/>
      <c r="B301" s="3" t="n"/>
      <c r="C301" s="3" t="n"/>
      <c r="D301" s="4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5">
        <f>IF(Q301&lt;&gt;"是","排除",IF(OR(L301="",M301=""),"",IF(OR(L301="未知",M301="未知"),"未知",IF(AND(L301="真",M301="真"),"TP",IF(AND(L301="真",M301="假"),"FP",IF(AND(L301="假",M301="真"),"FN","TN"))))))</f>
        <v/>
      </c>
      <c r="S301" s="3" t="n"/>
      <c r="T301" s="3" t="n"/>
      <c r="U301" s="3" t="n"/>
      <c r="V301" s="3" t="n"/>
    </row>
    <row r="302">
      <c r="A302" s="3" t="n"/>
      <c r="B302" s="3" t="n"/>
      <c r="C302" s="3" t="n"/>
      <c r="D302" s="4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5">
        <f>IF(Q302&lt;&gt;"是","排除",IF(OR(L302="",M302=""),"",IF(OR(L302="未知",M302="未知"),"未知",IF(AND(L302="真",M302="真"),"TP",IF(AND(L302="真",M302="假"),"FP",IF(AND(L302="假",M302="真"),"FN","TN"))))))</f>
        <v/>
      </c>
      <c r="S302" s="3" t="n"/>
      <c r="T302" s="3" t="n"/>
      <c r="U302" s="3" t="n"/>
      <c r="V302" s="3" t="n"/>
    </row>
    <row r="303">
      <c r="A303" s="3" t="n"/>
      <c r="B303" s="3" t="n"/>
      <c r="C303" s="3" t="n"/>
      <c r="D303" s="4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5">
        <f>IF(Q303&lt;&gt;"是","排除",IF(OR(L303="",M303=""),"",IF(OR(L303="未知",M303="未知"),"未知",IF(AND(L303="真",M303="真"),"TP",IF(AND(L303="真",M303="假"),"FP",IF(AND(L303="假",M303="真"),"FN","TN"))))))</f>
        <v/>
      </c>
      <c r="S303" s="3" t="n"/>
      <c r="T303" s="3" t="n"/>
      <c r="U303" s="3" t="n"/>
      <c r="V303" s="3" t="n"/>
    </row>
    <row r="304">
      <c r="A304" s="3" t="n"/>
      <c r="B304" s="3" t="n"/>
      <c r="C304" s="3" t="n"/>
      <c r="D304" s="4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5">
        <f>IF(Q304&lt;&gt;"是","排除",IF(OR(L304="",M304=""),"",IF(OR(L304="未知",M304="未知"),"未知",IF(AND(L304="真",M304="真"),"TP",IF(AND(L304="真",M304="假"),"FP",IF(AND(L304="假",M304="真"),"FN","TN"))))))</f>
        <v/>
      </c>
      <c r="S304" s="3" t="n"/>
      <c r="T304" s="3" t="n"/>
      <c r="U304" s="3" t="n"/>
      <c r="V304" s="3" t="n"/>
    </row>
    <row r="305">
      <c r="A305" s="3" t="n"/>
      <c r="B305" s="3" t="n"/>
      <c r="C305" s="3" t="n"/>
      <c r="D305" s="4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5">
        <f>IF(Q305&lt;&gt;"是","排除",IF(OR(L305="",M305=""),"",IF(OR(L305="未知",M305="未知"),"未知",IF(AND(L305="真",M305="真"),"TP",IF(AND(L305="真",M305="假"),"FP",IF(AND(L305="假",M305="真"),"FN","TN"))))))</f>
        <v/>
      </c>
      <c r="S305" s="3" t="n"/>
      <c r="T305" s="3" t="n"/>
      <c r="U305" s="3" t="n"/>
      <c r="V305" s="3" t="n"/>
    </row>
    <row r="306">
      <c r="A306" s="3" t="n"/>
      <c r="B306" s="3" t="n"/>
      <c r="C306" s="3" t="n"/>
      <c r="D306" s="4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5">
        <f>IF(Q306&lt;&gt;"是","排除",IF(OR(L306="",M306=""),"",IF(OR(L306="未知",M306="未知"),"未知",IF(AND(L306="真",M306="真"),"TP",IF(AND(L306="真",M306="假"),"FP",IF(AND(L306="假",M306="真"),"FN","TN"))))))</f>
        <v/>
      </c>
      <c r="S306" s="3" t="n"/>
      <c r="T306" s="3" t="n"/>
      <c r="U306" s="3" t="n"/>
      <c r="V306" s="3" t="n"/>
    </row>
    <row r="307">
      <c r="A307" s="3" t="n"/>
      <c r="B307" s="3" t="n"/>
      <c r="C307" s="3" t="n"/>
      <c r="D307" s="4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5">
        <f>IF(Q307&lt;&gt;"是","排除",IF(OR(L307="",M307=""),"",IF(OR(L307="未知",M307="未知"),"未知",IF(AND(L307="真",M307="真"),"TP",IF(AND(L307="真",M307="假"),"FP",IF(AND(L307="假",M307="真"),"FN","TN"))))))</f>
        <v/>
      </c>
      <c r="S307" s="3" t="n"/>
      <c r="T307" s="3" t="n"/>
      <c r="U307" s="3" t="n"/>
      <c r="V307" s="3" t="n"/>
    </row>
    <row r="308">
      <c r="A308" s="3" t="n"/>
      <c r="B308" s="3" t="n"/>
      <c r="C308" s="3" t="n"/>
      <c r="D308" s="4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5">
        <f>IF(Q308&lt;&gt;"是","排除",IF(OR(L308="",M308=""),"",IF(OR(L308="未知",M308="未知"),"未知",IF(AND(L308="真",M308="真"),"TP",IF(AND(L308="真",M308="假"),"FP",IF(AND(L308="假",M308="真"),"FN","TN"))))))</f>
        <v/>
      </c>
      <c r="S308" s="3" t="n"/>
      <c r="T308" s="3" t="n"/>
      <c r="U308" s="3" t="n"/>
      <c r="V308" s="3" t="n"/>
    </row>
    <row r="309">
      <c r="A309" s="3" t="n"/>
      <c r="B309" s="3" t="n"/>
      <c r="C309" s="3" t="n"/>
      <c r="D309" s="4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5">
        <f>IF(Q309&lt;&gt;"是","排除",IF(OR(L309="",M309=""),"",IF(OR(L309="未知",M309="未知"),"未知",IF(AND(L309="真",M309="真"),"TP",IF(AND(L309="真",M309="假"),"FP",IF(AND(L309="假",M309="真"),"FN","TN"))))))</f>
        <v/>
      </c>
      <c r="S309" s="3" t="n"/>
      <c r="T309" s="3" t="n"/>
      <c r="U309" s="3" t="n"/>
      <c r="V309" s="3" t="n"/>
    </row>
    <row r="310">
      <c r="A310" s="3" t="n"/>
      <c r="B310" s="3" t="n"/>
      <c r="C310" s="3" t="n"/>
      <c r="D310" s="4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5">
        <f>IF(Q310&lt;&gt;"是","排除",IF(OR(L310="",M310=""),"",IF(OR(L310="未知",M310="未知"),"未知",IF(AND(L310="真",M310="真"),"TP",IF(AND(L310="真",M310="假"),"FP",IF(AND(L310="假",M310="真"),"FN","TN"))))))</f>
        <v/>
      </c>
      <c r="S310" s="3" t="n"/>
      <c r="T310" s="3" t="n"/>
      <c r="U310" s="3" t="n"/>
      <c r="V310" s="3" t="n"/>
    </row>
    <row r="311">
      <c r="A311" s="3" t="n"/>
      <c r="B311" s="3" t="n"/>
      <c r="C311" s="3" t="n"/>
      <c r="D311" s="4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5">
        <f>IF(Q311&lt;&gt;"是","排除",IF(OR(L311="",M311=""),"",IF(OR(L311="未知",M311="未知"),"未知",IF(AND(L311="真",M311="真"),"TP",IF(AND(L311="真",M311="假"),"FP",IF(AND(L311="假",M311="真"),"FN","TN"))))))</f>
        <v/>
      </c>
      <c r="S311" s="3" t="n"/>
      <c r="T311" s="3" t="n"/>
      <c r="U311" s="3" t="n"/>
      <c r="V311" s="3" t="n"/>
    </row>
    <row r="312">
      <c r="A312" s="3" t="n"/>
      <c r="B312" s="3" t="n"/>
      <c r="C312" s="3" t="n"/>
      <c r="D312" s="4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5">
        <f>IF(Q312&lt;&gt;"是","排除",IF(OR(L312="",M312=""),"",IF(OR(L312="未知",M312="未知"),"未知",IF(AND(L312="真",M312="真"),"TP",IF(AND(L312="真",M312="假"),"FP",IF(AND(L312="假",M312="真"),"FN","TN"))))))</f>
        <v/>
      </c>
      <c r="S312" s="3" t="n"/>
      <c r="T312" s="3" t="n"/>
      <c r="U312" s="3" t="n"/>
      <c r="V312" s="3" t="n"/>
    </row>
    <row r="313">
      <c r="A313" s="3" t="n"/>
      <c r="B313" s="3" t="n"/>
      <c r="C313" s="3" t="n"/>
      <c r="D313" s="4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5">
        <f>IF(Q313&lt;&gt;"是","排除",IF(OR(L313="",M313=""),"",IF(OR(L313="未知",M313="未知"),"未知",IF(AND(L313="真",M313="真"),"TP",IF(AND(L313="真",M313="假"),"FP",IF(AND(L313="假",M313="真"),"FN","TN"))))))</f>
        <v/>
      </c>
      <c r="S313" s="3" t="n"/>
      <c r="T313" s="3" t="n"/>
      <c r="U313" s="3" t="n"/>
      <c r="V313" s="3" t="n"/>
    </row>
    <row r="314">
      <c r="A314" s="3" t="n"/>
      <c r="B314" s="3" t="n"/>
      <c r="C314" s="3" t="n"/>
      <c r="D314" s="4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5">
        <f>IF(Q314&lt;&gt;"是","排除",IF(OR(L314="",M314=""),"",IF(OR(L314="未知",M314="未知"),"未知",IF(AND(L314="真",M314="真"),"TP",IF(AND(L314="真",M314="假"),"FP",IF(AND(L314="假",M314="真"),"FN","TN"))))))</f>
        <v/>
      </c>
      <c r="S314" s="3" t="n"/>
      <c r="T314" s="3" t="n"/>
      <c r="U314" s="3" t="n"/>
      <c r="V314" s="3" t="n"/>
    </row>
    <row r="315">
      <c r="A315" s="3" t="n"/>
      <c r="B315" s="3" t="n"/>
      <c r="C315" s="3" t="n"/>
      <c r="D315" s="4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5">
        <f>IF(Q315&lt;&gt;"是","排除",IF(OR(L315="",M315=""),"",IF(OR(L315="未知",M315="未知"),"未知",IF(AND(L315="真",M315="真"),"TP",IF(AND(L315="真",M315="假"),"FP",IF(AND(L315="假",M315="真"),"FN","TN"))))))</f>
        <v/>
      </c>
      <c r="S315" s="3" t="n"/>
      <c r="T315" s="3" t="n"/>
      <c r="U315" s="3" t="n"/>
      <c r="V315" s="3" t="n"/>
    </row>
    <row r="316">
      <c r="A316" s="3" t="n"/>
      <c r="B316" s="3" t="n"/>
      <c r="C316" s="3" t="n"/>
      <c r="D316" s="4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5">
        <f>IF(Q316&lt;&gt;"是","排除",IF(OR(L316="",M316=""),"",IF(OR(L316="未知",M316="未知"),"未知",IF(AND(L316="真",M316="真"),"TP",IF(AND(L316="真",M316="假"),"FP",IF(AND(L316="假",M316="真"),"FN","TN"))))))</f>
        <v/>
      </c>
      <c r="S316" s="3" t="n"/>
      <c r="T316" s="3" t="n"/>
      <c r="U316" s="3" t="n"/>
      <c r="V316" s="3" t="n"/>
    </row>
    <row r="317">
      <c r="A317" s="3" t="n"/>
      <c r="B317" s="3" t="n"/>
      <c r="C317" s="3" t="n"/>
      <c r="D317" s="4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5">
        <f>IF(Q317&lt;&gt;"是","排除",IF(OR(L317="",M317=""),"",IF(OR(L317="未知",M317="未知"),"未知",IF(AND(L317="真",M317="真"),"TP",IF(AND(L317="真",M317="假"),"FP",IF(AND(L317="假",M317="真"),"FN","TN"))))))</f>
        <v/>
      </c>
      <c r="S317" s="3" t="n"/>
      <c r="T317" s="3" t="n"/>
      <c r="U317" s="3" t="n"/>
      <c r="V317" s="3" t="n"/>
    </row>
    <row r="318">
      <c r="A318" s="3" t="n"/>
      <c r="B318" s="3" t="n"/>
      <c r="C318" s="3" t="n"/>
      <c r="D318" s="4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5">
        <f>IF(Q318&lt;&gt;"是","排除",IF(OR(L318="",M318=""),"",IF(OR(L318="未知",M318="未知"),"未知",IF(AND(L318="真",M318="真"),"TP",IF(AND(L318="真",M318="假"),"FP",IF(AND(L318="假",M318="真"),"FN","TN"))))))</f>
        <v/>
      </c>
      <c r="S318" s="3" t="n"/>
      <c r="T318" s="3" t="n"/>
      <c r="U318" s="3" t="n"/>
      <c r="V318" s="3" t="n"/>
    </row>
    <row r="319">
      <c r="A319" s="3" t="n"/>
      <c r="B319" s="3" t="n"/>
      <c r="C319" s="3" t="n"/>
      <c r="D319" s="4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5">
        <f>IF(Q319&lt;&gt;"是","排除",IF(OR(L319="",M319=""),"",IF(OR(L319="未知",M319="未知"),"未知",IF(AND(L319="真",M319="真"),"TP",IF(AND(L319="真",M319="假"),"FP",IF(AND(L319="假",M319="真"),"FN","TN"))))))</f>
        <v/>
      </c>
      <c r="S319" s="3" t="n"/>
      <c r="T319" s="3" t="n"/>
      <c r="U319" s="3" t="n"/>
      <c r="V319" s="3" t="n"/>
    </row>
    <row r="320">
      <c r="A320" s="3" t="n"/>
      <c r="B320" s="3" t="n"/>
      <c r="C320" s="3" t="n"/>
      <c r="D320" s="4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5">
        <f>IF(Q320&lt;&gt;"是","排除",IF(OR(L320="",M320=""),"",IF(OR(L320="未知",M320="未知"),"未知",IF(AND(L320="真",M320="真"),"TP",IF(AND(L320="真",M320="假"),"FP",IF(AND(L320="假",M320="真"),"FN","TN"))))))</f>
        <v/>
      </c>
      <c r="S320" s="3" t="n"/>
      <c r="T320" s="3" t="n"/>
      <c r="U320" s="3" t="n"/>
      <c r="V320" s="3" t="n"/>
    </row>
    <row r="321">
      <c r="A321" s="3" t="n"/>
      <c r="B321" s="3" t="n"/>
      <c r="C321" s="3" t="n"/>
      <c r="D321" s="4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5">
        <f>IF(Q321&lt;&gt;"是","排除",IF(OR(L321="",M321=""),"",IF(OR(L321="未知",M321="未知"),"未知",IF(AND(L321="真",M321="真"),"TP",IF(AND(L321="真",M321="假"),"FP",IF(AND(L321="假",M321="真"),"FN","TN"))))))</f>
        <v/>
      </c>
      <c r="S321" s="3" t="n"/>
      <c r="T321" s="3" t="n"/>
      <c r="U321" s="3" t="n"/>
      <c r="V321" s="3" t="n"/>
    </row>
    <row r="322">
      <c r="A322" s="3" t="n"/>
      <c r="B322" s="3" t="n"/>
      <c r="C322" s="3" t="n"/>
      <c r="D322" s="4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5">
        <f>IF(Q322&lt;&gt;"是","排除",IF(OR(L322="",M322=""),"",IF(OR(L322="未知",M322="未知"),"未知",IF(AND(L322="真",M322="真"),"TP",IF(AND(L322="真",M322="假"),"FP",IF(AND(L322="假",M322="真"),"FN","TN"))))))</f>
        <v/>
      </c>
      <c r="S322" s="3" t="n"/>
      <c r="T322" s="3" t="n"/>
      <c r="U322" s="3" t="n"/>
      <c r="V322" s="3" t="n"/>
    </row>
    <row r="323">
      <c r="A323" s="3" t="n"/>
      <c r="B323" s="3" t="n"/>
      <c r="C323" s="3" t="n"/>
      <c r="D323" s="4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5">
        <f>IF(Q323&lt;&gt;"是","排除",IF(OR(L323="",M323=""),"",IF(OR(L323="未知",M323="未知"),"未知",IF(AND(L323="真",M323="真"),"TP",IF(AND(L323="真",M323="假"),"FP",IF(AND(L323="假",M323="真"),"FN","TN"))))))</f>
        <v/>
      </c>
      <c r="S323" s="3" t="n"/>
      <c r="T323" s="3" t="n"/>
      <c r="U323" s="3" t="n"/>
      <c r="V323" s="3" t="n"/>
    </row>
    <row r="324">
      <c r="A324" s="3" t="n"/>
      <c r="B324" s="3" t="n"/>
      <c r="C324" s="3" t="n"/>
      <c r="D324" s="4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5">
        <f>IF(Q324&lt;&gt;"是","排除",IF(OR(L324="",M324=""),"",IF(OR(L324="未知",M324="未知"),"未知",IF(AND(L324="真",M324="真"),"TP",IF(AND(L324="真",M324="假"),"FP",IF(AND(L324="假",M324="真"),"FN","TN"))))))</f>
        <v/>
      </c>
      <c r="S324" s="3" t="n"/>
      <c r="T324" s="3" t="n"/>
      <c r="U324" s="3" t="n"/>
      <c r="V324" s="3" t="n"/>
    </row>
    <row r="325">
      <c r="A325" s="3" t="n"/>
      <c r="B325" s="3" t="n"/>
      <c r="C325" s="3" t="n"/>
      <c r="D325" s="4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5">
        <f>IF(Q325&lt;&gt;"是","排除",IF(OR(L325="",M325=""),"",IF(OR(L325="未知",M325="未知"),"未知",IF(AND(L325="真",M325="真"),"TP",IF(AND(L325="真",M325="假"),"FP",IF(AND(L325="假",M325="真"),"FN","TN"))))))</f>
        <v/>
      </c>
      <c r="S325" s="3" t="n"/>
      <c r="T325" s="3" t="n"/>
      <c r="U325" s="3" t="n"/>
      <c r="V325" s="3" t="n"/>
    </row>
    <row r="326">
      <c r="A326" s="3" t="n"/>
      <c r="B326" s="3" t="n"/>
      <c r="C326" s="3" t="n"/>
      <c r="D326" s="4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5">
        <f>IF(Q326&lt;&gt;"是","排除",IF(OR(L326="",M326=""),"",IF(OR(L326="未知",M326="未知"),"未知",IF(AND(L326="真",M326="真"),"TP",IF(AND(L326="真",M326="假"),"FP",IF(AND(L326="假",M326="真"),"FN","TN"))))))</f>
        <v/>
      </c>
      <c r="S326" s="3" t="n"/>
      <c r="T326" s="3" t="n"/>
      <c r="U326" s="3" t="n"/>
      <c r="V326" s="3" t="n"/>
    </row>
    <row r="327">
      <c r="A327" s="3" t="n"/>
      <c r="B327" s="3" t="n"/>
      <c r="C327" s="3" t="n"/>
      <c r="D327" s="4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5">
        <f>IF(Q327&lt;&gt;"是","排除",IF(OR(L327="",M327=""),"",IF(OR(L327="未知",M327="未知"),"未知",IF(AND(L327="真",M327="真"),"TP",IF(AND(L327="真",M327="假"),"FP",IF(AND(L327="假",M327="真"),"FN","TN"))))))</f>
        <v/>
      </c>
      <c r="S327" s="3" t="n"/>
      <c r="T327" s="3" t="n"/>
      <c r="U327" s="3" t="n"/>
      <c r="V327" s="3" t="n"/>
    </row>
    <row r="328">
      <c r="A328" s="3" t="n"/>
      <c r="B328" s="3" t="n"/>
      <c r="C328" s="3" t="n"/>
      <c r="D328" s="4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5">
        <f>IF(Q328&lt;&gt;"是","排除",IF(OR(L328="",M328=""),"",IF(OR(L328="未知",M328="未知"),"未知",IF(AND(L328="真",M328="真"),"TP",IF(AND(L328="真",M328="假"),"FP",IF(AND(L328="假",M328="真"),"FN","TN"))))))</f>
        <v/>
      </c>
      <c r="S328" s="3" t="n"/>
      <c r="T328" s="3" t="n"/>
      <c r="U328" s="3" t="n"/>
      <c r="V328" s="3" t="n"/>
    </row>
    <row r="329">
      <c r="A329" s="3" t="n"/>
      <c r="B329" s="3" t="n"/>
      <c r="C329" s="3" t="n"/>
      <c r="D329" s="4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5">
        <f>IF(Q329&lt;&gt;"是","排除",IF(OR(L329="",M329=""),"",IF(OR(L329="未知",M329="未知"),"未知",IF(AND(L329="真",M329="真"),"TP",IF(AND(L329="真",M329="假"),"FP",IF(AND(L329="假",M329="真"),"FN","TN"))))))</f>
        <v/>
      </c>
      <c r="S329" s="3" t="n"/>
      <c r="T329" s="3" t="n"/>
      <c r="U329" s="3" t="n"/>
      <c r="V329" s="3" t="n"/>
    </row>
    <row r="330">
      <c r="A330" s="3" t="n"/>
      <c r="B330" s="3" t="n"/>
      <c r="C330" s="3" t="n"/>
      <c r="D330" s="4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5">
        <f>IF(Q330&lt;&gt;"是","排除",IF(OR(L330="",M330=""),"",IF(OR(L330="未知",M330="未知"),"未知",IF(AND(L330="真",M330="真"),"TP",IF(AND(L330="真",M330="假"),"FP",IF(AND(L330="假",M330="真"),"FN","TN"))))))</f>
        <v/>
      </c>
      <c r="S330" s="3" t="n"/>
      <c r="T330" s="3" t="n"/>
      <c r="U330" s="3" t="n"/>
      <c r="V330" s="3" t="n"/>
    </row>
    <row r="331">
      <c r="A331" s="3" t="n"/>
      <c r="B331" s="3" t="n"/>
      <c r="C331" s="3" t="n"/>
      <c r="D331" s="4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5">
        <f>IF(Q331&lt;&gt;"是","排除",IF(OR(L331="",M331=""),"",IF(OR(L331="未知",M331="未知"),"未知",IF(AND(L331="真",M331="真"),"TP",IF(AND(L331="真",M331="假"),"FP",IF(AND(L331="假",M331="真"),"FN","TN"))))))</f>
        <v/>
      </c>
      <c r="S331" s="3" t="n"/>
      <c r="T331" s="3" t="n"/>
      <c r="U331" s="3" t="n"/>
      <c r="V331" s="3" t="n"/>
    </row>
    <row r="332">
      <c r="A332" s="3" t="n"/>
      <c r="B332" s="3" t="n"/>
      <c r="C332" s="3" t="n"/>
      <c r="D332" s="4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5">
        <f>IF(Q332&lt;&gt;"是","排除",IF(OR(L332="",M332=""),"",IF(OR(L332="未知",M332="未知"),"未知",IF(AND(L332="真",M332="真"),"TP",IF(AND(L332="真",M332="假"),"FP",IF(AND(L332="假",M332="真"),"FN","TN"))))))</f>
        <v/>
      </c>
      <c r="S332" s="3" t="n"/>
      <c r="T332" s="3" t="n"/>
      <c r="U332" s="3" t="n"/>
      <c r="V332" s="3" t="n"/>
    </row>
    <row r="333">
      <c r="A333" s="3" t="n"/>
      <c r="B333" s="3" t="n"/>
      <c r="C333" s="3" t="n"/>
      <c r="D333" s="4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5">
        <f>IF(Q333&lt;&gt;"是","排除",IF(OR(L333="",M333=""),"",IF(OR(L333="未知",M333="未知"),"未知",IF(AND(L333="真",M333="真"),"TP",IF(AND(L333="真",M333="假"),"FP",IF(AND(L333="假",M333="真"),"FN","TN"))))))</f>
        <v/>
      </c>
      <c r="S333" s="3" t="n"/>
      <c r="T333" s="3" t="n"/>
      <c r="U333" s="3" t="n"/>
      <c r="V333" s="3" t="n"/>
    </row>
    <row r="334">
      <c r="A334" s="3" t="n"/>
      <c r="B334" s="3" t="n"/>
      <c r="C334" s="3" t="n"/>
      <c r="D334" s="4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5">
        <f>IF(Q334&lt;&gt;"是","排除",IF(OR(L334="",M334=""),"",IF(OR(L334="未知",M334="未知"),"未知",IF(AND(L334="真",M334="真"),"TP",IF(AND(L334="真",M334="假"),"FP",IF(AND(L334="假",M334="真"),"FN","TN"))))))</f>
        <v/>
      </c>
      <c r="S334" s="3" t="n"/>
      <c r="T334" s="3" t="n"/>
      <c r="U334" s="3" t="n"/>
      <c r="V334" s="3" t="n"/>
    </row>
    <row r="335">
      <c r="A335" s="3" t="n"/>
      <c r="B335" s="3" t="n"/>
      <c r="C335" s="3" t="n"/>
      <c r="D335" s="4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5">
        <f>IF(Q335&lt;&gt;"是","排除",IF(OR(L335="",M335=""),"",IF(OR(L335="未知",M335="未知"),"未知",IF(AND(L335="真",M335="真"),"TP",IF(AND(L335="真",M335="假"),"FP",IF(AND(L335="假",M335="真"),"FN","TN"))))))</f>
        <v/>
      </c>
      <c r="S335" s="3" t="n"/>
      <c r="T335" s="3" t="n"/>
      <c r="U335" s="3" t="n"/>
      <c r="V335" s="3" t="n"/>
    </row>
    <row r="336">
      <c r="A336" s="3" t="n"/>
      <c r="B336" s="3" t="n"/>
      <c r="C336" s="3" t="n"/>
      <c r="D336" s="4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5">
        <f>IF(Q336&lt;&gt;"是","排除",IF(OR(L336="",M336=""),"",IF(OR(L336="未知",M336="未知"),"未知",IF(AND(L336="真",M336="真"),"TP",IF(AND(L336="真",M336="假"),"FP",IF(AND(L336="假",M336="真"),"FN","TN"))))))</f>
        <v/>
      </c>
      <c r="S336" s="3" t="n"/>
      <c r="T336" s="3" t="n"/>
      <c r="U336" s="3" t="n"/>
      <c r="V336" s="3" t="n"/>
    </row>
    <row r="337">
      <c r="A337" s="3" t="n"/>
      <c r="B337" s="3" t="n"/>
      <c r="C337" s="3" t="n"/>
      <c r="D337" s="4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5">
        <f>IF(Q337&lt;&gt;"是","排除",IF(OR(L337="",M337=""),"",IF(OR(L337="未知",M337="未知"),"未知",IF(AND(L337="真",M337="真"),"TP",IF(AND(L337="真",M337="假"),"FP",IF(AND(L337="假",M337="真"),"FN","TN"))))))</f>
        <v/>
      </c>
      <c r="S337" s="3" t="n"/>
      <c r="T337" s="3" t="n"/>
      <c r="U337" s="3" t="n"/>
      <c r="V337" s="3" t="n"/>
    </row>
    <row r="338">
      <c r="A338" s="3" t="n"/>
      <c r="B338" s="3" t="n"/>
      <c r="C338" s="3" t="n"/>
      <c r="D338" s="4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5">
        <f>IF(Q338&lt;&gt;"是","排除",IF(OR(L338="",M338=""),"",IF(OR(L338="未知",M338="未知"),"未知",IF(AND(L338="真",M338="真"),"TP",IF(AND(L338="真",M338="假"),"FP",IF(AND(L338="假",M338="真"),"FN","TN"))))))</f>
        <v/>
      </c>
      <c r="S338" s="3" t="n"/>
      <c r="T338" s="3" t="n"/>
      <c r="U338" s="3" t="n"/>
      <c r="V338" s="3" t="n"/>
    </row>
    <row r="339">
      <c r="A339" s="3" t="n"/>
      <c r="B339" s="3" t="n"/>
      <c r="C339" s="3" t="n"/>
      <c r="D339" s="4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5">
        <f>IF(Q339&lt;&gt;"是","排除",IF(OR(L339="",M339=""),"",IF(OR(L339="未知",M339="未知"),"未知",IF(AND(L339="真",M339="真"),"TP",IF(AND(L339="真",M339="假"),"FP",IF(AND(L339="假",M339="真"),"FN","TN"))))))</f>
        <v/>
      </c>
      <c r="S339" s="3" t="n"/>
      <c r="T339" s="3" t="n"/>
      <c r="U339" s="3" t="n"/>
      <c r="V339" s="3" t="n"/>
    </row>
    <row r="340">
      <c r="A340" s="3" t="n"/>
      <c r="B340" s="3" t="n"/>
      <c r="C340" s="3" t="n"/>
      <c r="D340" s="4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5">
        <f>IF(Q340&lt;&gt;"是","排除",IF(OR(L340="",M340=""),"",IF(OR(L340="未知",M340="未知"),"未知",IF(AND(L340="真",M340="真"),"TP",IF(AND(L340="真",M340="假"),"FP",IF(AND(L340="假",M340="真"),"FN","TN"))))))</f>
        <v/>
      </c>
      <c r="S340" s="3" t="n"/>
      <c r="T340" s="3" t="n"/>
      <c r="U340" s="3" t="n"/>
      <c r="V340" s="3" t="n"/>
    </row>
    <row r="341">
      <c r="A341" s="3" t="n"/>
      <c r="B341" s="3" t="n"/>
      <c r="C341" s="3" t="n"/>
      <c r="D341" s="4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5">
        <f>IF(Q341&lt;&gt;"是","排除",IF(OR(L341="",M341=""),"",IF(OR(L341="未知",M341="未知"),"未知",IF(AND(L341="真",M341="真"),"TP",IF(AND(L341="真",M341="假"),"FP",IF(AND(L341="假",M341="真"),"FN","TN"))))))</f>
        <v/>
      </c>
      <c r="S341" s="3" t="n"/>
      <c r="T341" s="3" t="n"/>
      <c r="U341" s="3" t="n"/>
      <c r="V341" s="3" t="n"/>
    </row>
    <row r="342">
      <c r="A342" s="3" t="n"/>
      <c r="B342" s="3" t="n"/>
      <c r="C342" s="3" t="n"/>
      <c r="D342" s="4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5">
        <f>IF(Q342&lt;&gt;"是","排除",IF(OR(L342="",M342=""),"",IF(OR(L342="未知",M342="未知"),"未知",IF(AND(L342="真",M342="真"),"TP",IF(AND(L342="真",M342="假"),"FP",IF(AND(L342="假",M342="真"),"FN","TN"))))))</f>
        <v/>
      </c>
      <c r="S342" s="3" t="n"/>
      <c r="T342" s="3" t="n"/>
      <c r="U342" s="3" t="n"/>
      <c r="V342" s="3" t="n"/>
    </row>
    <row r="343">
      <c r="A343" s="3" t="n"/>
      <c r="B343" s="3" t="n"/>
      <c r="C343" s="3" t="n"/>
      <c r="D343" s="4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5">
        <f>IF(Q343&lt;&gt;"是","排除",IF(OR(L343="",M343=""),"",IF(OR(L343="未知",M343="未知"),"未知",IF(AND(L343="真",M343="真"),"TP",IF(AND(L343="真",M343="假"),"FP",IF(AND(L343="假",M343="真"),"FN","TN"))))))</f>
        <v/>
      </c>
      <c r="S343" s="3" t="n"/>
      <c r="T343" s="3" t="n"/>
      <c r="U343" s="3" t="n"/>
      <c r="V343" s="3" t="n"/>
    </row>
    <row r="344">
      <c r="A344" s="3" t="n"/>
      <c r="B344" s="3" t="n"/>
      <c r="C344" s="3" t="n"/>
      <c r="D344" s="4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5">
        <f>IF(Q344&lt;&gt;"是","排除",IF(OR(L344="",M344=""),"",IF(OR(L344="未知",M344="未知"),"未知",IF(AND(L344="真",M344="真"),"TP",IF(AND(L344="真",M344="假"),"FP",IF(AND(L344="假",M344="真"),"FN","TN"))))))</f>
        <v/>
      </c>
      <c r="S344" s="3" t="n"/>
      <c r="T344" s="3" t="n"/>
      <c r="U344" s="3" t="n"/>
      <c r="V344" s="3" t="n"/>
    </row>
    <row r="345">
      <c r="A345" s="3" t="n"/>
      <c r="B345" s="3" t="n"/>
      <c r="C345" s="3" t="n"/>
      <c r="D345" s="4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5">
        <f>IF(Q345&lt;&gt;"是","排除",IF(OR(L345="",M345=""),"",IF(OR(L345="未知",M345="未知"),"未知",IF(AND(L345="真",M345="真"),"TP",IF(AND(L345="真",M345="假"),"FP",IF(AND(L345="假",M345="真"),"FN","TN"))))))</f>
        <v/>
      </c>
      <c r="S345" s="3" t="n"/>
      <c r="T345" s="3" t="n"/>
      <c r="U345" s="3" t="n"/>
      <c r="V345" s="3" t="n"/>
    </row>
    <row r="346">
      <c r="A346" s="3" t="n"/>
      <c r="B346" s="3" t="n"/>
      <c r="C346" s="3" t="n"/>
      <c r="D346" s="4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5">
        <f>IF(Q346&lt;&gt;"是","排除",IF(OR(L346="",M346=""),"",IF(OR(L346="未知",M346="未知"),"未知",IF(AND(L346="真",M346="真"),"TP",IF(AND(L346="真",M346="假"),"FP",IF(AND(L346="假",M346="真"),"FN","TN"))))))</f>
        <v/>
      </c>
      <c r="S346" s="3" t="n"/>
      <c r="T346" s="3" t="n"/>
      <c r="U346" s="3" t="n"/>
      <c r="V346" s="3" t="n"/>
    </row>
    <row r="347">
      <c r="A347" s="3" t="n"/>
      <c r="B347" s="3" t="n"/>
      <c r="C347" s="3" t="n"/>
      <c r="D347" s="4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5">
        <f>IF(Q347&lt;&gt;"是","排除",IF(OR(L347="",M347=""),"",IF(OR(L347="未知",M347="未知"),"未知",IF(AND(L347="真",M347="真"),"TP",IF(AND(L347="真",M347="假"),"FP",IF(AND(L347="假",M347="真"),"FN","TN"))))))</f>
        <v/>
      </c>
      <c r="S347" s="3" t="n"/>
      <c r="T347" s="3" t="n"/>
      <c r="U347" s="3" t="n"/>
      <c r="V347" s="3" t="n"/>
    </row>
    <row r="348">
      <c r="A348" s="3" t="n"/>
      <c r="B348" s="3" t="n"/>
      <c r="C348" s="3" t="n"/>
      <c r="D348" s="4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5">
        <f>IF(Q348&lt;&gt;"是","排除",IF(OR(L348="",M348=""),"",IF(OR(L348="未知",M348="未知"),"未知",IF(AND(L348="真",M348="真"),"TP",IF(AND(L348="真",M348="假"),"FP",IF(AND(L348="假",M348="真"),"FN","TN"))))))</f>
        <v/>
      </c>
      <c r="S348" s="3" t="n"/>
      <c r="T348" s="3" t="n"/>
      <c r="U348" s="3" t="n"/>
      <c r="V348" s="3" t="n"/>
    </row>
    <row r="349">
      <c r="A349" s="3" t="n"/>
      <c r="B349" s="3" t="n"/>
      <c r="C349" s="3" t="n"/>
      <c r="D349" s="4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5">
        <f>IF(Q349&lt;&gt;"是","排除",IF(OR(L349="",M349=""),"",IF(OR(L349="未知",M349="未知"),"未知",IF(AND(L349="真",M349="真"),"TP",IF(AND(L349="真",M349="假"),"FP",IF(AND(L349="假",M349="真"),"FN","TN"))))))</f>
        <v/>
      </c>
      <c r="S349" s="3" t="n"/>
      <c r="T349" s="3" t="n"/>
      <c r="U349" s="3" t="n"/>
      <c r="V349" s="3" t="n"/>
    </row>
    <row r="350">
      <c r="A350" s="3" t="n"/>
      <c r="B350" s="3" t="n"/>
      <c r="C350" s="3" t="n"/>
      <c r="D350" s="4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5">
        <f>IF(Q350&lt;&gt;"是","排除",IF(OR(L350="",M350=""),"",IF(OR(L350="未知",M350="未知"),"未知",IF(AND(L350="真",M350="真"),"TP",IF(AND(L350="真",M350="假"),"FP",IF(AND(L350="假",M350="真"),"FN","TN"))))))</f>
        <v/>
      </c>
      <c r="S350" s="3" t="n"/>
      <c r="T350" s="3" t="n"/>
      <c r="U350" s="3" t="n"/>
      <c r="V350" s="3" t="n"/>
    </row>
    <row r="351">
      <c r="A351" s="3" t="n"/>
      <c r="B351" s="3" t="n"/>
      <c r="C351" s="3" t="n"/>
      <c r="D351" s="4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5">
        <f>IF(Q351&lt;&gt;"是","排除",IF(OR(L351="",M351=""),"",IF(OR(L351="未知",M351="未知"),"未知",IF(AND(L351="真",M351="真"),"TP",IF(AND(L351="真",M351="假"),"FP",IF(AND(L351="假",M351="真"),"FN","TN"))))))</f>
        <v/>
      </c>
      <c r="S351" s="3" t="n"/>
      <c r="T351" s="3" t="n"/>
      <c r="U351" s="3" t="n"/>
      <c r="V351" s="3" t="n"/>
    </row>
    <row r="352">
      <c r="A352" s="3" t="n"/>
      <c r="B352" s="3" t="n"/>
      <c r="C352" s="3" t="n"/>
      <c r="D352" s="4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5">
        <f>IF(Q352&lt;&gt;"是","排除",IF(OR(L352="",M352=""),"",IF(OR(L352="未知",M352="未知"),"未知",IF(AND(L352="真",M352="真"),"TP",IF(AND(L352="真",M352="假"),"FP",IF(AND(L352="假",M352="真"),"FN","TN"))))))</f>
        <v/>
      </c>
      <c r="S352" s="3" t="n"/>
      <c r="T352" s="3" t="n"/>
      <c r="U352" s="3" t="n"/>
      <c r="V352" s="3" t="n"/>
    </row>
    <row r="353">
      <c r="A353" s="3" t="n"/>
      <c r="B353" s="3" t="n"/>
      <c r="C353" s="3" t="n"/>
      <c r="D353" s="4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5">
        <f>IF(Q353&lt;&gt;"是","排除",IF(OR(L353="",M353=""),"",IF(OR(L353="未知",M353="未知"),"未知",IF(AND(L353="真",M353="真"),"TP",IF(AND(L353="真",M353="假"),"FP",IF(AND(L353="假",M353="真"),"FN","TN"))))))</f>
        <v/>
      </c>
      <c r="S353" s="3" t="n"/>
      <c r="T353" s="3" t="n"/>
      <c r="U353" s="3" t="n"/>
      <c r="V353" s="3" t="n"/>
    </row>
    <row r="354">
      <c r="A354" s="3" t="n"/>
      <c r="B354" s="3" t="n"/>
      <c r="C354" s="3" t="n"/>
      <c r="D354" s="4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5">
        <f>IF(Q354&lt;&gt;"是","排除",IF(OR(L354="",M354=""),"",IF(OR(L354="未知",M354="未知"),"未知",IF(AND(L354="真",M354="真"),"TP",IF(AND(L354="真",M354="假"),"FP",IF(AND(L354="假",M354="真"),"FN","TN"))))))</f>
        <v/>
      </c>
      <c r="S354" s="3" t="n"/>
      <c r="T354" s="3" t="n"/>
      <c r="U354" s="3" t="n"/>
      <c r="V354" s="3" t="n"/>
    </row>
    <row r="355">
      <c r="A355" s="3" t="n"/>
      <c r="B355" s="3" t="n"/>
      <c r="C355" s="3" t="n"/>
      <c r="D355" s="4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5">
        <f>IF(Q355&lt;&gt;"是","排除",IF(OR(L355="",M355=""),"",IF(OR(L355="未知",M355="未知"),"未知",IF(AND(L355="真",M355="真"),"TP",IF(AND(L355="真",M355="假"),"FP",IF(AND(L355="假",M355="真"),"FN","TN"))))))</f>
        <v/>
      </c>
      <c r="S355" s="3" t="n"/>
      <c r="T355" s="3" t="n"/>
      <c r="U355" s="3" t="n"/>
      <c r="V355" s="3" t="n"/>
    </row>
    <row r="356">
      <c r="A356" s="3" t="n"/>
      <c r="B356" s="3" t="n"/>
      <c r="C356" s="3" t="n"/>
      <c r="D356" s="4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5">
        <f>IF(Q356&lt;&gt;"是","排除",IF(OR(L356="",M356=""),"",IF(OR(L356="未知",M356="未知"),"未知",IF(AND(L356="真",M356="真"),"TP",IF(AND(L356="真",M356="假"),"FP",IF(AND(L356="假",M356="真"),"FN","TN"))))))</f>
        <v/>
      </c>
      <c r="S356" s="3" t="n"/>
      <c r="T356" s="3" t="n"/>
      <c r="U356" s="3" t="n"/>
      <c r="V356" s="3" t="n"/>
    </row>
    <row r="357">
      <c r="A357" s="3" t="n"/>
      <c r="B357" s="3" t="n"/>
      <c r="C357" s="3" t="n"/>
      <c r="D357" s="4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5">
        <f>IF(Q357&lt;&gt;"是","排除",IF(OR(L357="",M357=""),"",IF(OR(L357="未知",M357="未知"),"未知",IF(AND(L357="真",M357="真"),"TP",IF(AND(L357="真",M357="假"),"FP",IF(AND(L357="假",M357="真"),"FN","TN"))))))</f>
        <v/>
      </c>
      <c r="S357" s="3" t="n"/>
      <c r="T357" s="3" t="n"/>
      <c r="U357" s="3" t="n"/>
      <c r="V357" s="3" t="n"/>
    </row>
    <row r="358">
      <c r="A358" s="3" t="n"/>
      <c r="B358" s="3" t="n"/>
      <c r="C358" s="3" t="n"/>
      <c r="D358" s="4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5">
        <f>IF(Q358&lt;&gt;"是","排除",IF(OR(L358="",M358=""),"",IF(OR(L358="未知",M358="未知"),"未知",IF(AND(L358="真",M358="真"),"TP",IF(AND(L358="真",M358="假"),"FP",IF(AND(L358="假",M358="真"),"FN","TN"))))))</f>
        <v/>
      </c>
      <c r="S358" s="3" t="n"/>
      <c r="T358" s="3" t="n"/>
      <c r="U358" s="3" t="n"/>
      <c r="V358" s="3" t="n"/>
    </row>
    <row r="359">
      <c r="A359" s="3" t="n"/>
      <c r="B359" s="3" t="n"/>
      <c r="C359" s="3" t="n"/>
      <c r="D359" s="4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5">
        <f>IF(Q359&lt;&gt;"是","排除",IF(OR(L359="",M359=""),"",IF(OR(L359="未知",M359="未知"),"未知",IF(AND(L359="真",M359="真"),"TP",IF(AND(L359="真",M359="假"),"FP",IF(AND(L359="假",M359="真"),"FN","TN"))))))</f>
        <v/>
      </c>
      <c r="S359" s="3" t="n"/>
      <c r="T359" s="3" t="n"/>
      <c r="U359" s="3" t="n"/>
      <c r="V359" s="3" t="n"/>
    </row>
    <row r="360">
      <c r="A360" s="3" t="n"/>
      <c r="B360" s="3" t="n"/>
      <c r="C360" s="3" t="n"/>
      <c r="D360" s="4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5">
        <f>IF(Q360&lt;&gt;"是","排除",IF(OR(L360="",M360=""),"",IF(OR(L360="未知",M360="未知"),"未知",IF(AND(L360="真",M360="真"),"TP",IF(AND(L360="真",M360="假"),"FP",IF(AND(L360="假",M360="真"),"FN","TN"))))))</f>
        <v/>
      </c>
      <c r="S360" s="3" t="n"/>
      <c r="T360" s="3" t="n"/>
      <c r="U360" s="3" t="n"/>
      <c r="V360" s="3" t="n"/>
    </row>
    <row r="361">
      <c r="A361" s="3" t="n"/>
      <c r="B361" s="3" t="n"/>
      <c r="C361" s="3" t="n"/>
      <c r="D361" s="4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5">
        <f>IF(Q361&lt;&gt;"是","排除",IF(OR(L361="",M361=""),"",IF(OR(L361="未知",M361="未知"),"未知",IF(AND(L361="真",M361="真"),"TP",IF(AND(L361="真",M361="假"),"FP",IF(AND(L361="假",M361="真"),"FN","TN"))))))</f>
        <v/>
      </c>
      <c r="S361" s="3" t="n"/>
      <c r="T361" s="3" t="n"/>
      <c r="U361" s="3" t="n"/>
      <c r="V361" s="3" t="n"/>
    </row>
    <row r="362">
      <c r="A362" s="3" t="n"/>
      <c r="B362" s="3" t="n"/>
      <c r="C362" s="3" t="n"/>
      <c r="D362" s="4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5">
        <f>IF(Q362&lt;&gt;"是","排除",IF(OR(L362="",M362=""),"",IF(OR(L362="未知",M362="未知"),"未知",IF(AND(L362="真",M362="真"),"TP",IF(AND(L362="真",M362="假"),"FP",IF(AND(L362="假",M362="真"),"FN","TN"))))))</f>
        <v/>
      </c>
      <c r="S362" s="3" t="n"/>
      <c r="T362" s="3" t="n"/>
      <c r="U362" s="3" t="n"/>
      <c r="V362" s="3" t="n"/>
    </row>
    <row r="363">
      <c r="A363" s="3" t="n"/>
      <c r="B363" s="3" t="n"/>
      <c r="C363" s="3" t="n"/>
      <c r="D363" s="4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5">
        <f>IF(Q363&lt;&gt;"是","排除",IF(OR(L363="",M363=""),"",IF(OR(L363="未知",M363="未知"),"未知",IF(AND(L363="真",M363="真"),"TP",IF(AND(L363="真",M363="假"),"FP",IF(AND(L363="假",M363="真"),"FN","TN"))))))</f>
        <v/>
      </c>
      <c r="S363" s="3" t="n"/>
      <c r="T363" s="3" t="n"/>
      <c r="U363" s="3" t="n"/>
      <c r="V363" s="3" t="n"/>
    </row>
    <row r="364">
      <c r="A364" s="3" t="n"/>
      <c r="B364" s="3" t="n"/>
      <c r="C364" s="3" t="n"/>
      <c r="D364" s="4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5">
        <f>IF(Q364&lt;&gt;"是","排除",IF(OR(L364="",M364=""),"",IF(OR(L364="未知",M364="未知"),"未知",IF(AND(L364="真",M364="真"),"TP",IF(AND(L364="真",M364="假"),"FP",IF(AND(L364="假",M364="真"),"FN","TN"))))))</f>
        <v/>
      </c>
      <c r="S364" s="3" t="n"/>
      <c r="T364" s="3" t="n"/>
      <c r="U364" s="3" t="n"/>
      <c r="V364" s="3" t="n"/>
    </row>
    <row r="365">
      <c r="A365" s="3" t="n"/>
      <c r="B365" s="3" t="n"/>
      <c r="C365" s="3" t="n"/>
      <c r="D365" s="4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5">
        <f>IF(Q365&lt;&gt;"是","排除",IF(OR(L365="",M365=""),"",IF(OR(L365="未知",M365="未知"),"未知",IF(AND(L365="真",M365="真"),"TP",IF(AND(L365="真",M365="假"),"FP",IF(AND(L365="假",M365="真"),"FN","TN"))))))</f>
        <v/>
      </c>
      <c r="S365" s="3" t="n"/>
      <c r="T365" s="3" t="n"/>
      <c r="U365" s="3" t="n"/>
      <c r="V365" s="3" t="n"/>
    </row>
    <row r="366">
      <c r="A366" s="3" t="n"/>
      <c r="B366" s="3" t="n"/>
      <c r="C366" s="3" t="n"/>
      <c r="D366" s="4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5">
        <f>IF(Q366&lt;&gt;"是","排除",IF(OR(L366="",M366=""),"",IF(OR(L366="未知",M366="未知"),"未知",IF(AND(L366="真",M366="真"),"TP",IF(AND(L366="真",M366="假"),"FP",IF(AND(L366="假",M366="真"),"FN","TN"))))))</f>
        <v/>
      </c>
      <c r="S366" s="3" t="n"/>
      <c r="T366" s="3" t="n"/>
      <c r="U366" s="3" t="n"/>
      <c r="V366" s="3" t="n"/>
    </row>
    <row r="367">
      <c r="A367" s="3" t="n"/>
      <c r="B367" s="3" t="n"/>
      <c r="C367" s="3" t="n"/>
      <c r="D367" s="4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5">
        <f>IF(Q367&lt;&gt;"是","排除",IF(OR(L367="",M367=""),"",IF(OR(L367="未知",M367="未知"),"未知",IF(AND(L367="真",M367="真"),"TP",IF(AND(L367="真",M367="假"),"FP",IF(AND(L367="假",M367="真"),"FN","TN"))))))</f>
        <v/>
      </c>
      <c r="S367" s="3" t="n"/>
      <c r="T367" s="3" t="n"/>
      <c r="U367" s="3" t="n"/>
      <c r="V367" s="3" t="n"/>
    </row>
    <row r="368">
      <c r="A368" s="3" t="n"/>
      <c r="B368" s="3" t="n"/>
      <c r="C368" s="3" t="n"/>
      <c r="D368" s="4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5">
        <f>IF(Q368&lt;&gt;"是","排除",IF(OR(L368="",M368=""),"",IF(OR(L368="未知",M368="未知"),"未知",IF(AND(L368="真",M368="真"),"TP",IF(AND(L368="真",M368="假"),"FP",IF(AND(L368="假",M368="真"),"FN","TN"))))))</f>
        <v/>
      </c>
      <c r="S368" s="3" t="n"/>
      <c r="T368" s="3" t="n"/>
      <c r="U368" s="3" t="n"/>
      <c r="V368" s="3" t="n"/>
    </row>
    <row r="369">
      <c r="A369" s="3" t="n"/>
      <c r="B369" s="3" t="n"/>
      <c r="C369" s="3" t="n"/>
      <c r="D369" s="4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5">
        <f>IF(Q369&lt;&gt;"是","排除",IF(OR(L369="",M369=""),"",IF(OR(L369="未知",M369="未知"),"未知",IF(AND(L369="真",M369="真"),"TP",IF(AND(L369="真",M369="假"),"FP",IF(AND(L369="假",M369="真"),"FN","TN"))))))</f>
        <v/>
      </c>
      <c r="S369" s="3" t="n"/>
      <c r="T369" s="3" t="n"/>
      <c r="U369" s="3" t="n"/>
      <c r="V369" s="3" t="n"/>
    </row>
    <row r="370">
      <c r="A370" s="3" t="n"/>
      <c r="B370" s="3" t="n"/>
      <c r="C370" s="3" t="n"/>
      <c r="D370" s="4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5">
        <f>IF(Q370&lt;&gt;"是","排除",IF(OR(L370="",M370=""),"",IF(OR(L370="未知",M370="未知"),"未知",IF(AND(L370="真",M370="真"),"TP",IF(AND(L370="真",M370="假"),"FP",IF(AND(L370="假",M370="真"),"FN","TN"))))))</f>
        <v/>
      </c>
      <c r="S370" s="3" t="n"/>
      <c r="T370" s="3" t="n"/>
      <c r="U370" s="3" t="n"/>
      <c r="V370" s="3" t="n"/>
    </row>
    <row r="371">
      <c r="A371" s="3" t="n"/>
      <c r="B371" s="3" t="n"/>
      <c r="C371" s="3" t="n"/>
      <c r="D371" s="4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5">
        <f>IF(Q371&lt;&gt;"是","排除",IF(OR(L371="",M371=""),"",IF(OR(L371="未知",M371="未知"),"未知",IF(AND(L371="真",M371="真"),"TP",IF(AND(L371="真",M371="假"),"FP",IF(AND(L371="假",M371="真"),"FN","TN"))))))</f>
        <v/>
      </c>
      <c r="S371" s="3" t="n"/>
      <c r="T371" s="3" t="n"/>
      <c r="U371" s="3" t="n"/>
      <c r="V371" s="3" t="n"/>
    </row>
    <row r="372">
      <c r="A372" s="3" t="n"/>
      <c r="B372" s="3" t="n"/>
      <c r="C372" s="3" t="n"/>
      <c r="D372" s="4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5">
        <f>IF(Q372&lt;&gt;"是","排除",IF(OR(L372="",M372=""),"",IF(OR(L372="未知",M372="未知"),"未知",IF(AND(L372="真",M372="真"),"TP",IF(AND(L372="真",M372="假"),"FP",IF(AND(L372="假",M372="真"),"FN","TN"))))))</f>
        <v/>
      </c>
      <c r="S372" s="3" t="n"/>
      <c r="T372" s="3" t="n"/>
      <c r="U372" s="3" t="n"/>
      <c r="V372" s="3" t="n"/>
    </row>
    <row r="373">
      <c r="A373" s="3" t="n"/>
      <c r="B373" s="3" t="n"/>
      <c r="C373" s="3" t="n"/>
      <c r="D373" s="4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5">
        <f>IF(Q373&lt;&gt;"是","排除",IF(OR(L373="",M373=""),"",IF(OR(L373="未知",M373="未知"),"未知",IF(AND(L373="真",M373="真"),"TP",IF(AND(L373="真",M373="假"),"FP",IF(AND(L373="假",M373="真"),"FN","TN"))))))</f>
        <v/>
      </c>
      <c r="S373" s="3" t="n"/>
      <c r="T373" s="3" t="n"/>
      <c r="U373" s="3" t="n"/>
      <c r="V373" s="3" t="n"/>
    </row>
    <row r="374">
      <c r="A374" s="3" t="n"/>
      <c r="B374" s="3" t="n"/>
      <c r="C374" s="3" t="n"/>
      <c r="D374" s="4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5">
        <f>IF(Q374&lt;&gt;"是","排除",IF(OR(L374="",M374=""),"",IF(OR(L374="未知",M374="未知"),"未知",IF(AND(L374="真",M374="真"),"TP",IF(AND(L374="真",M374="假"),"FP",IF(AND(L374="假",M374="真"),"FN","TN"))))))</f>
        <v/>
      </c>
      <c r="S374" s="3" t="n"/>
      <c r="T374" s="3" t="n"/>
      <c r="U374" s="3" t="n"/>
      <c r="V374" s="3" t="n"/>
    </row>
    <row r="375">
      <c r="A375" s="3" t="n"/>
      <c r="B375" s="3" t="n"/>
      <c r="C375" s="3" t="n"/>
      <c r="D375" s="4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5">
        <f>IF(Q375&lt;&gt;"是","排除",IF(OR(L375="",M375=""),"",IF(OR(L375="未知",M375="未知"),"未知",IF(AND(L375="真",M375="真"),"TP",IF(AND(L375="真",M375="假"),"FP",IF(AND(L375="假",M375="真"),"FN","TN"))))))</f>
        <v/>
      </c>
      <c r="S375" s="3" t="n"/>
      <c r="T375" s="3" t="n"/>
      <c r="U375" s="3" t="n"/>
      <c r="V375" s="3" t="n"/>
    </row>
    <row r="376">
      <c r="A376" s="3" t="n"/>
      <c r="B376" s="3" t="n"/>
      <c r="C376" s="3" t="n"/>
      <c r="D376" s="4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5">
        <f>IF(Q376&lt;&gt;"是","排除",IF(OR(L376="",M376=""),"",IF(OR(L376="未知",M376="未知"),"未知",IF(AND(L376="真",M376="真"),"TP",IF(AND(L376="真",M376="假"),"FP",IF(AND(L376="假",M376="真"),"FN","TN"))))))</f>
        <v/>
      </c>
      <c r="S376" s="3" t="n"/>
      <c r="T376" s="3" t="n"/>
      <c r="U376" s="3" t="n"/>
      <c r="V376" s="3" t="n"/>
    </row>
    <row r="377">
      <c r="A377" s="3" t="n"/>
      <c r="B377" s="3" t="n"/>
      <c r="C377" s="3" t="n"/>
      <c r="D377" s="4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5">
        <f>IF(Q377&lt;&gt;"是","排除",IF(OR(L377="",M377=""),"",IF(OR(L377="未知",M377="未知"),"未知",IF(AND(L377="真",M377="真"),"TP",IF(AND(L377="真",M377="假"),"FP",IF(AND(L377="假",M377="真"),"FN","TN"))))))</f>
        <v/>
      </c>
      <c r="S377" s="3" t="n"/>
      <c r="T377" s="3" t="n"/>
      <c r="U377" s="3" t="n"/>
      <c r="V377" s="3" t="n"/>
    </row>
    <row r="378">
      <c r="A378" s="3" t="n"/>
      <c r="B378" s="3" t="n"/>
      <c r="C378" s="3" t="n"/>
      <c r="D378" s="4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5">
        <f>IF(Q378&lt;&gt;"是","排除",IF(OR(L378="",M378=""),"",IF(OR(L378="未知",M378="未知"),"未知",IF(AND(L378="真",M378="真"),"TP",IF(AND(L378="真",M378="假"),"FP",IF(AND(L378="假",M378="真"),"FN","TN"))))))</f>
        <v/>
      </c>
      <c r="S378" s="3" t="n"/>
      <c r="T378" s="3" t="n"/>
      <c r="U378" s="3" t="n"/>
      <c r="V378" s="3" t="n"/>
    </row>
    <row r="379">
      <c r="A379" s="3" t="n"/>
      <c r="B379" s="3" t="n"/>
      <c r="C379" s="3" t="n"/>
      <c r="D379" s="4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5">
        <f>IF(Q379&lt;&gt;"是","排除",IF(OR(L379="",M379=""),"",IF(OR(L379="未知",M379="未知"),"未知",IF(AND(L379="真",M379="真"),"TP",IF(AND(L379="真",M379="假"),"FP",IF(AND(L379="假",M379="真"),"FN","TN"))))))</f>
        <v/>
      </c>
      <c r="S379" s="3" t="n"/>
      <c r="T379" s="3" t="n"/>
      <c r="U379" s="3" t="n"/>
      <c r="V379" s="3" t="n"/>
    </row>
    <row r="380">
      <c r="A380" s="3" t="n"/>
      <c r="B380" s="3" t="n"/>
      <c r="C380" s="3" t="n"/>
      <c r="D380" s="4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5">
        <f>IF(Q380&lt;&gt;"是","排除",IF(OR(L380="",M380=""),"",IF(OR(L380="未知",M380="未知"),"未知",IF(AND(L380="真",M380="真"),"TP",IF(AND(L380="真",M380="假"),"FP",IF(AND(L380="假",M380="真"),"FN","TN"))))))</f>
        <v/>
      </c>
      <c r="S380" s="3" t="n"/>
      <c r="T380" s="3" t="n"/>
      <c r="U380" s="3" t="n"/>
      <c r="V380" s="3" t="n"/>
    </row>
    <row r="381">
      <c r="A381" s="3" t="n"/>
      <c r="B381" s="3" t="n"/>
      <c r="C381" s="3" t="n"/>
      <c r="D381" s="4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5">
        <f>IF(Q381&lt;&gt;"是","排除",IF(OR(L381="",M381=""),"",IF(OR(L381="未知",M381="未知"),"未知",IF(AND(L381="真",M381="真"),"TP",IF(AND(L381="真",M381="假"),"FP",IF(AND(L381="假",M381="真"),"FN","TN"))))))</f>
        <v/>
      </c>
      <c r="S381" s="3" t="n"/>
      <c r="T381" s="3" t="n"/>
      <c r="U381" s="3" t="n"/>
      <c r="V381" s="3" t="n"/>
    </row>
    <row r="382">
      <c r="A382" s="3" t="n"/>
      <c r="B382" s="3" t="n"/>
      <c r="C382" s="3" t="n"/>
      <c r="D382" s="4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5">
        <f>IF(Q382&lt;&gt;"是","排除",IF(OR(L382="",M382=""),"",IF(OR(L382="未知",M382="未知"),"未知",IF(AND(L382="真",M382="真"),"TP",IF(AND(L382="真",M382="假"),"FP",IF(AND(L382="假",M382="真"),"FN","TN"))))))</f>
        <v/>
      </c>
      <c r="S382" s="3" t="n"/>
      <c r="T382" s="3" t="n"/>
      <c r="U382" s="3" t="n"/>
      <c r="V382" s="3" t="n"/>
    </row>
    <row r="383">
      <c r="A383" s="3" t="n"/>
      <c r="B383" s="3" t="n"/>
      <c r="C383" s="3" t="n"/>
      <c r="D383" s="4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5">
        <f>IF(Q383&lt;&gt;"是","排除",IF(OR(L383="",M383=""),"",IF(OR(L383="未知",M383="未知"),"未知",IF(AND(L383="真",M383="真"),"TP",IF(AND(L383="真",M383="假"),"FP",IF(AND(L383="假",M383="真"),"FN","TN"))))))</f>
        <v/>
      </c>
      <c r="S383" s="3" t="n"/>
      <c r="T383" s="3" t="n"/>
      <c r="U383" s="3" t="n"/>
      <c r="V383" s="3" t="n"/>
    </row>
    <row r="384">
      <c r="A384" s="3" t="n"/>
      <c r="B384" s="3" t="n"/>
      <c r="C384" s="3" t="n"/>
      <c r="D384" s="4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5">
        <f>IF(Q384&lt;&gt;"是","排除",IF(OR(L384="",M384=""),"",IF(OR(L384="未知",M384="未知"),"未知",IF(AND(L384="真",M384="真"),"TP",IF(AND(L384="真",M384="假"),"FP",IF(AND(L384="假",M384="真"),"FN","TN"))))))</f>
        <v/>
      </c>
      <c r="S384" s="3" t="n"/>
      <c r="T384" s="3" t="n"/>
      <c r="U384" s="3" t="n"/>
      <c r="V384" s="3" t="n"/>
    </row>
    <row r="385">
      <c r="A385" s="3" t="n"/>
      <c r="B385" s="3" t="n"/>
      <c r="C385" s="3" t="n"/>
      <c r="D385" s="4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5">
        <f>IF(Q385&lt;&gt;"是","排除",IF(OR(L385="",M385=""),"",IF(OR(L385="未知",M385="未知"),"未知",IF(AND(L385="真",M385="真"),"TP",IF(AND(L385="真",M385="假"),"FP",IF(AND(L385="假",M385="真"),"FN","TN"))))))</f>
        <v/>
      </c>
      <c r="S385" s="3" t="n"/>
      <c r="T385" s="3" t="n"/>
      <c r="U385" s="3" t="n"/>
      <c r="V385" s="3" t="n"/>
    </row>
    <row r="386">
      <c r="A386" s="3" t="n"/>
      <c r="B386" s="3" t="n"/>
      <c r="C386" s="3" t="n"/>
      <c r="D386" s="4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5">
        <f>IF(Q386&lt;&gt;"是","排除",IF(OR(L386="",M386=""),"",IF(OR(L386="未知",M386="未知"),"未知",IF(AND(L386="真",M386="真"),"TP",IF(AND(L386="真",M386="假"),"FP",IF(AND(L386="假",M386="真"),"FN","TN"))))))</f>
        <v/>
      </c>
      <c r="S386" s="3" t="n"/>
      <c r="T386" s="3" t="n"/>
      <c r="U386" s="3" t="n"/>
      <c r="V386" s="3" t="n"/>
    </row>
    <row r="387">
      <c r="A387" s="3" t="n"/>
      <c r="B387" s="3" t="n"/>
      <c r="C387" s="3" t="n"/>
      <c r="D387" s="4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5">
        <f>IF(Q387&lt;&gt;"是","排除",IF(OR(L387="",M387=""),"",IF(OR(L387="未知",M387="未知"),"未知",IF(AND(L387="真",M387="真"),"TP",IF(AND(L387="真",M387="假"),"FP",IF(AND(L387="假",M387="真"),"FN","TN"))))))</f>
        <v/>
      </c>
      <c r="S387" s="3" t="n"/>
      <c r="T387" s="3" t="n"/>
      <c r="U387" s="3" t="n"/>
      <c r="V387" s="3" t="n"/>
    </row>
    <row r="388">
      <c r="A388" s="3" t="n"/>
      <c r="B388" s="3" t="n"/>
      <c r="C388" s="3" t="n"/>
      <c r="D388" s="4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5">
        <f>IF(Q388&lt;&gt;"是","排除",IF(OR(L388="",M388=""),"",IF(OR(L388="未知",M388="未知"),"未知",IF(AND(L388="真",M388="真"),"TP",IF(AND(L388="真",M388="假"),"FP",IF(AND(L388="假",M388="真"),"FN","TN"))))))</f>
        <v/>
      </c>
      <c r="S388" s="3" t="n"/>
      <c r="T388" s="3" t="n"/>
      <c r="U388" s="3" t="n"/>
      <c r="V388" s="3" t="n"/>
    </row>
    <row r="389">
      <c r="A389" s="3" t="n"/>
      <c r="B389" s="3" t="n"/>
      <c r="C389" s="3" t="n"/>
      <c r="D389" s="4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5">
        <f>IF(Q389&lt;&gt;"是","排除",IF(OR(L389="",M389=""),"",IF(OR(L389="未知",M389="未知"),"未知",IF(AND(L389="真",M389="真"),"TP",IF(AND(L389="真",M389="假"),"FP",IF(AND(L389="假",M389="真"),"FN","TN"))))))</f>
        <v/>
      </c>
      <c r="S389" s="3" t="n"/>
      <c r="T389" s="3" t="n"/>
      <c r="U389" s="3" t="n"/>
      <c r="V389" s="3" t="n"/>
    </row>
    <row r="390">
      <c r="A390" s="3" t="n"/>
      <c r="B390" s="3" t="n"/>
      <c r="C390" s="3" t="n"/>
      <c r="D390" s="4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5">
        <f>IF(Q390&lt;&gt;"是","排除",IF(OR(L390="",M390=""),"",IF(OR(L390="未知",M390="未知"),"未知",IF(AND(L390="真",M390="真"),"TP",IF(AND(L390="真",M390="假"),"FP",IF(AND(L390="假",M390="真"),"FN","TN"))))))</f>
        <v/>
      </c>
      <c r="S390" s="3" t="n"/>
      <c r="T390" s="3" t="n"/>
      <c r="U390" s="3" t="n"/>
      <c r="V390" s="3" t="n"/>
    </row>
    <row r="391">
      <c r="A391" s="3" t="n"/>
      <c r="B391" s="3" t="n"/>
      <c r="C391" s="3" t="n"/>
      <c r="D391" s="4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5">
        <f>IF(Q391&lt;&gt;"是","排除",IF(OR(L391="",M391=""),"",IF(OR(L391="未知",M391="未知"),"未知",IF(AND(L391="真",M391="真"),"TP",IF(AND(L391="真",M391="假"),"FP",IF(AND(L391="假",M391="真"),"FN","TN"))))))</f>
        <v/>
      </c>
      <c r="S391" s="3" t="n"/>
      <c r="T391" s="3" t="n"/>
      <c r="U391" s="3" t="n"/>
      <c r="V391" s="3" t="n"/>
    </row>
    <row r="392">
      <c r="A392" s="3" t="n"/>
      <c r="B392" s="3" t="n"/>
      <c r="C392" s="3" t="n"/>
      <c r="D392" s="4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5">
        <f>IF(Q392&lt;&gt;"是","排除",IF(OR(L392="",M392=""),"",IF(OR(L392="未知",M392="未知"),"未知",IF(AND(L392="真",M392="真"),"TP",IF(AND(L392="真",M392="假"),"FP",IF(AND(L392="假",M392="真"),"FN","TN"))))))</f>
        <v/>
      </c>
      <c r="S392" s="3" t="n"/>
      <c r="T392" s="3" t="n"/>
      <c r="U392" s="3" t="n"/>
      <c r="V392" s="3" t="n"/>
    </row>
    <row r="393">
      <c r="A393" s="3" t="n"/>
      <c r="B393" s="3" t="n"/>
      <c r="C393" s="3" t="n"/>
      <c r="D393" s="4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5">
        <f>IF(Q393&lt;&gt;"是","排除",IF(OR(L393="",M393=""),"",IF(OR(L393="未知",M393="未知"),"未知",IF(AND(L393="真",M393="真"),"TP",IF(AND(L393="真",M393="假"),"FP",IF(AND(L393="假",M393="真"),"FN","TN"))))))</f>
        <v/>
      </c>
      <c r="S393" s="3" t="n"/>
      <c r="T393" s="3" t="n"/>
      <c r="U393" s="3" t="n"/>
      <c r="V393" s="3" t="n"/>
    </row>
    <row r="394">
      <c r="A394" s="3" t="n"/>
      <c r="B394" s="3" t="n"/>
      <c r="C394" s="3" t="n"/>
      <c r="D394" s="4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5">
        <f>IF(Q394&lt;&gt;"是","排除",IF(OR(L394="",M394=""),"",IF(OR(L394="未知",M394="未知"),"未知",IF(AND(L394="真",M394="真"),"TP",IF(AND(L394="真",M394="假"),"FP",IF(AND(L394="假",M394="真"),"FN","TN"))))))</f>
        <v/>
      </c>
      <c r="S394" s="3" t="n"/>
      <c r="T394" s="3" t="n"/>
      <c r="U394" s="3" t="n"/>
      <c r="V394" s="3" t="n"/>
    </row>
    <row r="395">
      <c r="A395" s="3" t="n"/>
      <c r="B395" s="3" t="n"/>
      <c r="C395" s="3" t="n"/>
      <c r="D395" s="4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5">
        <f>IF(Q395&lt;&gt;"是","排除",IF(OR(L395="",M395=""),"",IF(OR(L395="未知",M395="未知"),"未知",IF(AND(L395="真",M395="真"),"TP",IF(AND(L395="真",M395="假"),"FP",IF(AND(L395="假",M395="真"),"FN","TN"))))))</f>
        <v/>
      </c>
      <c r="S395" s="3" t="n"/>
      <c r="T395" s="3" t="n"/>
      <c r="U395" s="3" t="n"/>
      <c r="V395" s="3" t="n"/>
    </row>
    <row r="396">
      <c r="A396" s="3" t="n"/>
      <c r="B396" s="3" t="n"/>
      <c r="C396" s="3" t="n"/>
      <c r="D396" s="4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5">
        <f>IF(Q396&lt;&gt;"是","排除",IF(OR(L396="",M396=""),"",IF(OR(L396="未知",M396="未知"),"未知",IF(AND(L396="真",M396="真"),"TP",IF(AND(L396="真",M396="假"),"FP",IF(AND(L396="假",M396="真"),"FN","TN"))))))</f>
        <v/>
      </c>
      <c r="S396" s="3" t="n"/>
      <c r="T396" s="3" t="n"/>
      <c r="U396" s="3" t="n"/>
      <c r="V396" s="3" t="n"/>
    </row>
    <row r="397">
      <c r="A397" s="3" t="n"/>
      <c r="B397" s="3" t="n"/>
      <c r="C397" s="3" t="n"/>
      <c r="D397" s="4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5">
        <f>IF(Q397&lt;&gt;"是","排除",IF(OR(L397="",M397=""),"",IF(OR(L397="未知",M397="未知"),"未知",IF(AND(L397="真",M397="真"),"TP",IF(AND(L397="真",M397="假"),"FP",IF(AND(L397="假",M397="真"),"FN","TN"))))))</f>
        <v/>
      </c>
      <c r="S397" s="3" t="n"/>
      <c r="T397" s="3" t="n"/>
      <c r="U397" s="3" t="n"/>
      <c r="V397" s="3" t="n"/>
    </row>
    <row r="398">
      <c r="A398" s="3" t="n"/>
      <c r="B398" s="3" t="n"/>
      <c r="C398" s="3" t="n"/>
      <c r="D398" s="4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5">
        <f>IF(Q398&lt;&gt;"是","排除",IF(OR(L398="",M398=""),"",IF(OR(L398="未知",M398="未知"),"未知",IF(AND(L398="真",M398="真"),"TP",IF(AND(L398="真",M398="假"),"FP",IF(AND(L398="假",M398="真"),"FN","TN"))))))</f>
        <v/>
      </c>
      <c r="S398" s="3" t="n"/>
      <c r="T398" s="3" t="n"/>
      <c r="U398" s="3" t="n"/>
      <c r="V398" s="3" t="n"/>
    </row>
    <row r="399">
      <c r="A399" s="3" t="n"/>
      <c r="B399" s="3" t="n"/>
      <c r="C399" s="3" t="n"/>
      <c r="D399" s="4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5">
        <f>IF(Q399&lt;&gt;"是","排除",IF(OR(L399="",M399=""),"",IF(OR(L399="未知",M399="未知"),"未知",IF(AND(L399="真",M399="真"),"TP",IF(AND(L399="真",M399="假"),"FP",IF(AND(L399="假",M399="真"),"FN","TN"))))))</f>
        <v/>
      </c>
      <c r="S399" s="3" t="n"/>
      <c r="T399" s="3" t="n"/>
      <c r="U399" s="3" t="n"/>
      <c r="V399" s="3" t="n"/>
    </row>
    <row r="400">
      <c r="A400" s="3" t="n"/>
      <c r="B400" s="3" t="n"/>
      <c r="C400" s="3" t="n"/>
      <c r="D400" s="4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5">
        <f>IF(Q400&lt;&gt;"是","排除",IF(OR(L400="",M400=""),"",IF(OR(L400="未知",M400="未知"),"未知",IF(AND(L400="真",M400="真"),"TP",IF(AND(L400="真",M400="假"),"FP",IF(AND(L400="假",M400="真"),"FN","TN"))))))</f>
        <v/>
      </c>
      <c r="S400" s="3" t="n"/>
      <c r="T400" s="3" t="n"/>
      <c r="U400" s="3" t="n"/>
      <c r="V400" s="3" t="n"/>
    </row>
    <row r="401">
      <c r="A401" s="3" t="n"/>
      <c r="B401" s="3" t="n"/>
      <c r="C401" s="3" t="n"/>
      <c r="D401" s="4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5">
        <f>IF(Q401&lt;&gt;"是","排除",IF(OR(L401="",M401=""),"",IF(OR(L401="未知",M401="未知"),"未知",IF(AND(L401="真",M401="真"),"TP",IF(AND(L401="真",M401="假"),"FP",IF(AND(L401="假",M401="真"),"FN","TN"))))))</f>
        <v/>
      </c>
      <c r="S401" s="3" t="n"/>
      <c r="T401" s="3" t="n"/>
      <c r="U401" s="3" t="n"/>
      <c r="V401" s="3" t="n"/>
    </row>
    <row r="402">
      <c r="A402" s="3" t="n"/>
      <c r="B402" s="3" t="n"/>
      <c r="C402" s="3" t="n"/>
      <c r="D402" s="4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5">
        <f>IF(Q402&lt;&gt;"是","排除",IF(OR(L402="",M402=""),"",IF(OR(L402="未知",M402="未知"),"未知",IF(AND(L402="真",M402="真"),"TP",IF(AND(L402="真",M402="假"),"FP",IF(AND(L402="假",M402="真"),"FN","TN"))))))</f>
        <v/>
      </c>
      <c r="S402" s="3" t="n"/>
      <c r="T402" s="3" t="n"/>
      <c r="U402" s="3" t="n"/>
      <c r="V402" s="3" t="n"/>
    </row>
    <row r="403">
      <c r="A403" s="3" t="n"/>
      <c r="B403" s="3" t="n"/>
      <c r="C403" s="3" t="n"/>
      <c r="D403" s="4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5">
        <f>IF(Q403&lt;&gt;"是","排除",IF(OR(L403="",M403=""),"",IF(OR(L403="未知",M403="未知"),"未知",IF(AND(L403="真",M403="真"),"TP",IF(AND(L403="真",M403="假"),"FP",IF(AND(L403="假",M403="真"),"FN","TN"))))))</f>
        <v/>
      </c>
      <c r="S403" s="3" t="n"/>
      <c r="T403" s="3" t="n"/>
      <c r="U403" s="3" t="n"/>
      <c r="V403" s="3" t="n"/>
    </row>
    <row r="404">
      <c r="A404" s="3" t="n"/>
      <c r="B404" s="3" t="n"/>
      <c r="C404" s="3" t="n"/>
      <c r="D404" s="4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5">
        <f>IF(Q404&lt;&gt;"是","排除",IF(OR(L404="",M404=""),"",IF(OR(L404="未知",M404="未知"),"未知",IF(AND(L404="真",M404="真"),"TP",IF(AND(L404="真",M404="假"),"FP",IF(AND(L404="假",M404="真"),"FN","TN"))))))</f>
        <v/>
      </c>
      <c r="S404" s="3" t="n"/>
      <c r="T404" s="3" t="n"/>
      <c r="U404" s="3" t="n"/>
      <c r="V404" s="3" t="n"/>
    </row>
    <row r="405">
      <c r="A405" s="3" t="n"/>
      <c r="B405" s="3" t="n"/>
      <c r="C405" s="3" t="n"/>
      <c r="D405" s="4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5">
        <f>IF(Q405&lt;&gt;"是","排除",IF(OR(L405="",M405=""),"",IF(OR(L405="未知",M405="未知"),"未知",IF(AND(L405="真",M405="真"),"TP",IF(AND(L405="真",M405="假"),"FP",IF(AND(L405="假",M405="真"),"FN","TN"))))))</f>
        <v/>
      </c>
      <c r="S405" s="3" t="n"/>
      <c r="T405" s="3" t="n"/>
      <c r="U405" s="3" t="n"/>
      <c r="V405" s="3" t="n"/>
    </row>
    <row r="406">
      <c r="A406" s="3" t="n"/>
      <c r="B406" s="3" t="n"/>
      <c r="C406" s="3" t="n"/>
      <c r="D406" s="4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5">
        <f>IF(Q406&lt;&gt;"是","排除",IF(OR(L406="",M406=""),"",IF(OR(L406="未知",M406="未知"),"未知",IF(AND(L406="真",M406="真"),"TP",IF(AND(L406="真",M406="假"),"FP",IF(AND(L406="假",M406="真"),"FN","TN"))))))</f>
        <v/>
      </c>
      <c r="S406" s="3" t="n"/>
      <c r="T406" s="3" t="n"/>
      <c r="U406" s="3" t="n"/>
      <c r="V406" s="3" t="n"/>
    </row>
    <row r="407">
      <c r="A407" s="3" t="n"/>
      <c r="B407" s="3" t="n"/>
      <c r="C407" s="3" t="n"/>
      <c r="D407" s="4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5">
        <f>IF(Q407&lt;&gt;"是","排除",IF(OR(L407="",M407=""),"",IF(OR(L407="未知",M407="未知"),"未知",IF(AND(L407="真",M407="真"),"TP",IF(AND(L407="真",M407="假"),"FP",IF(AND(L407="假",M407="真"),"FN","TN"))))))</f>
        <v/>
      </c>
      <c r="S407" s="3" t="n"/>
      <c r="T407" s="3" t="n"/>
      <c r="U407" s="3" t="n"/>
      <c r="V407" s="3" t="n"/>
    </row>
    <row r="408">
      <c r="A408" s="3" t="n"/>
      <c r="B408" s="3" t="n"/>
      <c r="C408" s="3" t="n"/>
      <c r="D408" s="4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5">
        <f>IF(Q408&lt;&gt;"是","排除",IF(OR(L408="",M408=""),"",IF(OR(L408="未知",M408="未知"),"未知",IF(AND(L408="真",M408="真"),"TP",IF(AND(L408="真",M408="假"),"FP",IF(AND(L408="假",M408="真"),"FN","TN"))))))</f>
        <v/>
      </c>
      <c r="S408" s="3" t="n"/>
      <c r="T408" s="3" t="n"/>
      <c r="U408" s="3" t="n"/>
      <c r="V408" s="3" t="n"/>
    </row>
    <row r="409">
      <c r="A409" s="3" t="n"/>
      <c r="B409" s="3" t="n"/>
      <c r="C409" s="3" t="n"/>
      <c r="D409" s="4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5">
        <f>IF(Q409&lt;&gt;"是","排除",IF(OR(L409="",M409=""),"",IF(OR(L409="未知",M409="未知"),"未知",IF(AND(L409="真",M409="真"),"TP",IF(AND(L409="真",M409="假"),"FP",IF(AND(L409="假",M409="真"),"FN","TN"))))))</f>
        <v/>
      </c>
      <c r="S409" s="3" t="n"/>
      <c r="T409" s="3" t="n"/>
      <c r="U409" s="3" t="n"/>
      <c r="V409" s="3" t="n"/>
    </row>
    <row r="410">
      <c r="A410" s="3" t="n"/>
      <c r="B410" s="3" t="n"/>
      <c r="C410" s="3" t="n"/>
      <c r="D410" s="4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5">
        <f>IF(Q410&lt;&gt;"是","排除",IF(OR(L410="",M410=""),"",IF(OR(L410="未知",M410="未知"),"未知",IF(AND(L410="真",M410="真"),"TP",IF(AND(L410="真",M410="假"),"FP",IF(AND(L410="假",M410="真"),"FN","TN"))))))</f>
        <v/>
      </c>
      <c r="S410" s="3" t="n"/>
      <c r="T410" s="3" t="n"/>
      <c r="U410" s="3" t="n"/>
      <c r="V410" s="3" t="n"/>
    </row>
    <row r="411">
      <c r="A411" s="3" t="n"/>
      <c r="B411" s="3" t="n"/>
      <c r="C411" s="3" t="n"/>
      <c r="D411" s="4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5">
        <f>IF(Q411&lt;&gt;"是","排除",IF(OR(L411="",M411=""),"",IF(OR(L411="未知",M411="未知"),"未知",IF(AND(L411="真",M411="真"),"TP",IF(AND(L411="真",M411="假"),"FP",IF(AND(L411="假",M411="真"),"FN","TN"))))))</f>
        <v/>
      </c>
      <c r="S411" s="3" t="n"/>
      <c r="T411" s="3" t="n"/>
      <c r="U411" s="3" t="n"/>
      <c r="V411" s="3" t="n"/>
    </row>
    <row r="412">
      <c r="A412" s="3" t="n"/>
      <c r="B412" s="3" t="n"/>
      <c r="C412" s="3" t="n"/>
      <c r="D412" s="4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5">
        <f>IF(Q412&lt;&gt;"是","排除",IF(OR(L412="",M412=""),"",IF(OR(L412="未知",M412="未知"),"未知",IF(AND(L412="真",M412="真"),"TP",IF(AND(L412="真",M412="假"),"FP",IF(AND(L412="假",M412="真"),"FN","TN"))))))</f>
        <v/>
      </c>
      <c r="S412" s="3" t="n"/>
      <c r="T412" s="3" t="n"/>
      <c r="U412" s="3" t="n"/>
      <c r="V412" s="3" t="n"/>
    </row>
    <row r="413">
      <c r="A413" s="3" t="n"/>
      <c r="B413" s="3" t="n"/>
      <c r="C413" s="3" t="n"/>
      <c r="D413" s="4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5">
        <f>IF(Q413&lt;&gt;"是","排除",IF(OR(L413="",M413=""),"",IF(OR(L413="未知",M413="未知"),"未知",IF(AND(L413="真",M413="真"),"TP",IF(AND(L413="真",M413="假"),"FP",IF(AND(L413="假",M413="真"),"FN","TN"))))))</f>
        <v/>
      </c>
      <c r="S413" s="3" t="n"/>
      <c r="T413" s="3" t="n"/>
      <c r="U413" s="3" t="n"/>
      <c r="V413" s="3" t="n"/>
    </row>
    <row r="414">
      <c r="A414" s="3" t="n"/>
      <c r="B414" s="3" t="n"/>
      <c r="C414" s="3" t="n"/>
      <c r="D414" s="4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5">
        <f>IF(Q414&lt;&gt;"是","排除",IF(OR(L414="",M414=""),"",IF(OR(L414="未知",M414="未知"),"未知",IF(AND(L414="真",M414="真"),"TP",IF(AND(L414="真",M414="假"),"FP",IF(AND(L414="假",M414="真"),"FN","TN"))))))</f>
        <v/>
      </c>
      <c r="S414" s="3" t="n"/>
      <c r="T414" s="3" t="n"/>
      <c r="U414" s="3" t="n"/>
      <c r="V414" s="3" t="n"/>
    </row>
    <row r="415">
      <c r="A415" s="3" t="n"/>
      <c r="B415" s="3" t="n"/>
      <c r="C415" s="3" t="n"/>
      <c r="D415" s="4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5">
        <f>IF(Q415&lt;&gt;"是","排除",IF(OR(L415="",M415=""),"",IF(OR(L415="未知",M415="未知"),"未知",IF(AND(L415="真",M415="真"),"TP",IF(AND(L415="真",M415="假"),"FP",IF(AND(L415="假",M415="真"),"FN","TN"))))))</f>
        <v/>
      </c>
      <c r="S415" s="3" t="n"/>
      <c r="T415" s="3" t="n"/>
      <c r="U415" s="3" t="n"/>
      <c r="V415" s="3" t="n"/>
    </row>
    <row r="416">
      <c r="A416" s="3" t="n"/>
      <c r="B416" s="3" t="n"/>
      <c r="C416" s="3" t="n"/>
      <c r="D416" s="4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5">
        <f>IF(Q416&lt;&gt;"是","排除",IF(OR(L416="",M416=""),"",IF(OR(L416="未知",M416="未知"),"未知",IF(AND(L416="真",M416="真"),"TP",IF(AND(L416="真",M416="假"),"FP",IF(AND(L416="假",M416="真"),"FN","TN"))))))</f>
        <v/>
      </c>
      <c r="S416" s="3" t="n"/>
      <c r="T416" s="3" t="n"/>
      <c r="U416" s="3" t="n"/>
      <c r="V416" s="3" t="n"/>
    </row>
    <row r="417">
      <c r="A417" s="3" t="n"/>
      <c r="B417" s="3" t="n"/>
      <c r="C417" s="3" t="n"/>
      <c r="D417" s="4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5">
        <f>IF(Q417&lt;&gt;"是","排除",IF(OR(L417="",M417=""),"",IF(OR(L417="未知",M417="未知"),"未知",IF(AND(L417="真",M417="真"),"TP",IF(AND(L417="真",M417="假"),"FP",IF(AND(L417="假",M417="真"),"FN","TN"))))))</f>
        <v/>
      </c>
      <c r="S417" s="3" t="n"/>
      <c r="T417" s="3" t="n"/>
      <c r="U417" s="3" t="n"/>
      <c r="V417" s="3" t="n"/>
    </row>
    <row r="418">
      <c r="A418" s="3" t="n"/>
      <c r="B418" s="3" t="n"/>
      <c r="C418" s="3" t="n"/>
      <c r="D418" s="4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5">
        <f>IF(Q418&lt;&gt;"是","排除",IF(OR(L418="",M418=""),"",IF(OR(L418="未知",M418="未知"),"未知",IF(AND(L418="真",M418="真"),"TP",IF(AND(L418="真",M418="假"),"FP",IF(AND(L418="假",M418="真"),"FN","TN"))))))</f>
        <v/>
      </c>
      <c r="S418" s="3" t="n"/>
      <c r="T418" s="3" t="n"/>
      <c r="U418" s="3" t="n"/>
      <c r="V418" s="3" t="n"/>
    </row>
    <row r="419">
      <c r="A419" s="3" t="n"/>
      <c r="B419" s="3" t="n"/>
      <c r="C419" s="3" t="n"/>
      <c r="D419" s="4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5">
        <f>IF(Q419&lt;&gt;"是","排除",IF(OR(L419="",M419=""),"",IF(OR(L419="未知",M419="未知"),"未知",IF(AND(L419="真",M419="真"),"TP",IF(AND(L419="真",M419="假"),"FP",IF(AND(L419="假",M419="真"),"FN","TN"))))))</f>
        <v/>
      </c>
      <c r="S419" s="3" t="n"/>
      <c r="T419" s="3" t="n"/>
      <c r="U419" s="3" t="n"/>
      <c r="V419" s="3" t="n"/>
    </row>
    <row r="420">
      <c r="A420" s="3" t="n"/>
      <c r="B420" s="3" t="n"/>
      <c r="C420" s="3" t="n"/>
      <c r="D420" s="4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5">
        <f>IF(Q420&lt;&gt;"是","排除",IF(OR(L420="",M420=""),"",IF(OR(L420="未知",M420="未知"),"未知",IF(AND(L420="真",M420="真"),"TP",IF(AND(L420="真",M420="假"),"FP",IF(AND(L420="假",M420="真"),"FN","TN"))))))</f>
        <v/>
      </c>
      <c r="S420" s="3" t="n"/>
      <c r="T420" s="3" t="n"/>
      <c r="U420" s="3" t="n"/>
      <c r="V420" s="3" t="n"/>
    </row>
    <row r="421">
      <c r="A421" s="3" t="n"/>
      <c r="B421" s="3" t="n"/>
      <c r="C421" s="3" t="n"/>
      <c r="D421" s="4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5">
        <f>IF(Q421&lt;&gt;"是","排除",IF(OR(L421="",M421=""),"",IF(OR(L421="未知",M421="未知"),"未知",IF(AND(L421="真",M421="真"),"TP",IF(AND(L421="真",M421="假"),"FP",IF(AND(L421="假",M421="真"),"FN","TN"))))))</f>
        <v/>
      </c>
      <c r="S421" s="3" t="n"/>
      <c r="T421" s="3" t="n"/>
      <c r="U421" s="3" t="n"/>
      <c r="V421" s="3" t="n"/>
    </row>
    <row r="422">
      <c r="A422" s="3" t="n"/>
      <c r="B422" s="3" t="n"/>
      <c r="C422" s="3" t="n"/>
      <c r="D422" s="4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5">
        <f>IF(Q422&lt;&gt;"是","排除",IF(OR(L422="",M422=""),"",IF(OR(L422="未知",M422="未知"),"未知",IF(AND(L422="真",M422="真"),"TP",IF(AND(L422="真",M422="假"),"FP",IF(AND(L422="假",M422="真"),"FN","TN"))))))</f>
        <v/>
      </c>
      <c r="S422" s="3" t="n"/>
      <c r="T422" s="3" t="n"/>
      <c r="U422" s="3" t="n"/>
      <c r="V422" s="3" t="n"/>
    </row>
    <row r="423">
      <c r="A423" s="3" t="n"/>
      <c r="B423" s="3" t="n"/>
      <c r="C423" s="3" t="n"/>
      <c r="D423" s="4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5">
        <f>IF(Q423&lt;&gt;"是","排除",IF(OR(L423="",M423=""),"",IF(OR(L423="未知",M423="未知"),"未知",IF(AND(L423="真",M423="真"),"TP",IF(AND(L423="真",M423="假"),"FP",IF(AND(L423="假",M423="真"),"FN","TN"))))))</f>
        <v/>
      </c>
      <c r="S423" s="3" t="n"/>
      <c r="T423" s="3" t="n"/>
      <c r="U423" s="3" t="n"/>
      <c r="V423" s="3" t="n"/>
    </row>
    <row r="424">
      <c r="A424" s="3" t="n"/>
      <c r="B424" s="3" t="n"/>
      <c r="C424" s="3" t="n"/>
      <c r="D424" s="4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5">
        <f>IF(Q424&lt;&gt;"是","排除",IF(OR(L424="",M424=""),"",IF(OR(L424="未知",M424="未知"),"未知",IF(AND(L424="真",M424="真"),"TP",IF(AND(L424="真",M424="假"),"FP",IF(AND(L424="假",M424="真"),"FN","TN"))))))</f>
        <v/>
      </c>
      <c r="S424" s="3" t="n"/>
      <c r="T424" s="3" t="n"/>
      <c r="U424" s="3" t="n"/>
      <c r="V424" s="3" t="n"/>
    </row>
    <row r="425">
      <c r="A425" s="3" t="n"/>
      <c r="B425" s="3" t="n"/>
      <c r="C425" s="3" t="n"/>
      <c r="D425" s="4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5">
        <f>IF(Q425&lt;&gt;"是","排除",IF(OR(L425="",M425=""),"",IF(OR(L425="未知",M425="未知"),"未知",IF(AND(L425="真",M425="真"),"TP",IF(AND(L425="真",M425="假"),"FP",IF(AND(L425="假",M425="真"),"FN","TN"))))))</f>
        <v/>
      </c>
      <c r="S425" s="3" t="n"/>
      <c r="T425" s="3" t="n"/>
      <c r="U425" s="3" t="n"/>
      <c r="V425" s="3" t="n"/>
    </row>
    <row r="426">
      <c r="A426" s="3" t="n"/>
      <c r="B426" s="3" t="n"/>
      <c r="C426" s="3" t="n"/>
      <c r="D426" s="4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5">
        <f>IF(Q426&lt;&gt;"是","排除",IF(OR(L426="",M426=""),"",IF(OR(L426="未知",M426="未知"),"未知",IF(AND(L426="真",M426="真"),"TP",IF(AND(L426="真",M426="假"),"FP",IF(AND(L426="假",M426="真"),"FN","TN"))))))</f>
        <v/>
      </c>
      <c r="S426" s="3" t="n"/>
      <c r="T426" s="3" t="n"/>
      <c r="U426" s="3" t="n"/>
      <c r="V426" s="3" t="n"/>
    </row>
    <row r="427">
      <c r="A427" s="3" t="n"/>
      <c r="B427" s="3" t="n"/>
      <c r="C427" s="3" t="n"/>
      <c r="D427" s="4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5">
        <f>IF(Q427&lt;&gt;"是","排除",IF(OR(L427="",M427=""),"",IF(OR(L427="未知",M427="未知"),"未知",IF(AND(L427="真",M427="真"),"TP",IF(AND(L427="真",M427="假"),"FP",IF(AND(L427="假",M427="真"),"FN","TN"))))))</f>
        <v/>
      </c>
      <c r="S427" s="3" t="n"/>
      <c r="T427" s="3" t="n"/>
      <c r="U427" s="3" t="n"/>
      <c r="V427" s="3" t="n"/>
    </row>
    <row r="428">
      <c r="A428" s="3" t="n"/>
      <c r="B428" s="3" t="n"/>
      <c r="C428" s="3" t="n"/>
      <c r="D428" s="4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5">
        <f>IF(Q428&lt;&gt;"是","排除",IF(OR(L428="",M428=""),"",IF(OR(L428="未知",M428="未知"),"未知",IF(AND(L428="真",M428="真"),"TP",IF(AND(L428="真",M428="假"),"FP",IF(AND(L428="假",M428="真"),"FN","TN"))))))</f>
        <v/>
      </c>
      <c r="S428" s="3" t="n"/>
      <c r="T428" s="3" t="n"/>
      <c r="U428" s="3" t="n"/>
      <c r="V428" s="3" t="n"/>
    </row>
    <row r="429">
      <c r="A429" s="3" t="n"/>
      <c r="B429" s="3" t="n"/>
      <c r="C429" s="3" t="n"/>
      <c r="D429" s="4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5">
        <f>IF(Q429&lt;&gt;"是","排除",IF(OR(L429="",M429=""),"",IF(OR(L429="未知",M429="未知"),"未知",IF(AND(L429="真",M429="真"),"TP",IF(AND(L429="真",M429="假"),"FP",IF(AND(L429="假",M429="真"),"FN","TN"))))))</f>
        <v/>
      </c>
      <c r="S429" s="3" t="n"/>
      <c r="T429" s="3" t="n"/>
      <c r="U429" s="3" t="n"/>
      <c r="V429" s="3" t="n"/>
    </row>
    <row r="430">
      <c r="A430" s="3" t="n"/>
      <c r="B430" s="3" t="n"/>
      <c r="C430" s="3" t="n"/>
      <c r="D430" s="4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5">
        <f>IF(Q430&lt;&gt;"是","排除",IF(OR(L430="",M430=""),"",IF(OR(L430="未知",M430="未知"),"未知",IF(AND(L430="真",M430="真"),"TP",IF(AND(L430="真",M430="假"),"FP",IF(AND(L430="假",M430="真"),"FN","TN"))))))</f>
        <v/>
      </c>
      <c r="S430" s="3" t="n"/>
      <c r="T430" s="3" t="n"/>
      <c r="U430" s="3" t="n"/>
      <c r="V430" s="3" t="n"/>
    </row>
    <row r="431">
      <c r="A431" s="3" t="n"/>
      <c r="B431" s="3" t="n"/>
      <c r="C431" s="3" t="n"/>
      <c r="D431" s="4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5">
        <f>IF(Q431&lt;&gt;"是","排除",IF(OR(L431="",M431=""),"",IF(OR(L431="未知",M431="未知"),"未知",IF(AND(L431="真",M431="真"),"TP",IF(AND(L431="真",M431="假"),"FP",IF(AND(L431="假",M431="真"),"FN","TN"))))))</f>
        <v/>
      </c>
      <c r="S431" s="3" t="n"/>
      <c r="T431" s="3" t="n"/>
      <c r="U431" s="3" t="n"/>
      <c r="V431" s="3" t="n"/>
    </row>
    <row r="432">
      <c r="A432" s="3" t="n"/>
      <c r="B432" s="3" t="n"/>
      <c r="C432" s="3" t="n"/>
      <c r="D432" s="4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5">
        <f>IF(Q432&lt;&gt;"是","排除",IF(OR(L432="",M432=""),"",IF(OR(L432="未知",M432="未知"),"未知",IF(AND(L432="真",M432="真"),"TP",IF(AND(L432="真",M432="假"),"FP",IF(AND(L432="假",M432="真"),"FN","TN"))))))</f>
        <v/>
      </c>
      <c r="S432" s="3" t="n"/>
      <c r="T432" s="3" t="n"/>
      <c r="U432" s="3" t="n"/>
      <c r="V432" s="3" t="n"/>
    </row>
    <row r="433">
      <c r="A433" s="3" t="n"/>
      <c r="B433" s="3" t="n"/>
      <c r="C433" s="3" t="n"/>
      <c r="D433" s="4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5">
        <f>IF(Q433&lt;&gt;"是","排除",IF(OR(L433="",M433=""),"",IF(OR(L433="未知",M433="未知"),"未知",IF(AND(L433="真",M433="真"),"TP",IF(AND(L433="真",M433="假"),"FP",IF(AND(L433="假",M433="真"),"FN","TN"))))))</f>
        <v/>
      </c>
      <c r="S433" s="3" t="n"/>
      <c r="T433" s="3" t="n"/>
      <c r="U433" s="3" t="n"/>
      <c r="V433" s="3" t="n"/>
    </row>
    <row r="434">
      <c r="A434" s="3" t="n"/>
      <c r="B434" s="3" t="n"/>
      <c r="C434" s="3" t="n"/>
      <c r="D434" s="4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5">
        <f>IF(Q434&lt;&gt;"是","排除",IF(OR(L434="",M434=""),"",IF(OR(L434="未知",M434="未知"),"未知",IF(AND(L434="真",M434="真"),"TP",IF(AND(L434="真",M434="假"),"FP",IF(AND(L434="假",M434="真"),"FN","TN"))))))</f>
        <v/>
      </c>
      <c r="S434" s="3" t="n"/>
      <c r="T434" s="3" t="n"/>
      <c r="U434" s="3" t="n"/>
      <c r="V434" s="3" t="n"/>
    </row>
    <row r="435">
      <c r="A435" s="3" t="n"/>
      <c r="B435" s="3" t="n"/>
      <c r="C435" s="3" t="n"/>
      <c r="D435" s="4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5">
        <f>IF(Q435&lt;&gt;"是","排除",IF(OR(L435="",M435=""),"",IF(OR(L435="未知",M435="未知"),"未知",IF(AND(L435="真",M435="真"),"TP",IF(AND(L435="真",M435="假"),"FP",IF(AND(L435="假",M435="真"),"FN","TN"))))))</f>
        <v/>
      </c>
      <c r="S435" s="3" t="n"/>
      <c r="T435" s="3" t="n"/>
      <c r="U435" s="3" t="n"/>
      <c r="V435" s="3" t="n"/>
    </row>
    <row r="436">
      <c r="A436" s="3" t="n"/>
      <c r="B436" s="3" t="n"/>
      <c r="C436" s="3" t="n"/>
      <c r="D436" s="4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5">
        <f>IF(Q436&lt;&gt;"是","排除",IF(OR(L436="",M436=""),"",IF(OR(L436="未知",M436="未知"),"未知",IF(AND(L436="真",M436="真"),"TP",IF(AND(L436="真",M436="假"),"FP",IF(AND(L436="假",M436="真"),"FN","TN"))))))</f>
        <v/>
      </c>
      <c r="S436" s="3" t="n"/>
      <c r="T436" s="3" t="n"/>
      <c r="U436" s="3" t="n"/>
      <c r="V436" s="3" t="n"/>
    </row>
    <row r="437">
      <c r="A437" s="3" t="n"/>
      <c r="B437" s="3" t="n"/>
      <c r="C437" s="3" t="n"/>
      <c r="D437" s="4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5">
        <f>IF(Q437&lt;&gt;"是","排除",IF(OR(L437="",M437=""),"",IF(OR(L437="未知",M437="未知"),"未知",IF(AND(L437="真",M437="真"),"TP",IF(AND(L437="真",M437="假"),"FP",IF(AND(L437="假",M437="真"),"FN","TN"))))))</f>
        <v/>
      </c>
      <c r="S437" s="3" t="n"/>
      <c r="T437" s="3" t="n"/>
      <c r="U437" s="3" t="n"/>
      <c r="V437" s="3" t="n"/>
    </row>
    <row r="438">
      <c r="A438" s="3" t="n"/>
      <c r="B438" s="3" t="n"/>
      <c r="C438" s="3" t="n"/>
      <c r="D438" s="4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5">
        <f>IF(Q438&lt;&gt;"是","排除",IF(OR(L438="",M438=""),"",IF(OR(L438="未知",M438="未知"),"未知",IF(AND(L438="真",M438="真"),"TP",IF(AND(L438="真",M438="假"),"FP",IF(AND(L438="假",M438="真"),"FN","TN"))))))</f>
        <v/>
      </c>
      <c r="S438" s="3" t="n"/>
      <c r="T438" s="3" t="n"/>
      <c r="U438" s="3" t="n"/>
      <c r="V438" s="3" t="n"/>
    </row>
    <row r="439">
      <c r="A439" s="3" t="n"/>
      <c r="B439" s="3" t="n"/>
      <c r="C439" s="3" t="n"/>
      <c r="D439" s="4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5">
        <f>IF(Q439&lt;&gt;"是","排除",IF(OR(L439="",M439=""),"",IF(OR(L439="未知",M439="未知"),"未知",IF(AND(L439="真",M439="真"),"TP",IF(AND(L439="真",M439="假"),"FP",IF(AND(L439="假",M439="真"),"FN","TN"))))))</f>
        <v/>
      </c>
      <c r="S439" s="3" t="n"/>
      <c r="T439" s="3" t="n"/>
      <c r="U439" s="3" t="n"/>
      <c r="V439" s="3" t="n"/>
    </row>
    <row r="440">
      <c r="A440" s="3" t="n"/>
      <c r="B440" s="3" t="n"/>
      <c r="C440" s="3" t="n"/>
      <c r="D440" s="4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5">
        <f>IF(Q440&lt;&gt;"是","排除",IF(OR(L440="",M440=""),"",IF(OR(L440="未知",M440="未知"),"未知",IF(AND(L440="真",M440="真"),"TP",IF(AND(L440="真",M440="假"),"FP",IF(AND(L440="假",M440="真"),"FN","TN"))))))</f>
        <v/>
      </c>
      <c r="S440" s="3" t="n"/>
      <c r="T440" s="3" t="n"/>
      <c r="U440" s="3" t="n"/>
      <c r="V440" s="3" t="n"/>
    </row>
    <row r="441">
      <c r="A441" s="3" t="n"/>
      <c r="B441" s="3" t="n"/>
      <c r="C441" s="3" t="n"/>
      <c r="D441" s="4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5">
        <f>IF(Q441&lt;&gt;"是","排除",IF(OR(L441="",M441=""),"",IF(OR(L441="未知",M441="未知"),"未知",IF(AND(L441="真",M441="真"),"TP",IF(AND(L441="真",M441="假"),"FP",IF(AND(L441="假",M441="真"),"FN","TN"))))))</f>
        <v/>
      </c>
      <c r="S441" s="3" t="n"/>
      <c r="T441" s="3" t="n"/>
      <c r="U441" s="3" t="n"/>
      <c r="V441" s="3" t="n"/>
    </row>
    <row r="442">
      <c r="A442" s="3" t="n"/>
      <c r="B442" s="3" t="n"/>
      <c r="C442" s="3" t="n"/>
      <c r="D442" s="4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5">
        <f>IF(Q442&lt;&gt;"是","排除",IF(OR(L442="",M442=""),"",IF(OR(L442="未知",M442="未知"),"未知",IF(AND(L442="真",M442="真"),"TP",IF(AND(L442="真",M442="假"),"FP",IF(AND(L442="假",M442="真"),"FN","TN"))))))</f>
        <v/>
      </c>
      <c r="S442" s="3" t="n"/>
      <c r="T442" s="3" t="n"/>
      <c r="U442" s="3" t="n"/>
      <c r="V442" s="3" t="n"/>
    </row>
    <row r="443">
      <c r="A443" s="3" t="n"/>
      <c r="B443" s="3" t="n"/>
      <c r="C443" s="3" t="n"/>
      <c r="D443" s="4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5">
        <f>IF(Q443&lt;&gt;"是","排除",IF(OR(L443="",M443=""),"",IF(OR(L443="未知",M443="未知"),"未知",IF(AND(L443="真",M443="真"),"TP",IF(AND(L443="真",M443="假"),"FP",IF(AND(L443="假",M443="真"),"FN","TN"))))))</f>
        <v/>
      </c>
      <c r="S443" s="3" t="n"/>
      <c r="T443" s="3" t="n"/>
      <c r="U443" s="3" t="n"/>
      <c r="V443" s="3" t="n"/>
    </row>
    <row r="444">
      <c r="A444" s="3" t="n"/>
      <c r="B444" s="3" t="n"/>
      <c r="C444" s="3" t="n"/>
      <c r="D444" s="4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5">
        <f>IF(Q444&lt;&gt;"是","排除",IF(OR(L444="",M444=""),"",IF(OR(L444="未知",M444="未知"),"未知",IF(AND(L444="真",M444="真"),"TP",IF(AND(L444="真",M444="假"),"FP",IF(AND(L444="假",M444="真"),"FN","TN"))))))</f>
        <v/>
      </c>
      <c r="S444" s="3" t="n"/>
      <c r="T444" s="3" t="n"/>
      <c r="U444" s="3" t="n"/>
      <c r="V444" s="3" t="n"/>
    </row>
    <row r="445">
      <c r="A445" s="3" t="n"/>
      <c r="B445" s="3" t="n"/>
      <c r="C445" s="3" t="n"/>
      <c r="D445" s="4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5">
        <f>IF(Q445&lt;&gt;"是","排除",IF(OR(L445="",M445=""),"",IF(OR(L445="未知",M445="未知"),"未知",IF(AND(L445="真",M445="真"),"TP",IF(AND(L445="真",M445="假"),"FP",IF(AND(L445="假",M445="真"),"FN","TN"))))))</f>
        <v/>
      </c>
      <c r="S445" s="3" t="n"/>
      <c r="T445" s="3" t="n"/>
      <c r="U445" s="3" t="n"/>
      <c r="V445" s="3" t="n"/>
    </row>
    <row r="446">
      <c r="A446" s="3" t="n"/>
      <c r="B446" s="3" t="n"/>
      <c r="C446" s="3" t="n"/>
      <c r="D446" s="4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5">
        <f>IF(Q446&lt;&gt;"是","排除",IF(OR(L446="",M446=""),"",IF(OR(L446="未知",M446="未知"),"未知",IF(AND(L446="真",M446="真"),"TP",IF(AND(L446="真",M446="假"),"FP",IF(AND(L446="假",M446="真"),"FN","TN"))))))</f>
        <v/>
      </c>
      <c r="S446" s="3" t="n"/>
      <c r="T446" s="3" t="n"/>
      <c r="U446" s="3" t="n"/>
      <c r="V446" s="3" t="n"/>
    </row>
    <row r="447">
      <c r="A447" s="3" t="n"/>
      <c r="B447" s="3" t="n"/>
      <c r="C447" s="3" t="n"/>
      <c r="D447" s="4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5">
        <f>IF(Q447&lt;&gt;"是","排除",IF(OR(L447="",M447=""),"",IF(OR(L447="未知",M447="未知"),"未知",IF(AND(L447="真",M447="真"),"TP",IF(AND(L447="真",M447="假"),"FP",IF(AND(L447="假",M447="真"),"FN","TN"))))))</f>
        <v/>
      </c>
      <c r="S447" s="3" t="n"/>
      <c r="T447" s="3" t="n"/>
      <c r="U447" s="3" t="n"/>
      <c r="V447" s="3" t="n"/>
    </row>
    <row r="448">
      <c r="A448" s="3" t="n"/>
      <c r="B448" s="3" t="n"/>
      <c r="C448" s="3" t="n"/>
      <c r="D448" s="4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5">
        <f>IF(Q448&lt;&gt;"是","排除",IF(OR(L448="",M448=""),"",IF(OR(L448="未知",M448="未知"),"未知",IF(AND(L448="真",M448="真"),"TP",IF(AND(L448="真",M448="假"),"FP",IF(AND(L448="假",M448="真"),"FN","TN"))))))</f>
        <v/>
      </c>
      <c r="S448" s="3" t="n"/>
      <c r="T448" s="3" t="n"/>
      <c r="U448" s="3" t="n"/>
      <c r="V448" s="3" t="n"/>
    </row>
    <row r="449">
      <c r="A449" s="3" t="n"/>
      <c r="B449" s="3" t="n"/>
      <c r="C449" s="3" t="n"/>
      <c r="D449" s="4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5">
        <f>IF(Q449&lt;&gt;"是","排除",IF(OR(L449="",M449=""),"",IF(OR(L449="未知",M449="未知"),"未知",IF(AND(L449="真",M449="真"),"TP",IF(AND(L449="真",M449="假"),"FP",IF(AND(L449="假",M449="真"),"FN","TN"))))))</f>
        <v/>
      </c>
      <c r="S449" s="3" t="n"/>
      <c r="T449" s="3" t="n"/>
      <c r="U449" s="3" t="n"/>
      <c r="V449" s="3" t="n"/>
    </row>
    <row r="450">
      <c r="A450" s="3" t="n"/>
      <c r="B450" s="3" t="n"/>
      <c r="C450" s="3" t="n"/>
      <c r="D450" s="4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5">
        <f>IF(Q450&lt;&gt;"是","排除",IF(OR(L450="",M450=""),"",IF(OR(L450="未知",M450="未知"),"未知",IF(AND(L450="真",M450="真"),"TP",IF(AND(L450="真",M450="假"),"FP",IF(AND(L450="假",M450="真"),"FN","TN"))))))</f>
        <v/>
      </c>
      <c r="S450" s="3" t="n"/>
      <c r="T450" s="3" t="n"/>
      <c r="U450" s="3" t="n"/>
      <c r="V450" s="3" t="n"/>
    </row>
    <row r="451">
      <c r="A451" s="3" t="n"/>
      <c r="B451" s="3" t="n"/>
      <c r="C451" s="3" t="n"/>
      <c r="D451" s="4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5">
        <f>IF(Q451&lt;&gt;"是","排除",IF(OR(L451="",M451=""),"",IF(OR(L451="未知",M451="未知"),"未知",IF(AND(L451="真",M451="真"),"TP",IF(AND(L451="真",M451="假"),"FP",IF(AND(L451="假",M451="真"),"FN","TN"))))))</f>
        <v/>
      </c>
      <c r="S451" s="3" t="n"/>
      <c r="T451" s="3" t="n"/>
      <c r="U451" s="3" t="n"/>
      <c r="V451" s="3" t="n"/>
    </row>
    <row r="452">
      <c r="A452" s="3" t="n"/>
      <c r="B452" s="3" t="n"/>
      <c r="C452" s="3" t="n"/>
      <c r="D452" s="4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5">
        <f>IF(Q452&lt;&gt;"是","排除",IF(OR(L452="",M452=""),"",IF(OR(L452="未知",M452="未知"),"未知",IF(AND(L452="真",M452="真"),"TP",IF(AND(L452="真",M452="假"),"FP",IF(AND(L452="假",M452="真"),"FN","TN"))))))</f>
        <v/>
      </c>
      <c r="S452" s="3" t="n"/>
      <c r="T452" s="3" t="n"/>
      <c r="U452" s="3" t="n"/>
      <c r="V452" s="3" t="n"/>
    </row>
    <row r="453">
      <c r="A453" s="3" t="n"/>
      <c r="B453" s="3" t="n"/>
      <c r="C453" s="3" t="n"/>
      <c r="D453" s="4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5">
        <f>IF(Q453&lt;&gt;"是","排除",IF(OR(L453="",M453=""),"",IF(OR(L453="未知",M453="未知"),"未知",IF(AND(L453="真",M453="真"),"TP",IF(AND(L453="真",M453="假"),"FP",IF(AND(L453="假",M453="真"),"FN","TN"))))))</f>
        <v/>
      </c>
      <c r="S453" s="3" t="n"/>
      <c r="T453" s="3" t="n"/>
      <c r="U453" s="3" t="n"/>
      <c r="V453" s="3" t="n"/>
    </row>
    <row r="454">
      <c r="A454" s="3" t="n"/>
      <c r="B454" s="3" t="n"/>
      <c r="C454" s="3" t="n"/>
      <c r="D454" s="4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5">
        <f>IF(Q454&lt;&gt;"是","排除",IF(OR(L454="",M454=""),"",IF(OR(L454="未知",M454="未知"),"未知",IF(AND(L454="真",M454="真"),"TP",IF(AND(L454="真",M454="假"),"FP",IF(AND(L454="假",M454="真"),"FN","TN"))))))</f>
        <v/>
      </c>
      <c r="S454" s="3" t="n"/>
      <c r="T454" s="3" t="n"/>
      <c r="U454" s="3" t="n"/>
      <c r="V454" s="3" t="n"/>
    </row>
    <row r="455">
      <c r="A455" s="3" t="n"/>
      <c r="B455" s="3" t="n"/>
      <c r="C455" s="3" t="n"/>
      <c r="D455" s="4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5">
        <f>IF(Q455&lt;&gt;"是","排除",IF(OR(L455="",M455=""),"",IF(OR(L455="未知",M455="未知"),"未知",IF(AND(L455="真",M455="真"),"TP",IF(AND(L455="真",M455="假"),"FP",IF(AND(L455="假",M455="真"),"FN","TN"))))))</f>
        <v/>
      </c>
      <c r="S455" s="3" t="n"/>
      <c r="T455" s="3" t="n"/>
      <c r="U455" s="3" t="n"/>
      <c r="V455" s="3" t="n"/>
    </row>
    <row r="456">
      <c r="A456" s="3" t="n"/>
      <c r="B456" s="3" t="n"/>
      <c r="C456" s="3" t="n"/>
      <c r="D456" s="4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5">
        <f>IF(Q456&lt;&gt;"是","排除",IF(OR(L456="",M456=""),"",IF(OR(L456="未知",M456="未知"),"未知",IF(AND(L456="真",M456="真"),"TP",IF(AND(L456="真",M456="假"),"FP",IF(AND(L456="假",M456="真"),"FN","TN"))))))</f>
        <v/>
      </c>
      <c r="S456" s="3" t="n"/>
      <c r="T456" s="3" t="n"/>
      <c r="U456" s="3" t="n"/>
      <c r="V456" s="3" t="n"/>
    </row>
    <row r="457">
      <c r="A457" s="3" t="n"/>
      <c r="B457" s="3" t="n"/>
      <c r="C457" s="3" t="n"/>
      <c r="D457" s="4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5">
        <f>IF(Q457&lt;&gt;"是","排除",IF(OR(L457="",M457=""),"",IF(OR(L457="未知",M457="未知"),"未知",IF(AND(L457="真",M457="真"),"TP",IF(AND(L457="真",M457="假"),"FP",IF(AND(L457="假",M457="真"),"FN","TN"))))))</f>
        <v/>
      </c>
      <c r="S457" s="3" t="n"/>
      <c r="T457" s="3" t="n"/>
      <c r="U457" s="3" t="n"/>
      <c r="V457" s="3" t="n"/>
    </row>
    <row r="458">
      <c r="A458" s="3" t="n"/>
      <c r="B458" s="3" t="n"/>
      <c r="C458" s="3" t="n"/>
      <c r="D458" s="4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5">
        <f>IF(Q458&lt;&gt;"是","排除",IF(OR(L458="",M458=""),"",IF(OR(L458="未知",M458="未知"),"未知",IF(AND(L458="真",M458="真"),"TP",IF(AND(L458="真",M458="假"),"FP",IF(AND(L458="假",M458="真"),"FN","TN"))))))</f>
        <v/>
      </c>
      <c r="S458" s="3" t="n"/>
      <c r="T458" s="3" t="n"/>
      <c r="U458" s="3" t="n"/>
      <c r="V458" s="3" t="n"/>
    </row>
    <row r="459">
      <c r="A459" s="3" t="n"/>
      <c r="B459" s="3" t="n"/>
      <c r="C459" s="3" t="n"/>
      <c r="D459" s="4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5">
        <f>IF(Q459&lt;&gt;"是","排除",IF(OR(L459="",M459=""),"",IF(OR(L459="未知",M459="未知"),"未知",IF(AND(L459="真",M459="真"),"TP",IF(AND(L459="真",M459="假"),"FP",IF(AND(L459="假",M459="真"),"FN","TN"))))))</f>
        <v/>
      </c>
      <c r="S459" s="3" t="n"/>
      <c r="T459" s="3" t="n"/>
      <c r="U459" s="3" t="n"/>
      <c r="V459" s="3" t="n"/>
    </row>
    <row r="460">
      <c r="A460" s="3" t="n"/>
      <c r="B460" s="3" t="n"/>
      <c r="C460" s="3" t="n"/>
      <c r="D460" s="4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5">
        <f>IF(Q460&lt;&gt;"是","排除",IF(OR(L460="",M460=""),"",IF(OR(L460="未知",M460="未知"),"未知",IF(AND(L460="真",M460="真"),"TP",IF(AND(L460="真",M460="假"),"FP",IF(AND(L460="假",M460="真"),"FN","TN"))))))</f>
        <v/>
      </c>
      <c r="S460" s="3" t="n"/>
      <c r="T460" s="3" t="n"/>
      <c r="U460" s="3" t="n"/>
      <c r="V460" s="3" t="n"/>
    </row>
    <row r="461">
      <c r="A461" s="3" t="n"/>
      <c r="B461" s="3" t="n"/>
      <c r="C461" s="3" t="n"/>
      <c r="D461" s="4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5">
        <f>IF(Q461&lt;&gt;"是","排除",IF(OR(L461="",M461=""),"",IF(OR(L461="未知",M461="未知"),"未知",IF(AND(L461="真",M461="真"),"TP",IF(AND(L461="真",M461="假"),"FP",IF(AND(L461="假",M461="真"),"FN","TN"))))))</f>
        <v/>
      </c>
      <c r="S461" s="3" t="n"/>
      <c r="T461" s="3" t="n"/>
      <c r="U461" s="3" t="n"/>
      <c r="V461" s="3" t="n"/>
    </row>
    <row r="462">
      <c r="A462" s="3" t="n"/>
      <c r="B462" s="3" t="n"/>
      <c r="C462" s="3" t="n"/>
      <c r="D462" s="4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5">
        <f>IF(Q462&lt;&gt;"是","排除",IF(OR(L462="",M462=""),"",IF(OR(L462="未知",M462="未知"),"未知",IF(AND(L462="真",M462="真"),"TP",IF(AND(L462="真",M462="假"),"FP",IF(AND(L462="假",M462="真"),"FN","TN"))))))</f>
        <v/>
      </c>
      <c r="S462" s="3" t="n"/>
      <c r="T462" s="3" t="n"/>
      <c r="U462" s="3" t="n"/>
      <c r="V462" s="3" t="n"/>
    </row>
    <row r="463">
      <c r="A463" s="3" t="n"/>
      <c r="B463" s="3" t="n"/>
      <c r="C463" s="3" t="n"/>
      <c r="D463" s="4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5">
        <f>IF(Q463&lt;&gt;"是","排除",IF(OR(L463="",M463=""),"",IF(OR(L463="未知",M463="未知"),"未知",IF(AND(L463="真",M463="真"),"TP",IF(AND(L463="真",M463="假"),"FP",IF(AND(L463="假",M463="真"),"FN","TN"))))))</f>
        <v/>
      </c>
      <c r="S463" s="3" t="n"/>
      <c r="T463" s="3" t="n"/>
      <c r="U463" s="3" t="n"/>
      <c r="V463" s="3" t="n"/>
    </row>
    <row r="464">
      <c r="A464" s="3" t="n"/>
      <c r="B464" s="3" t="n"/>
      <c r="C464" s="3" t="n"/>
      <c r="D464" s="4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5">
        <f>IF(Q464&lt;&gt;"是","排除",IF(OR(L464="",M464=""),"",IF(OR(L464="未知",M464="未知"),"未知",IF(AND(L464="真",M464="真"),"TP",IF(AND(L464="真",M464="假"),"FP",IF(AND(L464="假",M464="真"),"FN","TN"))))))</f>
        <v/>
      </c>
      <c r="S464" s="3" t="n"/>
      <c r="T464" s="3" t="n"/>
      <c r="U464" s="3" t="n"/>
      <c r="V464" s="3" t="n"/>
    </row>
    <row r="465">
      <c r="A465" s="3" t="n"/>
      <c r="B465" s="3" t="n"/>
      <c r="C465" s="3" t="n"/>
      <c r="D465" s="4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5">
        <f>IF(Q465&lt;&gt;"是","排除",IF(OR(L465="",M465=""),"",IF(OR(L465="未知",M465="未知"),"未知",IF(AND(L465="真",M465="真"),"TP",IF(AND(L465="真",M465="假"),"FP",IF(AND(L465="假",M465="真"),"FN","TN"))))))</f>
        <v/>
      </c>
      <c r="S465" s="3" t="n"/>
      <c r="T465" s="3" t="n"/>
      <c r="U465" s="3" t="n"/>
      <c r="V465" s="3" t="n"/>
    </row>
    <row r="466">
      <c r="A466" s="3" t="n"/>
      <c r="B466" s="3" t="n"/>
      <c r="C466" s="3" t="n"/>
      <c r="D466" s="4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5">
        <f>IF(Q466&lt;&gt;"是","排除",IF(OR(L466="",M466=""),"",IF(OR(L466="未知",M466="未知"),"未知",IF(AND(L466="真",M466="真"),"TP",IF(AND(L466="真",M466="假"),"FP",IF(AND(L466="假",M466="真"),"FN","TN"))))))</f>
        <v/>
      </c>
      <c r="S466" s="3" t="n"/>
      <c r="T466" s="3" t="n"/>
      <c r="U466" s="3" t="n"/>
      <c r="V466" s="3" t="n"/>
    </row>
    <row r="467">
      <c r="A467" s="3" t="n"/>
      <c r="B467" s="3" t="n"/>
      <c r="C467" s="3" t="n"/>
      <c r="D467" s="4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5">
        <f>IF(Q467&lt;&gt;"是","排除",IF(OR(L467="",M467=""),"",IF(OR(L467="未知",M467="未知"),"未知",IF(AND(L467="真",M467="真"),"TP",IF(AND(L467="真",M467="假"),"FP",IF(AND(L467="假",M467="真"),"FN","TN"))))))</f>
        <v/>
      </c>
      <c r="S467" s="3" t="n"/>
      <c r="T467" s="3" t="n"/>
      <c r="U467" s="3" t="n"/>
      <c r="V467" s="3" t="n"/>
    </row>
    <row r="468">
      <c r="A468" s="3" t="n"/>
      <c r="B468" s="3" t="n"/>
      <c r="C468" s="3" t="n"/>
      <c r="D468" s="4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5">
        <f>IF(Q468&lt;&gt;"是","排除",IF(OR(L468="",M468=""),"",IF(OR(L468="未知",M468="未知"),"未知",IF(AND(L468="真",M468="真"),"TP",IF(AND(L468="真",M468="假"),"FP",IF(AND(L468="假",M468="真"),"FN","TN"))))))</f>
        <v/>
      </c>
      <c r="S468" s="3" t="n"/>
      <c r="T468" s="3" t="n"/>
      <c r="U468" s="3" t="n"/>
      <c r="V468" s="3" t="n"/>
    </row>
    <row r="469">
      <c r="A469" s="3" t="n"/>
      <c r="B469" s="3" t="n"/>
      <c r="C469" s="3" t="n"/>
      <c r="D469" s="4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5">
        <f>IF(Q469&lt;&gt;"是","排除",IF(OR(L469="",M469=""),"",IF(OR(L469="未知",M469="未知"),"未知",IF(AND(L469="真",M469="真"),"TP",IF(AND(L469="真",M469="假"),"FP",IF(AND(L469="假",M469="真"),"FN","TN"))))))</f>
        <v/>
      </c>
      <c r="S469" s="3" t="n"/>
      <c r="T469" s="3" t="n"/>
      <c r="U469" s="3" t="n"/>
      <c r="V469" s="3" t="n"/>
    </row>
    <row r="470">
      <c r="A470" s="3" t="n"/>
      <c r="B470" s="3" t="n"/>
      <c r="C470" s="3" t="n"/>
      <c r="D470" s="4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5">
        <f>IF(Q470&lt;&gt;"是","排除",IF(OR(L470="",M470=""),"",IF(OR(L470="未知",M470="未知"),"未知",IF(AND(L470="真",M470="真"),"TP",IF(AND(L470="真",M470="假"),"FP",IF(AND(L470="假",M470="真"),"FN","TN"))))))</f>
        <v/>
      </c>
      <c r="S470" s="3" t="n"/>
      <c r="T470" s="3" t="n"/>
      <c r="U470" s="3" t="n"/>
      <c r="V470" s="3" t="n"/>
    </row>
    <row r="471">
      <c r="A471" s="3" t="n"/>
      <c r="B471" s="3" t="n"/>
      <c r="C471" s="3" t="n"/>
      <c r="D471" s="4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5">
        <f>IF(Q471&lt;&gt;"是","排除",IF(OR(L471="",M471=""),"",IF(OR(L471="未知",M471="未知"),"未知",IF(AND(L471="真",M471="真"),"TP",IF(AND(L471="真",M471="假"),"FP",IF(AND(L471="假",M471="真"),"FN","TN"))))))</f>
        <v/>
      </c>
      <c r="S471" s="3" t="n"/>
      <c r="T471" s="3" t="n"/>
      <c r="U471" s="3" t="n"/>
      <c r="V471" s="3" t="n"/>
    </row>
    <row r="472">
      <c r="A472" s="3" t="n"/>
      <c r="B472" s="3" t="n"/>
      <c r="C472" s="3" t="n"/>
      <c r="D472" s="4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5">
        <f>IF(Q472&lt;&gt;"是","排除",IF(OR(L472="",M472=""),"",IF(OR(L472="未知",M472="未知"),"未知",IF(AND(L472="真",M472="真"),"TP",IF(AND(L472="真",M472="假"),"FP",IF(AND(L472="假",M472="真"),"FN","TN"))))))</f>
        <v/>
      </c>
      <c r="S472" s="3" t="n"/>
      <c r="T472" s="3" t="n"/>
      <c r="U472" s="3" t="n"/>
      <c r="V472" s="3" t="n"/>
    </row>
    <row r="473">
      <c r="A473" s="3" t="n"/>
      <c r="B473" s="3" t="n"/>
      <c r="C473" s="3" t="n"/>
      <c r="D473" s="4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5">
        <f>IF(Q473&lt;&gt;"是","排除",IF(OR(L473="",M473=""),"",IF(OR(L473="未知",M473="未知"),"未知",IF(AND(L473="真",M473="真"),"TP",IF(AND(L473="真",M473="假"),"FP",IF(AND(L473="假",M473="真"),"FN","TN"))))))</f>
        <v/>
      </c>
      <c r="S473" s="3" t="n"/>
      <c r="T473" s="3" t="n"/>
      <c r="U473" s="3" t="n"/>
      <c r="V473" s="3" t="n"/>
    </row>
    <row r="474">
      <c r="A474" s="3" t="n"/>
      <c r="B474" s="3" t="n"/>
      <c r="C474" s="3" t="n"/>
      <c r="D474" s="4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5">
        <f>IF(Q474&lt;&gt;"是","排除",IF(OR(L474="",M474=""),"",IF(OR(L474="未知",M474="未知"),"未知",IF(AND(L474="真",M474="真"),"TP",IF(AND(L474="真",M474="假"),"FP",IF(AND(L474="假",M474="真"),"FN","TN"))))))</f>
        <v/>
      </c>
      <c r="S474" s="3" t="n"/>
      <c r="T474" s="3" t="n"/>
      <c r="U474" s="3" t="n"/>
      <c r="V474" s="3" t="n"/>
    </row>
    <row r="475">
      <c r="A475" s="3" t="n"/>
      <c r="B475" s="3" t="n"/>
      <c r="C475" s="3" t="n"/>
      <c r="D475" s="4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5">
        <f>IF(Q475&lt;&gt;"是","排除",IF(OR(L475="",M475=""),"",IF(OR(L475="未知",M475="未知"),"未知",IF(AND(L475="真",M475="真"),"TP",IF(AND(L475="真",M475="假"),"FP",IF(AND(L475="假",M475="真"),"FN","TN"))))))</f>
        <v/>
      </c>
      <c r="S475" s="3" t="n"/>
      <c r="T475" s="3" t="n"/>
      <c r="U475" s="3" t="n"/>
      <c r="V475" s="3" t="n"/>
    </row>
    <row r="476">
      <c r="A476" s="3" t="n"/>
      <c r="B476" s="3" t="n"/>
      <c r="C476" s="3" t="n"/>
      <c r="D476" s="4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5">
        <f>IF(Q476&lt;&gt;"是","排除",IF(OR(L476="",M476=""),"",IF(OR(L476="未知",M476="未知"),"未知",IF(AND(L476="真",M476="真"),"TP",IF(AND(L476="真",M476="假"),"FP",IF(AND(L476="假",M476="真"),"FN","TN"))))))</f>
        <v/>
      </c>
      <c r="S476" s="3" t="n"/>
      <c r="T476" s="3" t="n"/>
      <c r="U476" s="3" t="n"/>
      <c r="V476" s="3" t="n"/>
    </row>
    <row r="477">
      <c r="A477" s="3" t="n"/>
      <c r="B477" s="3" t="n"/>
      <c r="C477" s="3" t="n"/>
      <c r="D477" s="4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5">
        <f>IF(Q477&lt;&gt;"是","排除",IF(OR(L477="",M477=""),"",IF(OR(L477="未知",M477="未知"),"未知",IF(AND(L477="真",M477="真"),"TP",IF(AND(L477="真",M477="假"),"FP",IF(AND(L477="假",M477="真"),"FN","TN"))))))</f>
        <v/>
      </c>
      <c r="S477" s="3" t="n"/>
      <c r="T477" s="3" t="n"/>
      <c r="U477" s="3" t="n"/>
      <c r="V477" s="3" t="n"/>
    </row>
    <row r="478">
      <c r="A478" s="3" t="n"/>
      <c r="B478" s="3" t="n"/>
      <c r="C478" s="3" t="n"/>
      <c r="D478" s="4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5">
        <f>IF(Q478&lt;&gt;"是","排除",IF(OR(L478="",M478=""),"",IF(OR(L478="未知",M478="未知"),"未知",IF(AND(L478="真",M478="真"),"TP",IF(AND(L478="真",M478="假"),"FP",IF(AND(L478="假",M478="真"),"FN","TN"))))))</f>
        <v/>
      </c>
      <c r="S478" s="3" t="n"/>
      <c r="T478" s="3" t="n"/>
      <c r="U478" s="3" t="n"/>
      <c r="V478" s="3" t="n"/>
    </row>
    <row r="479">
      <c r="A479" s="3" t="n"/>
      <c r="B479" s="3" t="n"/>
      <c r="C479" s="3" t="n"/>
      <c r="D479" s="4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5">
        <f>IF(Q479&lt;&gt;"是","排除",IF(OR(L479="",M479=""),"",IF(OR(L479="未知",M479="未知"),"未知",IF(AND(L479="真",M479="真"),"TP",IF(AND(L479="真",M479="假"),"FP",IF(AND(L479="假",M479="真"),"FN","TN"))))))</f>
        <v/>
      </c>
      <c r="S479" s="3" t="n"/>
      <c r="T479" s="3" t="n"/>
      <c r="U479" s="3" t="n"/>
      <c r="V479" s="3" t="n"/>
    </row>
    <row r="480">
      <c r="A480" s="3" t="n"/>
      <c r="B480" s="3" t="n"/>
      <c r="C480" s="3" t="n"/>
      <c r="D480" s="4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5">
        <f>IF(Q480&lt;&gt;"是","排除",IF(OR(L480="",M480=""),"",IF(OR(L480="未知",M480="未知"),"未知",IF(AND(L480="真",M480="真"),"TP",IF(AND(L480="真",M480="假"),"FP",IF(AND(L480="假",M480="真"),"FN","TN"))))))</f>
        <v/>
      </c>
      <c r="S480" s="3" t="n"/>
      <c r="T480" s="3" t="n"/>
      <c r="U480" s="3" t="n"/>
      <c r="V480" s="3" t="n"/>
    </row>
    <row r="481">
      <c r="A481" s="3" t="n"/>
      <c r="B481" s="3" t="n"/>
      <c r="C481" s="3" t="n"/>
      <c r="D481" s="4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5">
        <f>IF(Q481&lt;&gt;"是","排除",IF(OR(L481="",M481=""),"",IF(OR(L481="未知",M481="未知"),"未知",IF(AND(L481="真",M481="真"),"TP",IF(AND(L481="真",M481="假"),"FP",IF(AND(L481="假",M481="真"),"FN","TN"))))))</f>
        <v/>
      </c>
      <c r="S481" s="3" t="n"/>
      <c r="T481" s="3" t="n"/>
      <c r="U481" s="3" t="n"/>
      <c r="V481" s="3" t="n"/>
    </row>
    <row r="482">
      <c r="A482" s="3" t="n"/>
      <c r="B482" s="3" t="n"/>
      <c r="C482" s="3" t="n"/>
      <c r="D482" s="4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5">
        <f>IF(Q482&lt;&gt;"是","排除",IF(OR(L482="",M482=""),"",IF(OR(L482="未知",M482="未知"),"未知",IF(AND(L482="真",M482="真"),"TP",IF(AND(L482="真",M482="假"),"FP",IF(AND(L482="假",M482="真"),"FN","TN"))))))</f>
        <v/>
      </c>
      <c r="S482" s="3" t="n"/>
      <c r="T482" s="3" t="n"/>
      <c r="U482" s="3" t="n"/>
      <c r="V482" s="3" t="n"/>
    </row>
    <row r="483">
      <c r="A483" s="3" t="n"/>
      <c r="B483" s="3" t="n"/>
      <c r="C483" s="3" t="n"/>
      <c r="D483" s="4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5">
        <f>IF(Q483&lt;&gt;"是","排除",IF(OR(L483="",M483=""),"",IF(OR(L483="未知",M483="未知"),"未知",IF(AND(L483="真",M483="真"),"TP",IF(AND(L483="真",M483="假"),"FP",IF(AND(L483="假",M483="真"),"FN","TN"))))))</f>
        <v/>
      </c>
      <c r="S483" s="3" t="n"/>
      <c r="T483" s="3" t="n"/>
      <c r="U483" s="3" t="n"/>
      <c r="V483" s="3" t="n"/>
    </row>
    <row r="484">
      <c r="A484" s="3" t="n"/>
      <c r="B484" s="3" t="n"/>
      <c r="C484" s="3" t="n"/>
      <c r="D484" s="4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5">
        <f>IF(Q484&lt;&gt;"是","排除",IF(OR(L484="",M484=""),"",IF(OR(L484="未知",M484="未知"),"未知",IF(AND(L484="真",M484="真"),"TP",IF(AND(L484="真",M484="假"),"FP",IF(AND(L484="假",M484="真"),"FN","TN"))))))</f>
        <v/>
      </c>
      <c r="S484" s="3" t="n"/>
      <c r="T484" s="3" t="n"/>
      <c r="U484" s="3" t="n"/>
      <c r="V484" s="3" t="n"/>
    </row>
    <row r="485">
      <c r="A485" s="3" t="n"/>
      <c r="B485" s="3" t="n"/>
      <c r="C485" s="3" t="n"/>
      <c r="D485" s="4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5">
        <f>IF(Q485&lt;&gt;"是","排除",IF(OR(L485="",M485=""),"",IF(OR(L485="未知",M485="未知"),"未知",IF(AND(L485="真",M485="真"),"TP",IF(AND(L485="真",M485="假"),"FP",IF(AND(L485="假",M485="真"),"FN","TN"))))))</f>
        <v/>
      </c>
      <c r="S485" s="3" t="n"/>
      <c r="T485" s="3" t="n"/>
      <c r="U485" s="3" t="n"/>
      <c r="V485" s="3" t="n"/>
    </row>
    <row r="486">
      <c r="A486" s="3" t="n"/>
      <c r="B486" s="3" t="n"/>
      <c r="C486" s="3" t="n"/>
      <c r="D486" s="4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5">
        <f>IF(Q486&lt;&gt;"是","排除",IF(OR(L486="",M486=""),"",IF(OR(L486="未知",M486="未知"),"未知",IF(AND(L486="真",M486="真"),"TP",IF(AND(L486="真",M486="假"),"FP",IF(AND(L486="假",M486="真"),"FN","TN"))))))</f>
        <v/>
      </c>
      <c r="S486" s="3" t="n"/>
      <c r="T486" s="3" t="n"/>
      <c r="U486" s="3" t="n"/>
      <c r="V486" s="3" t="n"/>
    </row>
    <row r="487">
      <c r="A487" s="3" t="n"/>
      <c r="B487" s="3" t="n"/>
      <c r="C487" s="3" t="n"/>
      <c r="D487" s="4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5">
        <f>IF(Q487&lt;&gt;"是","排除",IF(OR(L487="",M487=""),"",IF(OR(L487="未知",M487="未知"),"未知",IF(AND(L487="真",M487="真"),"TP",IF(AND(L487="真",M487="假"),"FP",IF(AND(L487="假",M487="真"),"FN","TN"))))))</f>
        <v/>
      </c>
      <c r="S487" s="3" t="n"/>
      <c r="T487" s="3" t="n"/>
      <c r="U487" s="3" t="n"/>
      <c r="V487" s="3" t="n"/>
    </row>
    <row r="488">
      <c r="A488" s="3" t="n"/>
      <c r="B488" s="3" t="n"/>
      <c r="C488" s="3" t="n"/>
      <c r="D488" s="4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5">
        <f>IF(Q488&lt;&gt;"是","排除",IF(OR(L488="",M488=""),"",IF(OR(L488="未知",M488="未知"),"未知",IF(AND(L488="真",M488="真"),"TP",IF(AND(L488="真",M488="假"),"FP",IF(AND(L488="假",M488="真"),"FN","TN"))))))</f>
        <v/>
      </c>
      <c r="S488" s="3" t="n"/>
      <c r="T488" s="3" t="n"/>
      <c r="U488" s="3" t="n"/>
      <c r="V488" s="3" t="n"/>
    </row>
    <row r="489">
      <c r="A489" s="3" t="n"/>
      <c r="B489" s="3" t="n"/>
      <c r="C489" s="3" t="n"/>
      <c r="D489" s="4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5">
        <f>IF(Q489&lt;&gt;"是","排除",IF(OR(L489="",M489=""),"",IF(OR(L489="未知",M489="未知"),"未知",IF(AND(L489="真",M489="真"),"TP",IF(AND(L489="真",M489="假"),"FP",IF(AND(L489="假",M489="真"),"FN","TN"))))))</f>
        <v/>
      </c>
      <c r="S489" s="3" t="n"/>
      <c r="T489" s="3" t="n"/>
      <c r="U489" s="3" t="n"/>
      <c r="V489" s="3" t="n"/>
    </row>
    <row r="490">
      <c r="A490" s="3" t="n"/>
      <c r="B490" s="3" t="n"/>
      <c r="C490" s="3" t="n"/>
      <c r="D490" s="4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5">
        <f>IF(Q490&lt;&gt;"是","排除",IF(OR(L490="",M490=""),"",IF(OR(L490="未知",M490="未知"),"未知",IF(AND(L490="真",M490="真"),"TP",IF(AND(L490="真",M490="假"),"FP",IF(AND(L490="假",M490="真"),"FN","TN"))))))</f>
        <v/>
      </c>
      <c r="S490" s="3" t="n"/>
      <c r="T490" s="3" t="n"/>
      <c r="U490" s="3" t="n"/>
      <c r="V490" s="3" t="n"/>
    </row>
    <row r="491">
      <c r="A491" s="3" t="n"/>
      <c r="B491" s="3" t="n"/>
      <c r="C491" s="3" t="n"/>
      <c r="D491" s="4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5">
        <f>IF(Q491&lt;&gt;"是","排除",IF(OR(L491="",M491=""),"",IF(OR(L491="未知",M491="未知"),"未知",IF(AND(L491="真",M491="真"),"TP",IF(AND(L491="真",M491="假"),"FP",IF(AND(L491="假",M491="真"),"FN","TN"))))))</f>
        <v/>
      </c>
      <c r="S491" s="3" t="n"/>
      <c r="T491" s="3" t="n"/>
      <c r="U491" s="3" t="n"/>
      <c r="V491" s="3" t="n"/>
    </row>
    <row r="492">
      <c r="A492" s="3" t="n"/>
      <c r="B492" s="3" t="n"/>
      <c r="C492" s="3" t="n"/>
      <c r="D492" s="4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5">
        <f>IF(Q492&lt;&gt;"是","排除",IF(OR(L492="",M492=""),"",IF(OR(L492="未知",M492="未知"),"未知",IF(AND(L492="真",M492="真"),"TP",IF(AND(L492="真",M492="假"),"FP",IF(AND(L492="假",M492="真"),"FN","TN"))))))</f>
        <v/>
      </c>
      <c r="S492" s="3" t="n"/>
      <c r="T492" s="3" t="n"/>
      <c r="U492" s="3" t="n"/>
      <c r="V492" s="3" t="n"/>
    </row>
    <row r="493">
      <c r="A493" s="3" t="n"/>
      <c r="B493" s="3" t="n"/>
      <c r="C493" s="3" t="n"/>
      <c r="D493" s="4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5">
        <f>IF(Q493&lt;&gt;"是","排除",IF(OR(L493="",M493=""),"",IF(OR(L493="未知",M493="未知"),"未知",IF(AND(L493="真",M493="真"),"TP",IF(AND(L493="真",M493="假"),"FP",IF(AND(L493="假",M493="真"),"FN","TN"))))))</f>
        <v/>
      </c>
      <c r="S493" s="3" t="n"/>
      <c r="T493" s="3" t="n"/>
      <c r="U493" s="3" t="n"/>
      <c r="V493" s="3" t="n"/>
    </row>
    <row r="494">
      <c r="A494" s="3" t="n"/>
      <c r="B494" s="3" t="n"/>
      <c r="C494" s="3" t="n"/>
      <c r="D494" s="4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5">
        <f>IF(Q494&lt;&gt;"是","排除",IF(OR(L494="",M494=""),"",IF(OR(L494="未知",M494="未知"),"未知",IF(AND(L494="真",M494="真"),"TP",IF(AND(L494="真",M494="假"),"FP",IF(AND(L494="假",M494="真"),"FN","TN"))))))</f>
        <v/>
      </c>
      <c r="S494" s="3" t="n"/>
      <c r="T494" s="3" t="n"/>
      <c r="U494" s="3" t="n"/>
      <c r="V494" s="3" t="n"/>
    </row>
    <row r="495">
      <c r="A495" s="3" t="n"/>
      <c r="B495" s="3" t="n"/>
      <c r="C495" s="3" t="n"/>
      <c r="D495" s="4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5">
        <f>IF(Q495&lt;&gt;"是","排除",IF(OR(L495="",M495=""),"",IF(OR(L495="未知",M495="未知"),"未知",IF(AND(L495="真",M495="真"),"TP",IF(AND(L495="真",M495="假"),"FP",IF(AND(L495="假",M495="真"),"FN","TN"))))))</f>
        <v/>
      </c>
      <c r="S495" s="3" t="n"/>
      <c r="T495" s="3" t="n"/>
      <c r="U495" s="3" t="n"/>
      <c r="V495" s="3" t="n"/>
    </row>
    <row r="496">
      <c r="A496" s="3" t="n"/>
      <c r="B496" s="3" t="n"/>
      <c r="C496" s="3" t="n"/>
      <c r="D496" s="4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5">
        <f>IF(Q496&lt;&gt;"是","排除",IF(OR(L496="",M496=""),"",IF(OR(L496="未知",M496="未知"),"未知",IF(AND(L496="真",M496="真"),"TP",IF(AND(L496="真",M496="假"),"FP",IF(AND(L496="假",M496="真"),"FN","TN"))))))</f>
        <v/>
      </c>
      <c r="S496" s="3" t="n"/>
      <c r="T496" s="3" t="n"/>
      <c r="U496" s="3" t="n"/>
      <c r="V496" s="3" t="n"/>
    </row>
    <row r="497">
      <c r="A497" s="3" t="n"/>
      <c r="B497" s="3" t="n"/>
      <c r="C497" s="3" t="n"/>
      <c r="D497" s="4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5">
        <f>IF(Q497&lt;&gt;"是","排除",IF(OR(L497="",M497=""),"",IF(OR(L497="未知",M497="未知"),"未知",IF(AND(L497="真",M497="真"),"TP",IF(AND(L497="真",M497="假"),"FP",IF(AND(L497="假",M497="真"),"FN","TN"))))))</f>
        <v/>
      </c>
      <c r="S497" s="3" t="n"/>
      <c r="T497" s="3" t="n"/>
      <c r="U497" s="3" t="n"/>
      <c r="V497" s="3" t="n"/>
    </row>
    <row r="498">
      <c r="A498" s="3" t="n"/>
      <c r="B498" s="3" t="n"/>
      <c r="C498" s="3" t="n"/>
      <c r="D498" s="4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5">
        <f>IF(Q498&lt;&gt;"是","排除",IF(OR(L498="",M498=""),"",IF(OR(L498="未知",M498="未知"),"未知",IF(AND(L498="真",M498="真"),"TP",IF(AND(L498="真",M498="假"),"FP",IF(AND(L498="假",M498="真"),"FN","TN"))))))</f>
        <v/>
      </c>
      <c r="S498" s="3" t="n"/>
      <c r="T498" s="3" t="n"/>
      <c r="U498" s="3" t="n"/>
      <c r="V498" s="3" t="n"/>
    </row>
    <row r="499">
      <c r="A499" s="3" t="n"/>
      <c r="B499" s="3" t="n"/>
      <c r="C499" s="3" t="n"/>
      <c r="D499" s="4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5">
        <f>IF(Q499&lt;&gt;"是","排除",IF(OR(L499="",M499=""),"",IF(OR(L499="未知",M499="未知"),"未知",IF(AND(L499="真",M499="真"),"TP",IF(AND(L499="真",M499="假"),"FP",IF(AND(L499="假",M499="真"),"FN","TN"))))))</f>
        <v/>
      </c>
      <c r="S499" s="3" t="n"/>
      <c r="T499" s="3" t="n"/>
      <c r="U499" s="3" t="n"/>
      <c r="V499" s="3" t="n"/>
    </row>
    <row r="500">
      <c r="A500" s="3" t="n"/>
      <c r="B500" s="3" t="n"/>
      <c r="C500" s="3" t="n"/>
      <c r="D500" s="4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5">
        <f>IF(Q500&lt;&gt;"是","排除",IF(OR(L500="",M500=""),"",IF(OR(L500="未知",M500="未知"),"未知",IF(AND(L500="真",M500="真"),"TP",IF(AND(L500="真",M500="假"),"FP",IF(AND(L500="假",M500="真"),"FN","TN"))))))</f>
        <v/>
      </c>
      <c r="S500" s="3" t="n"/>
      <c r="T500" s="3" t="n"/>
      <c r="U500" s="3" t="n"/>
      <c r="V500" s="3" t="n"/>
    </row>
    <row r="501">
      <c r="A501" s="3" t="n"/>
      <c r="B501" s="3" t="n"/>
      <c r="C501" s="3" t="n"/>
      <c r="D501" s="4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5">
        <f>IF(Q501&lt;&gt;"是","排除",IF(OR(L501="",M501=""),"",IF(OR(L501="未知",M501="未知"),"未知",IF(AND(L501="真",M501="真"),"TP",IF(AND(L501="真",M501="假"),"FP",IF(AND(L501="假",M501="真"),"FN","TN"))))))</f>
        <v/>
      </c>
      <c r="S501" s="3" t="n"/>
      <c r="T501" s="3" t="n"/>
      <c r="U501" s="3" t="n"/>
      <c r="V501" s="3" t="n"/>
    </row>
    <row r="502">
      <c r="A502" s="3" t="n"/>
      <c r="B502" s="3" t="n"/>
      <c r="C502" s="3" t="n"/>
      <c r="D502" s="4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5">
        <f>IF(Q502&lt;&gt;"是","排除",IF(OR(L502="",M502=""),"",IF(OR(L502="未知",M502="未知"),"未知",IF(AND(L502="真",M502="真"),"TP",IF(AND(L502="真",M502="假"),"FP",IF(AND(L502="假",M502="真"),"FN","TN"))))))</f>
        <v/>
      </c>
      <c r="S502" s="3" t="n"/>
      <c r="T502" s="3" t="n"/>
      <c r="U502" s="3" t="n"/>
      <c r="V502" s="3" t="n"/>
    </row>
    <row r="503">
      <c r="A503" s="3" t="n"/>
      <c r="B503" s="3" t="n"/>
      <c r="C503" s="3" t="n"/>
      <c r="D503" s="4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5">
        <f>IF(Q503&lt;&gt;"是","排除",IF(OR(L503="",M503=""),"",IF(OR(L503="未知",M503="未知"),"未知",IF(AND(L503="真",M503="真"),"TP",IF(AND(L503="真",M503="假"),"FP",IF(AND(L503="假",M503="真"),"FN","TN"))))))</f>
        <v/>
      </c>
      <c r="S503" s="3" t="n"/>
      <c r="T503" s="3" t="n"/>
      <c r="U503" s="3" t="n"/>
      <c r="V503" s="3" t="n"/>
    </row>
    <row r="504">
      <c r="A504" s="3" t="n"/>
      <c r="B504" s="3" t="n"/>
      <c r="C504" s="3" t="n"/>
      <c r="D504" s="4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5">
        <f>IF(Q504&lt;&gt;"是","排除",IF(OR(L504="",M504=""),"",IF(OR(L504="未知",M504="未知"),"未知",IF(AND(L504="真",M504="真"),"TP",IF(AND(L504="真",M504="假"),"FP",IF(AND(L504="假",M504="真"),"FN","TN"))))))</f>
        <v/>
      </c>
      <c r="S504" s="3" t="n"/>
      <c r="T504" s="3" t="n"/>
      <c r="U504" s="3" t="n"/>
      <c r="V504" s="3" t="n"/>
    </row>
    <row r="505">
      <c r="A505" s="3" t="n"/>
      <c r="B505" s="3" t="n"/>
      <c r="C505" s="3" t="n"/>
      <c r="D505" s="4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5">
        <f>IF(Q505&lt;&gt;"是","排除",IF(OR(L505="",M505=""),"",IF(OR(L505="未知",M505="未知"),"未知",IF(AND(L505="真",M505="真"),"TP",IF(AND(L505="真",M505="假"),"FP",IF(AND(L505="假",M505="真"),"FN","TN"))))))</f>
        <v/>
      </c>
      <c r="S505" s="3" t="n"/>
      <c r="T505" s="3" t="n"/>
      <c r="U505" s="3" t="n"/>
      <c r="V505" s="3" t="n"/>
    </row>
    <row r="506">
      <c r="A506" s="3" t="n"/>
      <c r="B506" s="3" t="n"/>
      <c r="C506" s="3" t="n"/>
      <c r="D506" s="4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5">
        <f>IF(Q506&lt;&gt;"是","排除",IF(OR(L506="",M506=""),"",IF(OR(L506="未知",M506="未知"),"未知",IF(AND(L506="真",M506="真"),"TP",IF(AND(L506="真",M506="假"),"FP",IF(AND(L506="假",M506="真"),"FN","TN"))))))</f>
        <v/>
      </c>
      <c r="S506" s="3" t="n"/>
      <c r="T506" s="3" t="n"/>
      <c r="U506" s="3" t="n"/>
      <c r="V506" s="3" t="n"/>
    </row>
    <row r="507">
      <c r="A507" s="3" t="n"/>
      <c r="B507" s="3" t="n"/>
      <c r="C507" s="3" t="n"/>
      <c r="D507" s="4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5">
        <f>IF(Q507&lt;&gt;"是","排除",IF(OR(L507="",M507=""),"",IF(OR(L507="未知",M507="未知"),"未知",IF(AND(L507="真",M507="真"),"TP",IF(AND(L507="真",M507="假"),"FP",IF(AND(L507="假",M507="真"),"FN","TN"))))))</f>
        <v/>
      </c>
      <c r="S507" s="3" t="n"/>
      <c r="T507" s="3" t="n"/>
      <c r="U507" s="3" t="n"/>
      <c r="V507" s="3" t="n"/>
    </row>
    <row r="508">
      <c r="A508" s="3" t="n"/>
      <c r="B508" s="3" t="n"/>
      <c r="C508" s="3" t="n"/>
      <c r="D508" s="4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5">
        <f>IF(Q508&lt;&gt;"是","排除",IF(OR(L508="",M508=""),"",IF(OR(L508="未知",M508="未知"),"未知",IF(AND(L508="真",M508="真"),"TP",IF(AND(L508="真",M508="假"),"FP",IF(AND(L508="假",M508="真"),"FN","TN"))))))</f>
        <v/>
      </c>
      <c r="S508" s="3" t="n"/>
      <c r="T508" s="3" t="n"/>
      <c r="U508" s="3" t="n"/>
      <c r="V508" s="3" t="n"/>
    </row>
    <row r="509">
      <c r="A509" s="3" t="n"/>
      <c r="B509" s="3" t="n"/>
      <c r="C509" s="3" t="n"/>
      <c r="D509" s="4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5">
        <f>IF(Q509&lt;&gt;"是","排除",IF(OR(L509="",M509=""),"",IF(OR(L509="未知",M509="未知"),"未知",IF(AND(L509="真",M509="真"),"TP",IF(AND(L509="真",M509="假"),"FP",IF(AND(L509="假",M509="真"),"FN","TN"))))))</f>
        <v/>
      </c>
      <c r="S509" s="3" t="n"/>
      <c r="T509" s="3" t="n"/>
      <c r="U509" s="3" t="n"/>
      <c r="V509" s="3" t="n"/>
    </row>
    <row r="510">
      <c r="A510" s="3" t="n"/>
      <c r="B510" s="3" t="n"/>
      <c r="C510" s="3" t="n"/>
      <c r="D510" s="4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5">
        <f>IF(Q510&lt;&gt;"是","排除",IF(OR(L510="",M510=""),"",IF(OR(L510="未知",M510="未知"),"未知",IF(AND(L510="真",M510="真"),"TP",IF(AND(L510="真",M510="假"),"FP",IF(AND(L510="假",M510="真"),"FN","TN"))))))</f>
        <v/>
      </c>
      <c r="S510" s="3" t="n"/>
      <c r="T510" s="3" t="n"/>
      <c r="U510" s="3" t="n"/>
      <c r="V510" s="3" t="n"/>
    </row>
    <row r="511">
      <c r="A511" s="3" t="n"/>
      <c r="B511" s="3" t="n"/>
      <c r="C511" s="3" t="n"/>
      <c r="D511" s="4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5">
        <f>IF(Q511&lt;&gt;"是","排除",IF(OR(L511="",M511=""),"",IF(OR(L511="未知",M511="未知"),"未知",IF(AND(L511="真",M511="真"),"TP",IF(AND(L511="真",M511="假"),"FP",IF(AND(L511="假",M511="真"),"FN","TN"))))))</f>
        <v/>
      </c>
      <c r="S511" s="3" t="n"/>
      <c r="T511" s="3" t="n"/>
      <c r="U511" s="3" t="n"/>
      <c r="V511" s="3" t="n"/>
    </row>
    <row r="512">
      <c r="A512" s="3" t="n"/>
      <c r="B512" s="3" t="n"/>
      <c r="C512" s="3" t="n"/>
      <c r="D512" s="4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5">
        <f>IF(Q512&lt;&gt;"是","排除",IF(OR(L512="",M512=""),"",IF(OR(L512="未知",M512="未知"),"未知",IF(AND(L512="真",M512="真"),"TP",IF(AND(L512="真",M512="假"),"FP",IF(AND(L512="假",M512="真"),"FN","TN"))))))</f>
        <v/>
      </c>
      <c r="S512" s="3" t="n"/>
      <c r="T512" s="3" t="n"/>
      <c r="U512" s="3" t="n"/>
      <c r="V512" s="3" t="n"/>
    </row>
    <row r="513">
      <c r="A513" s="3" t="n"/>
      <c r="B513" s="3" t="n"/>
      <c r="C513" s="3" t="n"/>
      <c r="D513" s="4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5">
        <f>IF(Q513&lt;&gt;"是","排除",IF(OR(L513="",M513=""),"",IF(OR(L513="未知",M513="未知"),"未知",IF(AND(L513="真",M513="真"),"TP",IF(AND(L513="真",M513="假"),"FP",IF(AND(L513="假",M513="真"),"FN","TN"))))))</f>
        <v/>
      </c>
      <c r="S513" s="3" t="n"/>
      <c r="T513" s="3" t="n"/>
      <c r="U513" s="3" t="n"/>
      <c r="V513" s="3" t="n"/>
    </row>
    <row r="514">
      <c r="A514" s="3" t="n"/>
      <c r="B514" s="3" t="n"/>
      <c r="C514" s="3" t="n"/>
      <c r="D514" s="4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5">
        <f>IF(Q514&lt;&gt;"是","排除",IF(OR(L514="",M514=""),"",IF(OR(L514="未知",M514="未知"),"未知",IF(AND(L514="真",M514="真"),"TP",IF(AND(L514="真",M514="假"),"FP",IF(AND(L514="假",M514="真"),"FN","TN"))))))</f>
        <v/>
      </c>
      <c r="S514" s="3" t="n"/>
      <c r="T514" s="3" t="n"/>
      <c r="U514" s="3" t="n"/>
      <c r="V514" s="3" t="n"/>
    </row>
    <row r="515">
      <c r="A515" s="3" t="n"/>
      <c r="B515" s="3" t="n"/>
      <c r="C515" s="3" t="n"/>
      <c r="D515" s="4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5">
        <f>IF(Q515&lt;&gt;"是","排除",IF(OR(L515="",M515=""),"",IF(OR(L515="未知",M515="未知"),"未知",IF(AND(L515="真",M515="真"),"TP",IF(AND(L515="真",M515="假"),"FP",IF(AND(L515="假",M515="真"),"FN","TN"))))))</f>
        <v/>
      </c>
      <c r="S515" s="3" t="n"/>
      <c r="T515" s="3" t="n"/>
      <c r="U515" s="3" t="n"/>
      <c r="V515" s="3" t="n"/>
    </row>
    <row r="516">
      <c r="A516" s="3" t="n"/>
      <c r="B516" s="3" t="n"/>
      <c r="C516" s="3" t="n"/>
      <c r="D516" s="4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5">
        <f>IF(Q516&lt;&gt;"是","排除",IF(OR(L516="",M516=""),"",IF(OR(L516="未知",M516="未知"),"未知",IF(AND(L516="真",M516="真"),"TP",IF(AND(L516="真",M516="假"),"FP",IF(AND(L516="假",M516="真"),"FN","TN"))))))</f>
        <v/>
      </c>
      <c r="S516" s="3" t="n"/>
      <c r="T516" s="3" t="n"/>
      <c r="U516" s="3" t="n"/>
      <c r="V516" s="3" t="n"/>
    </row>
    <row r="517">
      <c r="A517" s="3" t="n"/>
      <c r="B517" s="3" t="n"/>
      <c r="C517" s="3" t="n"/>
      <c r="D517" s="4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5">
        <f>IF(Q517&lt;&gt;"是","排除",IF(OR(L517="",M517=""),"",IF(OR(L517="未知",M517="未知"),"未知",IF(AND(L517="真",M517="真"),"TP",IF(AND(L517="真",M517="假"),"FP",IF(AND(L517="假",M517="真"),"FN","TN"))))))</f>
        <v/>
      </c>
      <c r="S517" s="3" t="n"/>
      <c r="T517" s="3" t="n"/>
      <c r="U517" s="3" t="n"/>
      <c r="V517" s="3" t="n"/>
    </row>
    <row r="518">
      <c r="A518" s="3" t="n"/>
      <c r="B518" s="3" t="n"/>
      <c r="C518" s="3" t="n"/>
      <c r="D518" s="4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5">
        <f>IF(Q518&lt;&gt;"是","排除",IF(OR(L518="",M518=""),"",IF(OR(L518="未知",M518="未知"),"未知",IF(AND(L518="真",M518="真"),"TP",IF(AND(L518="真",M518="假"),"FP",IF(AND(L518="假",M518="真"),"FN","TN"))))))</f>
        <v/>
      </c>
      <c r="S518" s="3" t="n"/>
      <c r="T518" s="3" t="n"/>
      <c r="U518" s="3" t="n"/>
      <c r="V518" s="3" t="n"/>
    </row>
    <row r="519">
      <c r="A519" s="3" t="n"/>
      <c r="B519" s="3" t="n"/>
      <c r="C519" s="3" t="n"/>
      <c r="D519" s="4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5">
        <f>IF(Q519&lt;&gt;"是","排除",IF(OR(L519="",M519=""),"",IF(OR(L519="未知",M519="未知"),"未知",IF(AND(L519="真",M519="真"),"TP",IF(AND(L519="真",M519="假"),"FP",IF(AND(L519="假",M519="真"),"FN","TN"))))))</f>
        <v/>
      </c>
      <c r="S519" s="3" t="n"/>
      <c r="T519" s="3" t="n"/>
      <c r="U519" s="3" t="n"/>
      <c r="V519" s="3" t="n"/>
    </row>
    <row r="520">
      <c r="A520" s="3" t="n"/>
      <c r="B520" s="3" t="n"/>
      <c r="C520" s="3" t="n"/>
      <c r="D520" s="4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5">
        <f>IF(Q520&lt;&gt;"是","排除",IF(OR(L520="",M520=""),"",IF(OR(L520="未知",M520="未知"),"未知",IF(AND(L520="真",M520="真"),"TP",IF(AND(L520="真",M520="假"),"FP",IF(AND(L520="假",M520="真"),"FN","TN"))))))</f>
        <v/>
      </c>
      <c r="S520" s="3" t="n"/>
      <c r="T520" s="3" t="n"/>
      <c r="U520" s="3" t="n"/>
      <c r="V520" s="3" t="n"/>
    </row>
    <row r="521">
      <c r="A521" s="3" t="n"/>
      <c r="B521" s="3" t="n"/>
      <c r="C521" s="3" t="n"/>
      <c r="D521" s="4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5">
        <f>IF(Q521&lt;&gt;"是","排除",IF(OR(L521="",M521=""),"",IF(OR(L521="未知",M521="未知"),"未知",IF(AND(L521="真",M521="真"),"TP",IF(AND(L521="真",M521="假"),"FP",IF(AND(L521="假",M521="真"),"FN","TN"))))))</f>
        <v/>
      </c>
      <c r="S521" s="3" t="n"/>
      <c r="T521" s="3" t="n"/>
      <c r="U521" s="3" t="n"/>
      <c r="V521" s="3" t="n"/>
    </row>
    <row r="522">
      <c r="A522" s="3" t="n"/>
      <c r="B522" s="3" t="n"/>
      <c r="C522" s="3" t="n"/>
      <c r="D522" s="4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5">
        <f>IF(Q522&lt;&gt;"是","排除",IF(OR(L522="",M522=""),"",IF(OR(L522="未知",M522="未知"),"未知",IF(AND(L522="真",M522="真"),"TP",IF(AND(L522="真",M522="假"),"FP",IF(AND(L522="假",M522="真"),"FN","TN"))))))</f>
        <v/>
      </c>
      <c r="S522" s="3" t="n"/>
      <c r="T522" s="3" t="n"/>
      <c r="U522" s="3" t="n"/>
      <c r="V522" s="3" t="n"/>
    </row>
    <row r="523">
      <c r="A523" s="3" t="n"/>
      <c r="B523" s="3" t="n"/>
      <c r="C523" s="3" t="n"/>
      <c r="D523" s="4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5">
        <f>IF(Q523&lt;&gt;"是","排除",IF(OR(L523="",M523=""),"",IF(OR(L523="未知",M523="未知"),"未知",IF(AND(L523="真",M523="真"),"TP",IF(AND(L523="真",M523="假"),"FP",IF(AND(L523="假",M523="真"),"FN","TN"))))))</f>
        <v/>
      </c>
      <c r="S523" s="3" t="n"/>
      <c r="T523" s="3" t="n"/>
      <c r="U523" s="3" t="n"/>
      <c r="V523" s="3" t="n"/>
    </row>
    <row r="524">
      <c r="A524" s="3" t="n"/>
      <c r="B524" s="3" t="n"/>
      <c r="C524" s="3" t="n"/>
      <c r="D524" s="4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5">
        <f>IF(Q524&lt;&gt;"是","排除",IF(OR(L524="",M524=""),"",IF(OR(L524="未知",M524="未知"),"未知",IF(AND(L524="真",M524="真"),"TP",IF(AND(L524="真",M524="假"),"FP",IF(AND(L524="假",M524="真"),"FN","TN"))))))</f>
        <v/>
      </c>
      <c r="S524" s="3" t="n"/>
      <c r="T524" s="3" t="n"/>
      <c r="U524" s="3" t="n"/>
      <c r="V524" s="3" t="n"/>
    </row>
    <row r="525">
      <c r="A525" s="3" t="n"/>
      <c r="B525" s="3" t="n"/>
      <c r="C525" s="3" t="n"/>
      <c r="D525" s="4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5">
        <f>IF(Q525&lt;&gt;"是","排除",IF(OR(L525="",M525=""),"",IF(OR(L525="未知",M525="未知"),"未知",IF(AND(L525="真",M525="真"),"TP",IF(AND(L525="真",M525="假"),"FP",IF(AND(L525="假",M525="真"),"FN","TN"))))))</f>
        <v/>
      </c>
      <c r="S525" s="3" t="n"/>
      <c r="T525" s="3" t="n"/>
      <c r="U525" s="3" t="n"/>
      <c r="V525" s="3" t="n"/>
    </row>
    <row r="526">
      <c r="A526" s="3" t="n"/>
      <c r="B526" s="3" t="n"/>
      <c r="C526" s="3" t="n"/>
      <c r="D526" s="4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5">
        <f>IF(Q526&lt;&gt;"是","排除",IF(OR(L526="",M526=""),"",IF(OR(L526="未知",M526="未知"),"未知",IF(AND(L526="真",M526="真"),"TP",IF(AND(L526="真",M526="假"),"FP",IF(AND(L526="假",M526="真"),"FN","TN"))))))</f>
        <v/>
      </c>
      <c r="S526" s="3" t="n"/>
      <c r="T526" s="3" t="n"/>
      <c r="U526" s="3" t="n"/>
      <c r="V526" s="3" t="n"/>
    </row>
    <row r="527">
      <c r="A527" s="3" t="n"/>
      <c r="B527" s="3" t="n"/>
      <c r="C527" s="3" t="n"/>
      <c r="D527" s="4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5">
        <f>IF(Q527&lt;&gt;"是","排除",IF(OR(L527="",M527=""),"",IF(OR(L527="未知",M527="未知"),"未知",IF(AND(L527="真",M527="真"),"TP",IF(AND(L527="真",M527="假"),"FP",IF(AND(L527="假",M527="真"),"FN","TN"))))))</f>
        <v/>
      </c>
      <c r="S527" s="3" t="n"/>
      <c r="T527" s="3" t="n"/>
      <c r="U527" s="3" t="n"/>
      <c r="V527" s="3" t="n"/>
    </row>
    <row r="528">
      <c r="A528" s="3" t="n"/>
      <c r="B528" s="3" t="n"/>
      <c r="C528" s="3" t="n"/>
      <c r="D528" s="4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5">
        <f>IF(Q528&lt;&gt;"是","排除",IF(OR(L528="",M528=""),"",IF(OR(L528="未知",M528="未知"),"未知",IF(AND(L528="真",M528="真"),"TP",IF(AND(L528="真",M528="假"),"FP",IF(AND(L528="假",M528="真"),"FN","TN"))))))</f>
        <v/>
      </c>
      <c r="S528" s="3" t="n"/>
      <c r="T528" s="3" t="n"/>
      <c r="U528" s="3" t="n"/>
      <c r="V528" s="3" t="n"/>
    </row>
    <row r="529">
      <c r="A529" s="3" t="n"/>
      <c r="B529" s="3" t="n"/>
      <c r="C529" s="3" t="n"/>
      <c r="D529" s="4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5">
        <f>IF(Q529&lt;&gt;"是","排除",IF(OR(L529="",M529=""),"",IF(OR(L529="未知",M529="未知"),"未知",IF(AND(L529="真",M529="真"),"TP",IF(AND(L529="真",M529="假"),"FP",IF(AND(L529="假",M529="真"),"FN","TN"))))))</f>
        <v/>
      </c>
      <c r="S529" s="3" t="n"/>
      <c r="T529" s="3" t="n"/>
      <c r="U529" s="3" t="n"/>
      <c r="V529" s="3" t="n"/>
    </row>
    <row r="530">
      <c r="A530" s="3" t="n"/>
      <c r="B530" s="3" t="n"/>
      <c r="C530" s="3" t="n"/>
      <c r="D530" s="4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5">
        <f>IF(Q530&lt;&gt;"是","排除",IF(OR(L530="",M530=""),"",IF(OR(L530="未知",M530="未知"),"未知",IF(AND(L530="真",M530="真"),"TP",IF(AND(L530="真",M530="假"),"FP",IF(AND(L530="假",M530="真"),"FN","TN"))))))</f>
        <v/>
      </c>
      <c r="S530" s="3" t="n"/>
      <c r="T530" s="3" t="n"/>
      <c r="U530" s="3" t="n"/>
      <c r="V530" s="3" t="n"/>
    </row>
    <row r="531">
      <c r="A531" s="3" t="n"/>
      <c r="B531" s="3" t="n"/>
      <c r="C531" s="3" t="n"/>
      <c r="D531" s="4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5">
        <f>IF(Q531&lt;&gt;"是","排除",IF(OR(L531="",M531=""),"",IF(OR(L531="未知",M531="未知"),"未知",IF(AND(L531="真",M531="真"),"TP",IF(AND(L531="真",M531="假"),"FP",IF(AND(L531="假",M531="真"),"FN","TN"))))))</f>
        <v/>
      </c>
      <c r="S531" s="3" t="n"/>
      <c r="T531" s="3" t="n"/>
      <c r="U531" s="3" t="n"/>
      <c r="V531" s="3" t="n"/>
    </row>
    <row r="532">
      <c r="A532" s="3" t="n"/>
      <c r="B532" s="3" t="n"/>
      <c r="C532" s="3" t="n"/>
      <c r="D532" s="4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5">
        <f>IF(Q532&lt;&gt;"是","排除",IF(OR(L532="",M532=""),"",IF(OR(L532="未知",M532="未知"),"未知",IF(AND(L532="真",M532="真"),"TP",IF(AND(L532="真",M532="假"),"FP",IF(AND(L532="假",M532="真"),"FN","TN"))))))</f>
        <v/>
      </c>
      <c r="S532" s="3" t="n"/>
      <c r="T532" s="3" t="n"/>
      <c r="U532" s="3" t="n"/>
      <c r="V532" s="3" t="n"/>
    </row>
    <row r="533">
      <c r="A533" s="3" t="n"/>
      <c r="B533" s="3" t="n"/>
      <c r="C533" s="3" t="n"/>
      <c r="D533" s="4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5">
        <f>IF(Q533&lt;&gt;"是","排除",IF(OR(L533="",M533=""),"",IF(OR(L533="未知",M533="未知"),"未知",IF(AND(L533="真",M533="真"),"TP",IF(AND(L533="真",M533="假"),"FP",IF(AND(L533="假",M533="真"),"FN","TN"))))))</f>
        <v/>
      </c>
      <c r="S533" s="3" t="n"/>
      <c r="T533" s="3" t="n"/>
      <c r="U533" s="3" t="n"/>
      <c r="V533" s="3" t="n"/>
    </row>
    <row r="534">
      <c r="A534" s="3" t="n"/>
      <c r="B534" s="3" t="n"/>
      <c r="C534" s="3" t="n"/>
      <c r="D534" s="4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5">
        <f>IF(Q534&lt;&gt;"是","排除",IF(OR(L534="",M534=""),"",IF(OR(L534="未知",M534="未知"),"未知",IF(AND(L534="真",M534="真"),"TP",IF(AND(L534="真",M534="假"),"FP",IF(AND(L534="假",M534="真"),"FN","TN"))))))</f>
        <v/>
      </c>
      <c r="S534" s="3" t="n"/>
      <c r="T534" s="3" t="n"/>
      <c r="U534" s="3" t="n"/>
      <c r="V534" s="3" t="n"/>
    </row>
    <row r="535">
      <c r="A535" s="3" t="n"/>
      <c r="B535" s="3" t="n"/>
      <c r="C535" s="3" t="n"/>
      <c r="D535" s="4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5">
        <f>IF(Q535&lt;&gt;"是","排除",IF(OR(L535="",M535=""),"",IF(OR(L535="未知",M535="未知"),"未知",IF(AND(L535="真",M535="真"),"TP",IF(AND(L535="真",M535="假"),"FP",IF(AND(L535="假",M535="真"),"FN","TN"))))))</f>
        <v/>
      </c>
      <c r="S535" s="3" t="n"/>
      <c r="T535" s="3" t="n"/>
      <c r="U535" s="3" t="n"/>
      <c r="V535" s="3" t="n"/>
    </row>
    <row r="536">
      <c r="A536" s="3" t="n"/>
      <c r="B536" s="3" t="n"/>
      <c r="C536" s="3" t="n"/>
      <c r="D536" s="4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5">
        <f>IF(Q536&lt;&gt;"是","排除",IF(OR(L536="",M536=""),"",IF(OR(L536="未知",M536="未知"),"未知",IF(AND(L536="真",M536="真"),"TP",IF(AND(L536="真",M536="假"),"FP",IF(AND(L536="假",M536="真"),"FN","TN"))))))</f>
        <v/>
      </c>
      <c r="S536" s="3" t="n"/>
      <c r="T536" s="3" t="n"/>
      <c r="U536" s="3" t="n"/>
      <c r="V536" s="3" t="n"/>
    </row>
    <row r="537">
      <c r="A537" s="3" t="n"/>
      <c r="B537" s="3" t="n"/>
      <c r="C537" s="3" t="n"/>
      <c r="D537" s="4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5">
        <f>IF(Q537&lt;&gt;"是","排除",IF(OR(L537="",M537=""),"",IF(OR(L537="未知",M537="未知"),"未知",IF(AND(L537="真",M537="真"),"TP",IF(AND(L537="真",M537="假"),"FP",IF(AND(L537="假",M537="真"),"FN","TN"))))))</f>
        <v/>
      </c>
      <c r="S537" s="3" t="n"/>
      <c r="T537" s="3" t="n"/>
      <c r="U537" s="3" t="n"/>
      <c r="V537" s="3" t="n"/>
    </row>
    <row r="538">
      <c r="A538" s="3" t="n"/>
      <c r="B538" s="3" t="n"/>
      <c r="C538" s="3" t="n"/>
      <c r="D538" s="4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5">
        <f>IF(Q538&lt;&gt;"是","排除",IF(OR(L538="",M538=""),"",IF(OR(L538="未知",M538="未知"),"未知",IF(AND(L538="真",M538="真"),"TP",IF(AND(L538="真",M538="假"),"FP",IF(AND(L538="假",M538="真"),"FN","TN"))))))</f>
        <v/>
      </c>
      <c r="S538" s="3" t="n"/>
      <c r="T538" s="3" t="n"/>
      <c r="U538" s="3" t="n"/>
      <c r="V538" s="3" t="n"/>
    </row>
    <row r="539">
      <c r="A539" s="3" t="n"/>
      <c r="B539" s="3" t="n"/>
      <c r="C539" s="3" t="n"/>
      <c r="D539" s="4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5">
        <f>IF(Q539&lt;&gt;"是","排除",IF(OR(L539="",M539=""),"",IF(OR(L539="未知",M539="未知"),"未知",IF(AND(L539="真",M539="真"),"TP",IF(AND(L539="真",M539="假"),"FP",IF(AND(L539="假",M539="真"),"FN","TN"))))))</f>
        <v/>
      </c>
      <c r="S539" s="3" t="n"/>
      <c r="T539" s="3" t="n"/>
      <c r="U539" s="3" t="n"/>
      <c r="V539" s="3" t="n"/>
    </row>
    <row r="540">
      <c r="A540" s="3" t="n"/>
      <c r="B540" s="3" t="n"/>
      <c r="C540" s="3" t="n"/>
      <c r="D540" s="4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5">
        <f>IF(Q540&lt;&gt;"是","排除",IF(OR(L540="",M540=""),"",IF(OR(L540="未知",M540="未知"),"未知",IF(AND(L540="真",M540="真"),"TP",IF(AND(L540="真",M540="假"),"FP",IF(AND(L540="假",M540="真"),"FN","TN"))))))</f>
        <v/>
      </c>
      <c r="S540" s="3" t="n"/>
      <c r="T540" s="3" t="n"/>
      <c r="U540" s="3" t="n"/>
      <c r="V540" s="3" t="n"/>
    </row>
    <row r="541">
      <c r="A541" s="3" t="n"/>
      <c r="B541" s="3" t="n"/>
      <c r="C541" s="3" t="n"/>
      <c r="D541" s="4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5">
        <f>IF(Q541&lt;&gt;"是","排除",IF(OR(L541="",M541=""),"",IF(OR(L541="未知",M541="未知"),"未知",IF(AND(L541="真",M541="真"),"TP",IF(AND(L541="真",M541="假"),"FP",IF(AND(L541="假",M541="真"),"FN","TN"))))))</f>
        <v/>
      </c>
      <c r="S541" s="3" t="n"/>
      <c r="T541" s="3" t="n"/>
      <c r="U541" s="3" t="n"/>
      <c r="V541" s="3" t="n"/>
    </row>
    <row r="542">
      <c r="A542" s="3" t="n"/>
      <c r="B542" s="3" t="n"/>
      <c r="C542" s="3" t="n"/>
      <c r="D542" s="4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5">
        <f>IF(Q542&lt;&gt;"是","排除",IF(OR(L542="",M542=""),"",IF(OR(L542="未知",M542="未知"),"未知",IF(AND(L542="真",M542="真"),"TP",IF(AND(L542="真",M542="假"),"FP",IF(AND(L542="假",M542="真"),"FN","TN"))))))</f>
        <v/>
      </c>
      <c r="S542" s="3" t="n"/>
      <c r="T542" s="3" t="n"/>
      <c r="U542" s="3" t="n"/>
      <c r="V542" s="3" t="n"/>
    </row>
    <row r="543">
      <c r="A543" s="3" t="n"/>
      <c r="B543" s="3" t="n"/>
      <c r="C543" s="3" t="n"/>
      <c r="D543" s="4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5">
        <f>IF(Q543&lt;&gt;"是","排除",IF(OR(L543="",M543=""),"",IF(OR(L543="未知",M543="未知"),"未知",IF(AND(L543="真",M543="真"),"TP",IF(AND(L543="真",M543="假"),"FP",IF(AND(L543="假",M543="真"),"FN","TN"))))))</f>
        <v/>
      </c>
      <c r="S543" s="3" t="n"/>
      <c r="T543" s="3" t="n"/>
      <c r="U543" s="3" t="n"/>
      <c r="V543" s="3" t="n"/>
    </row>
    <row r="544">
      <c r="A544" s="3" t="n"/>
      <c r="B544" s="3" t="n"/>
      <c r="C544" s="3" t="n"/>
      <c r="D544" s="4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5">
        <f>IF(Q544&lt;&gt;"是","排除",IF(OR(L544="",M544=""),"",IF(OR(L544="未知",M544="未知"),"未知",IF(AND(L544="真",M544="真"),"TP",IF(AND(L544="真",M544="假"),"FP",IF(AND(L544="假",M544="真"),"FN","TN"))))))</f>
        <v/>
      </c>
      <c r="S544" s="3" t="n"/>
      <c r="T544" s="3" t="n"/>
      <c r="U544" s="3" t="n"/>
      <c r="V544" s="3" t="n"/>
    </row>
    <row r="545">
      <c r="A545" s="3" t="n"/>
      <c r="B545" s="3" t="n"/>
      <c r="C545" s="3" t="n"/>
      <c r="D545" s="4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5">
        <f>IF(Q545&lt;&gt;"是","排除",IF(OR(L545="",M545=""),"",IF(OR(L545="未知",M545="未知"),"未知",IF(AND(L545="真",M545="真"),"TP",IF(AND(L545="真",M545="假"),"FP",IF(AND(L545="假",M545="真"),"FN","TN"))))))</f>
        <v/>
      </c>
      <c r="S545" s="3" t="n"/>
      <c r="T545" s="3" t="n"/>
      <c r="U545" s="3" t="n"/>
      <c r="V545" s="3" t="n"/>
    </row>
    <row r="546">
      <c r="A546" s="3" t="n"/>
      <c r="B546" s="3" t="n"/>
      <c r="C546" s="3" t="n"/>
      <c r="D546" s="4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5">
        <f>IF(Q546&lt;&gt;"是","排除",IF(OR(L546="",M546=""),"",IF(OR(L546="未知",M546="未知"),"未知",IF(AND(L546="真",M546="真"),"TP",IF(AND(L546="真",M546="假"),"FP",IF(AND(L546="假",M546="真"),"FN","TN"))))))</f>
        <v/>
      </c>
      <c r="S546" s="3" t="n"/>
      <c r="T546" s="3" t="n"/>
      <c r="U546" s="3" t="n"/>
      <c r="V546" s="3" t="n"/>
    </row>
    <row r="547">
      <c r="A547" s="3" t="n"/>
      <c r="B547" s="3" t="n"/>
      <c r="C547" s="3" t="n"/>
      <c r="D547" s="4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5">
        <f>IF(Q547&lt;&gt;"是","排除",IF(OR(L547="",M547=""),"",IF(OR(L547="未知",M547="未知"),"未知",IF(AND(L547="真",M547="真"),"TP",IF(AND(L547="真",M547="假"),"FP",IF(AND(L547="假",M547="真"),"FN","TN"))))))</f>
        <v/>
      </c>
      <c r="S547" s="3" t="n"/>
      <c r="T547" s="3" t="n"/>
      <c r="U547" s="3" t="n"/>
      <c r="V547" s="3" t="n"/>
    </row>
    <row r="548">
      <c r="A548" s="3" t="n"/>
      <c r="B548" s="3" t="n"/>
      <c r="C548" s="3" t="n"/>
      <c r="D548" s="4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5">
        <f>IF(Q548&lt;&gt;"是","排除",IF(OR(L548="",M548=""),"",IF(OR(L548="未知",M548="未知"),"未知",IF(AND(L548="真",M548="真"),"TP",IF(AND(L548="真",M548="假"),"FP",IF(AND(L548="假",M548="真"),"FN","TN"))))))</f>
        <v/>
      </c>
      <c r="S548" s="3" t="n"/>
      <c r="T548" s="3" t="n"/>
      <c r="U548" s="3" t="n"/>
      <c r="V548" s="3" t="n"/>
    </row>
    <row r="549">
      <c r="A549" s="3" t="n"/>
      <c r="B549" s="3" t="n"/>
      <c r="C549" s="3" t="n"/>
      <c r="D549" s="4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5">
        <f>IF(Q549&lt;&gt;"是","排除",IF(OR(L549="",M549=""),"",IF(OR(L549="未知",M549="未知"),"未知",IF(AND(L549="真",M549="真"),"TP",IF(AND(L549="真",M549="假"),"FP",IF(AND(L549="假",M549="真"),"FN","TN"))))))</f>
        <v/>
      </c>
      <c r="S549" s="3" t="n"/>
      <c r="T549" s="3" t="n"/>
      <c r="U549" s="3" t="n"/>
      <c r="V549" s="3" t="n"/>
    </row>
    <row r="550">
      <c r="A550" s="3" t="n"/>
      <c r="B550" s="3" t="n"/>
      <c r="C550" s="3" t="n"/>
      <c r="D550" s="4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5">
        <f>IF(Q550&lt;&gt;"是","排除",IF(OR(L550="",M550=""),"",IF(OR(L550="未知",M550="未知"),"未知",IF(AND(L550="真",M550="真"),"TP",IF(AND(L550="真",M550="假"),"FP",IF(AND(L550="假",M550="真"),"FN","TN"))))))</f>
        <v/>
      </c>
      <c r="S550" s="3" t="n"/>
      <c r="T550" s="3" t="n"/>
      <c r="U550" s="3" t="n"/>
      <c r="V550" s="3" t="n"/>
    </row>
    <row r="551">
      <c r="A551" s="3" t="n"/>
      <c r="B551" s="3" t="n"/>
      <c r="C551" s="3" t="n"/>
      <c r="D551" s="4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5">
        <f>IF(Q551&lt;&gt;"是","排除",IF(OR(L551="",M551=""),"",IF(OR(L551="未知",M551="未知"),"未知",IF(AND(L551="真",M551="真"),"TP",IF(AND(L551="真",M551="假"),"FP",IF(AND(L551="假",M551="真"),"FN","TN"))))))</f>
        <v/>
      </c>
      <c r="S551" s="3" t="n"/>
      <c r="T551" s="3" t="n"/>
      <c r="U551" s="3" t="n"/>
      <c r="V551" s="3" t="n"/>
    </row>
    <row r="552">
      <c r="A552" s="3" t="n"/>
      <c r="B552" s="3" t="n"/>
      <c r="C552" s="3" t="n"/>
      <c r="D552" s="4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5">
        <f>IF(Q552&lt;&gt;"是","排除",IF(OR(L552="",M552=""),"",IF(OR(L552="未知",M552="未知"),"未知",IF(AND(L552="真",M552="真"),"TP",IF(AND(L552="真",M552="假"),"FP",IF(AND(L552="假",M552="真"),"FN","TN"))))))</f>
        <v/>
      </c>
      <c r="S552" s="3" t="n"/>
      <c r="T552" s="3" t="n"/>
      <c r="U552" s="3" t="n"/>
      <c r="V552" s="3" t="n"/>
    </row>
    <row r="553">
      <c r="A553" s="3" t="n"/>
      <c r="B553" s="3" t="n"/>
      <c r="C553" s="3" t="n"/>
      <c r="D553" s="4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5">
        <f>IF(Q553&lt;&gt;"是","排除",IF(OR(L553="",M553=""),"",IF(OR(L553="未知",M553="未知"),"未知",IF(AND(L553="真",M553="真"),"TP",IF(AND(L553="真",M553="假"),"FP",IF(AND(L553="假",M553="真"),"FN","TN"))))))</f>
        <v/>
      </c>
      <c r="S553" s="3" t="n"/>
      <c r="T553" s="3" t="n"/>
      <c r="U553" s="3" t="n"/>
      <c r="V553" s="3" t="n"/>
    </row>
    <row r="554">
      <c r="A554" s="3" t="n"/>
      <c r="B554" s="3" t="n"/>
      <c r="C554" s="3" t="n"/>
      <c r="D554" s="4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5">
        <f>IF(Q554&lt;&gt;"是","排除",IF(OR(L554="",M554=""),"",IF(OR(L554="未知",M554="未知"),"未知",IF(AND(L554="真",M554="真"),"TP",IF(AND(L554="真",M554="假"),"FP",IF(AND(L554="假",M554="真"),"FN","TN"))))))</f>
        <v/>
      </c>
      <c r="S554" s="3" t="n"/>
      <c r="T554" s="3" t="n"/>
      <c r="U554" s="3" t="n"/>
      <c r="V554" s="3" t="n"/>
    </row>
    <row r="555">
      <c r="A555" s="3" t="n"/>
      <c r="B555" s="3" t="n"/>
      <c r="C555" s="3" t="n"/>
      <c r="D555" s="4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5">
        <f>IF(Q555&lt;&gt;"是","排除",IF(OR(L555="",M555=""),"",IF(OR(L555="未知",M555="未知"),"未知",IF(AND(L555="真",M555="真"),"TP",IF(AND(L555="真",M555="假"),"FP",IF(AND(L555="假",M555="真"),"FN","TN"))))))</f>
        <v/>
      </c>
      <c r="S555" s="3" t="n"/>
      <c r="T555" s="3" t="n"/>
      <c r="U555" s="3" t="n"/>
      <c r="V555" s="3" t="n"/>
    </row>
    <row r="556">
      <c r="A556" s="3" t="n"/>
      <c r="B556" s="3" t="n"/>
      <c r="C556" s="3" t="n"/>
      <c r="D556" s="4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5">
        <f>IF(Q556&lt;&gt;"是","排除",IF(OR(L556="",M556=""),"",IF(OR(L556="未知",M556="未知"),"未知",IF(AND(L556="真",M556="真"),"TP",IF(AND(L556="真",M556="假"),"FP",IF(AND(L556="假",M556="真"),"FN","TN"))))))</f>
        <v/>
      </c>
      <c r="S556" s="3" t="n"/>
      <c r="T556" s="3" t="n"/>
      <c r="U556" s="3" t="n"/>
      <c r="V556" s="3" t="n"/>
    </row>
    <row r="557">
      <c r="A557" s="3" t="n"/>
      <c r="B557" s="3" t="n"/>
      <c r="C557" s="3" t="n"/>
      <c r="D557" s="4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5">
        <f>IF(Q557&lt;&gt;"是","排除",IF(OR(L557="",M557=""),"",IF(OR(L557="未知",M557="未知"),"未知",IF(AND(L557="真",M557="真"),"TP",IF(AND(L557="真",M557="假"),"FP",IF(AND(L557="假",M557="真"),"FN","TN"))))))</f>
        <v/>
      </c>
      <c r="S557" s="3" t="n"/>
      <c r="T557" s="3" t="n"/>
      <c r="U557" s="3" t="n"/>
      <c r="V557" s="3" t="n"/>
    </row>
    <row r="558">
      <c r="A558" s="3" t="n"/>
      <c r="B558" s="3" t="n"/>
      <c r="C558" s="3" t="n"/>
      <c r="D558" s="4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5">
        <f>IF(Q558&lt;&gt;"是","排除",IF(OR(L558="",M558=""),"",IF(OR(L558="未知",M558="未知"),"未知",IF(AND(L558="真",M558="真"),"TP",IF(AND(L558="真",M558="假"),"FP",IF(AND(L558="假",M558="真"),"FN","TN"))))))</f>
        <v/>
      </c>
      <c r="S558" s="3" t="n"/>
      <c r="T558" s="3" t="n"/>
      <c r="U558" s="3" t="n"/>
      <c r="V558" s="3" t="n"/>
    </row>
    <row r="559">
      <c r="A559" s="3" t="n"/>
      <c r="B559" s="3" t="n"/>
      <c r="C559" s="3" t="n"/>
      <c r="D559" s="4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5">
        <f>IF(Q559&lt;&gt;"是","排除",IF(OR(L559="",M559=""),"",IF(OR(L559="未知",M559="未知"),"未知",IF(AND(L559="真",M559="真"),"TP",IF(AND(L559="真",M559="假"),"FP",IF(AND(L559="假",M559="真"),"FN","TN"))))))</f>
        <v/>
      </c>
      <c r="S559" s="3" t="n"/>
      <c r="T559" s="3" t="n"/>
      <c r="U559" s="3" t="n"/>
      <c r="V559" s="3" t="n"/>
    </row>
    <row r="560">
      <c r="A560" s="3" t="n"/>
      <c r="B560" s="3" t="n"/>
      <c r="C560" s="3" t="n"/>
      <c r="D560" s="4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5">
        <f>IF(Q560&lt;&gt;"是","排除",IF(OR(L560="",M560=""),"",IF(OR(L560="未知",M560="未知"),"未知",IF(AND(L560="真",M560="真"),"TP",IF(AND(L560="真",M560="假"),"FP",IF(AND(L560="假",M560="真"),"FN","TN"))))))</f>
        <v/>
      </c>
      <c r="S560" s="3" t="n"/>
      <c r="T560" s="3" t="n"/>
      <c r="U560" s="3" t="n"/>
      <c r="V560" s="3" t="n"/>
    </row>
    <row r="561">
      <c r="A561" s="3" t="n"/>
      <c r="B561" s="3" t="n"/>
      <c r="C561" s="3" t="n"/>
      <c r="D561" s="4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5">
        <f>IF(Q561&lt;&gt;"是","排除",IF(OR(L561="",M561=""),"",IF(OR(L561="未知",M561="未知"),"未知",IF(AND(L561="真",M561="真"),"TP",IF(AND(L561="真",M561="假"),"FP",IF(AND(L561="假",M561="真"),"FN","TN"))))))</f>
        <v/>
      </c>
      <c r="S561" s="3" t="n"/>
      <c r="T561" s="3" t="n"/>
      <c r="U561" s="3" t="n"/>
      <c r="V561" s="3" t="n"/>
    </row>
    <row r="562">
      <c r="A562" s="3" t="n"/>
      <c r="B562" s="3" t="n"/>
      <c r="C562" s="3" t="n"/>
      <c r="D562" s="4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5">
        <f>IF(Q562&lt;&gt;"是","排除",IF(OR(L562="",M562=""),"",IF(OR(L562="未知",M562="未知"),"未知",IF(AND(L562="真",M562="真"),"TP",IF(AND(L562="真",M562="假"),"FP",IF(AND(L562="假",M562="真"),"FN","TN"))))))</f>
        <v/>
      </c>
      <c r="S562" s="3" t="n"/>
      <c r="T562" s="3" t="n"/>
      <c r="U562" s="3" t="n"/>
      <c r="V562" s="3" t="n"/>
    </row>
    <row r="563">
      <c r="A563" s="3" t="n"/>
      <c r="B563" s="3" t="n"/>
      <c r="C563" s="3" t="n"/>
      <c r="D563" s="4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5">
        <f>IF(Q563&lt;&gt;"是","排除",IF(OR(L563="",M563=""),"",IF(OR(L563="未知",M563="未知"),"未知",IF(AND(L563="真",M563="真"),"TP",IF(AND(L563="真",M563="假"),"FP",IF(AND(L563="假",M563="真"),"FN","TN"))))))</f>
        <v/>
      </c>
      <c r="S563" s="3" t="n"/>
      <c r="T563" s="3" t="n"/>
      <c r="U563" s="3" t="n"/>
      <c r="V563" s="3" t="n"/>
    </row>
    <row r="564">
      <c r="A564" s="3" t="n"/>
      <c r="B564" s="3" t="n"/>
      <c r="C564" s="3" t="n"/>
      <c r="D564" s="4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5">
        <f>IF(Q564&lt;&gt;"是","排除",IF(OR(L564="",M564=""),"",IF(OR(L564="未知",M564="未知"),"未知",IF(AND(L564="真",M564="真"),"TP",IF(AND(L564="真",M564="假"),"FP",IF(AND(L564="假",M564="真"),"FN","TN"))))))</f>
        <v/>
      </c>
      <c r="S564" s="3" t="n"/>
      <c r="T564" s="3" t="n"/>
      <c r="U564" s="3" t="n"/>
      <c r="V564" s="3" t="n"/>
    </row>
    <row r="565">
      <c r="A565" s="3" t="n"/>
      <c r="B565" s="3" t="n"/>
      <c r="C565" s="3" t="n"/>
      <c r="D565" s="4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5">
        <f>IF(Q565&lt;&gt;"是","排除",IF(OR(L565="",M565=""),"",IF(OR(L565="未知",M565="未知"),"未知",IF(AND(L565="真",M565="真"),"TP",IF(AND(L565="真",M565="假"),"FP",IF(AND(L565="假",M565="真"),"FN","TN"))))))</f>
        <v/>
      </c>
      <c r="S565" s="3" t="n"/>
      <c r="T565" s="3" t="n"/>
      <c r="U565" s="3" t="n"/>
      <c r="V565" s="3" t="n"/>
    </row>
    <row r="566">
      <c r="A566" s="3" t="n"/>
      <c r="B566" s="3" t="n"/>
      <c r="C566" s="3" t="n"/>
      <c r="D566" s="4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5">
        <f>IF(Q566&lt;&gt;"是","排除",IF(OR(L566="",M566=""),"",IF(OR(L566="未知",M566="未知"),"未知",IF(AND(L566="真",M566="真"),"TP",IF(AND(L566="真",M566="假"),"FP",IF(AND(L566="假",M566="真"),"FN","TN"))))))</f>
        <v/>
      </c>
      <c r="S566" s="3" t="n"/>
      <c r="T566" s="3" t="n"/>
      <c r="U566" s="3" t="n"/>
      <c r="V566" s="3" t="n"/>
    </row>
    <row r="567">
      <c r="A567" s="3" t="n"/>
      <c r="B567" s="3" t="n"/>
      <c r="C567" s="3" t="n"/>
      <c r="D567" s="4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5">
        <f>IF(Q567&lt;&gt;"是","排除",IF(OR(L567="",M567=""),"",IF(OR(L567="未知",M567="未知"),"未知",IF(AND(L567="真",M567="真"),"TP",IF(AND(L567="真",M567="假"),"FP",IF(AND(L567="假",M567="真"),"FN","TN"))))))</f>
        <v/>
      </c>
      <c r="S567" s="3" t="n"/>
      <c r="T567" s="3" t="n"/>
      <c r="U567" s="3" t="n"/>
      <c r="V567" s="3" t="n"/>
    </row>
    <row r="568">
      <c r="A568" s="3" t="n"/>
      <c r="B568" s="3" t="n"/>
      <c r="C568" s="3" t="n"/>
      <c r="D568" s="4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5">
        <f>IF(Q568&lt;&gt;"是","排除",IF(OR(L568="",M568=""),"",IF(OR(L568="未知",M568="未知"),"未知",IF(AND(L568="真",M568="真"),"TP",IF(AND(L568="真",M568="假"),"FP",IF(AND(L568="假",M568="真"),"FN","TN"))))))</f>
        <v/>
      </c>
      <c r="S568" s="3" t="n"/>
      <c r="T568" s="3" t="n"/>
      <c r="U568" s="3" t="n"/>
      <c r="V568" s="3" t="n"/>
    </row>
    <row r="569">
      <c r="A569" s="3" t="n"/>
      <c r="B569" s="3" t="n"/>
      <c r="C569" s="3" t="n"/>
      <c r="D569" s="4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5">
        <f>IF(Q569&lt;&gt;"是","排除",IF(OR(L569="",M569=""),"",IF(OR(L569="未知",M569="未知"),"未知",IF(AND(L569="真",M569="真"),"TP",IF(AND(L569="真",M569="假"),"FP",IF(AND(L569="假",M569="真"),"FN","TN"))))))</f>
        <v/>
      </c>
      <c r="S569" s="3" t="n"/>
      <c r="T569" s="3" t="n"/>
      <c r="U569" s="3" t="n"/>
      <c r="V569" s="3" t="n"/>
    </row>
    <row r="570">
      <c r="A570" s="3" t="n"/>
      <c r="B570" s="3" t="n"/>
      <c r="C570" s="3" t="n"/>
      <c r="D570" s="4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5">
        <f>IF(Q570&lt;&gt;"是","排除",IF(OR(L570="",M570=""),"",IF(OR(L570="未知",M570="未知"),"未知",IF(AND(L570="真",M570="真"),"TP",IF(AND(L570="真",M570="假"),"FP",IF(AND(L570="假",M570="真"),"FN","TN"))))))</f>
        <v/>
      </c>
      <c r="S570" s="3" t="n"/>
      <c r="T570" s="3" t="n"/>
      <c r="U570" s="3" t="n"/>
      <c r="V570" s="3" t="n"/>
    </row>
    <row r="571">
      <c r="A571" s="3" t="n"/>
      <c r="B571" s="3" t="n"/>
      <c r="C571" s="3" t="n"/>
      <c r="D571" s="4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5">
        <f>IF(Q571&lt;&gt;"是","排除",IF(OR(L571="",M571=""),"",IF(OR(L571="未知",M571="未知"),"未知",IF(AND(L571="真",M571="真"),"TP",IF(AND(L571="真",M571="假"),"FP",IF(AND(L571="假",M571="真"),"FN","TN"))))))</f>
        <v/>
      </c>
      <c r="S571" s="3" t="n"/>
      <c r="T571" s="3" t="n"/>
      <c r="U571" s="3" t="n"/>
      <c r="V571" s="3" t="n"/>
    </row>
    <row r="572">
      <c r="A572" s="3" t="n"/>
      <c r="B572" s="3" t="n"/>
      <c r="C572" s="3" t="n"/>
      <c r="D572" s="4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5">
        <f>IF(Q572&lt;&gt;"是","排除",IF(OR(L572="",M572=""),"",IF(OR(L572="未知",M572="未知"),"未知",IF(AND(L572="真",M572="真"),"TP",IF(AND(L572="真",M572="假"),"FP",IF(AND(L572="假",M572="真"),"FN","TN"))))))</f>
        <v/>
      </c>
      <c r="S572" s="3" t="n"/>
      <c r="T572" s="3" t="n"/>
      <c r="U572" s="3" t="n"/>
      <c r="V572" s="3" t="n"/>
    </row>
    <row r="573">
      <c r="A573" s="3" t="n"/>
      <c r="B573" s="3" t="n"/>
      <c r="C573" s="3" t="n"/>
      <c r="D573" s="4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5">
        <f>IF(Q573&lt;&gt;"是","排除",IF(OR(L573="",M573=""),"",IF(OR(L573="未知",M573="未知"),"未知",IF(AND(L573="真",M573="真"),"TP",IF(AND(L573="真",M573="假"),"FP",IF(AND(L573="假",M573="真"),"FN","TN"))))))</f>
        <v/>
      </c>
      <c r="S573" s="3" t="n"/>
      <c r="T573" s="3" t="n"/>
      <c r="U573" s="3" t="n"/>
      <c r="V573" s="3" t="n"/>
    </row>
    <row r="574">
      <c r="A574" s="3" t="n"/>
      <c r="B574" s="3" t="n"/>
      <c r="C574" s="3" t="n"/>
      <c r="D574" s="4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5">
        <f>IF(Q574&lt;&gt;"是","排除",IF(OR(L574="",M574=""),"",IF(OR(L574="未知",M574="未知"),"未知",IF(AND(L574="真",M574="真"),"TP",IF(AND(L574="真",M574="假"),"FP",IF(AND(L574="假",M574="真"),"FN","TN"))))))</f>
        <v/>
      </c>
      <c r="S574" s="3" t="n"/>
      <c r="T574" s="3" t="n"/>
      <c r="U574" s="3" t="n"/>
      <c r="V574" s="3" t="n"/>
    </row>
    <row r="575">
      <c r="A575" s="3" t="n"/>
      <c r="B575" s="3" t="n"/>
      <c r="C575" s="3" t="n"/>
      <c r="D575" s="4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5">
        <f>IF(Q575&lt;&gt;"是","排除",IF(OR(L575="",M575=""),"",IF(OR(L575="未知",M575="未知"),"未知",IF(AND(L575="真",M575="真"),"TP",IF(AND(L575="真",M575="假"),"FP",IF(AND(L575="假",M575="真"),"FN","TN"))))))</f>
        <v/>
      </c>
      <c r="S575" s="3" t="n"/>
      <c r="T575" s="3" t="n"/>
      <c r="U575" s="3" t="n"/>
      <c r="V575" s="3" t="n"/>
    </row>
    <row r="576">
      <c r="A576" s="3" t="n"/>
      <c r="B576" s="3" t="n"/>
      <c r="C576" s="3" t="n"/>
      <c r="D576" s="4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5">
        <f>IF(Q576&lt;&gt;"是","排除",IF(OR(L576="",M576=""),"",IF(OR(L576="未知",M576="未知"),"未知",IF(AND(L576="真",M576="真"),"TP",IF(AND(L576="真",M576="假"),"FP",IF(AND(L576="假",M576="真"),"FN","TN"))))))</f>
        <v/>
      </c>
      <c r="S576" s="3" t="n"/>
      <c r="T576" s="3" t="n"/>
      <c r="U576" s="3" t="n"/>
      <c r="V576" s="3" t="n"/>
    </row>
    <row r="577">
      <c r="A577" s="3" t="n"/>
      <c r="B577" s="3" t="n"/>
      <c r="C577" s="3" t="n"/>
      <c r="D577" s="4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5">
        <f>IF(Q577&lt;&gt;"是","排除",IF(OR(L577="",M577=""),"",IF(OR(L577="未知",M577="未知"),"未知",IF(AND(L577="真",M577="真"),"TP",IF(AND(L577="真",M577="假"),"FP",IF(AND(L577="假",M577="真"),"FN","TN"))))))</f>
        <v/>
      </c>
      <c r="S577" s="3" t="n"/>
      <c r="T577" s="3" t="n"/>
      <c r="U577" s="3" t="n"/>
      <c r="V577" s="3" t="n"/>
    </row>
    <row r="578">
      <c r="A578" s="3" t="n"/>
      <c r="B578" s="3" t="n"/>
      <c r="C578" s="3" t="n"/>
      <c r="D578" s="4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5">
        <f>IF(Q578&lt;&gt;"是","排除",IF(OR(L578="",M578=""),"",IF(OR(L578="未知",M578="未知"),"未知",IF(AND(L578="真",M578="真"),"TP",IF(AND(L578="真",M578="假"),"FP",IF(AND(L578="假",M578="真"),"FN","TN"))))))</f>
        <v/>
      </c>
      <c r="S578" s="3" t="n"/>
      <c r="T578" s="3" t="n"/>
      <c r="U578" s="3" t="n"/>
      <c r="V578" s="3" t="n"/>
    </row>
    <row r="579">
      <c r="A579" s="3" t="n"/>
      <c r="B579" s="3" t="n"/>
      <c r="C579" s="3" t="n"/>
      <c r="D579" s="4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5">
        <f>IF(Q579&lt;&gt;"是","排除",IF(OR(L579="",M579=""),"",IF(OR(L579="未知",M579="未知"),"未知",IF(AND(L579="真",M579="真"),"TP",IF(AND(L579="真",M579="假"),"FP",IF(AND(L579="假",M579="真"),"FN","TN"))))))</f>
        <v/>
      </c>
      <c r="S579" s="3" t="n"/>
      <c r="T579" s="3" t="n"/>
      <c r="U579" s="3" t="n"/>
      <c r="V579" s="3" t="n"/>
    </row>
    <row r="580">
      <c r="A580" s="3" t="n"/>
      <c r="B580" s="3" t="n"/>
      <c r="C580" s="3" t="n"/>
      <c r="D580" s="4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5">
        <f>IF(Q580&lt;&gt;"是","排除",IF(OR(L580="",M580=""),"",IF(OR(L580="未知",M580="未知"),"未知",IF(AND(L580="真",M580="真"),"TP",IF(AND(L580="真",M580="假"),"FP",IF(AND(L580="假",M580="真"),"FN","TN"))))))</f>
        <v/>
      </c>
      <c r="S580" s="3" t="n"/>
      <c r="T580" s="3" t="n"/>
      <c r="U580" s="3" t="n"/>
      <c r="V580" s="3" t="n"/>
    </row>
    <row r="581">
      <c r="A581" s="3" t="n"/>
      <c r="B581" s="3" t="n"/>
      <c r="C581" s="3" t="n"/>
      <c r="D581" s="4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5">
        <f>IF(Q581&lt;&gt;"是","排除",IF(OR(L581="",M581=""),"",IF(OR(L581="未知",M581="未知"),"未知",IF(AND(L581="真",M581="真"),"TP",IF(AND(L581="真",M581="假"),"FP",IF(AND(L581="假",M581="真"),"FN","TN"))))))</f>
        <v/>
      </c>
      <c r="S581" s="3" t="n"/>
      <c r="T581" s="3" t="n"/>
      <c r="U581" s="3" t="n"/>
      <c r="V581" s="3" t="n"/>
    </row>
    <row r="582">
      <c r="A582" s="3" t="n"/>
      <c r="B582" s="3" t="n"/>
      <c r="C582" s="3" t="n"/>
      <c r="D582" s="4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5">
        <f>IF(Q582&lt;&gt;"是","排除",IF(OR(L582="",M582=""),"",IF(OR(L582="未知",M582="未知"),"未知",IF(AND(L582="真",M582="真"),"TP",IF(AND(L582="真",M582="假"),"FP",IF(AND(L582="假",M582="真"),"FN","TN"))))))</f>
        <v/>
      </c>
      <c r="S582" s="3" t="n"/>
      <c r="T582" s="3" t="n"/>
      <c r="U582" s="3" t="n"/>
      <c r="V582" s="3" t="n"/>
    </row>
    <row r="583">
      <c r="A583" s="3" t="n"/>
      <c r="B583" s="3" t="n"/>
      <c r="C583" s="3" t="n"/>
      <c r="D583" s="4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5">
        <f>IF(Q583&lt;&gt;"是","排除",IF(OR(L583="",M583=""),"",IF(OR(L583="未知",M583="未知"),"未知",IF(AND(L583="真",M583="真"),"TP",IF(AND(L583="真",M583="假"),"FP",IF(AND(L583="假",M583="真"),"FN","TN"))))))</f>
        <v/>
      </c>
      <c r="S583" s="3" t="n"/>
      <c r="T583" s="3" t="n"/>
      <c r="U583" s="3" t="n"/>
      <c r="V583" s="3" t="n"/>
    </row>
    <row r="584">
      <c r="A584" s="3" t="n"/>
      <c r="B584" s="3" t="n"/>
      <c r="C584" s="3" t="n"/>
      <c r="D584" s="4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5">
        <f>IF(Q584&lt;&gt;"是","排除",IF(OR(L584="",M584=""),"",IF(OR(L584="未知",M584="未知"),"未知",IF(AND(L584="真",M584="真"),"TP",IF(AND(L584="真",M584="假"),"FP",IF(AND(L584="假",M584="真"),"FN","TN"))))))</f>
        <v/>
      </c>
      <c r="S584" s="3" t="n"/>
      <c r="T584" s="3" t="n"/>
      <c r="U584" s="3" t="n"/>
      <c r="V584" s="3" t="n"/>
    </row>
    <row r="585">
      <c r="A585" s="3" t="n"/>
      <c r="B585" s="3" t="n"/>
      <c r="C585" s="3" t="n"/>
      <c r="D585" s="4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5">
        <f>IF(Q585&lt;&gt;"是","排除",IF(OR(L585="",M585=""),"",IF(OR(L585="未知",M585="未知"),"未知",IF(AND(L585="真",M585="真"),"TP",IF(AND(L585="真",M585="假"),"FP",IF(AND(L585="假",M585="真"),"FN","TN"))))))</f>
        <v/>
      </c>
      <c r="S585" s="3" t="n"/>
      <c r="T585" s="3" t="n"/>
      <c r="U585" s="3" t="n"/>
      <c r="V585" s="3" t="n"/>
    </row>
    <row r="586">
      <c r="A586" s="3" t="n"/>
      <c r="B586" s="3" t="n"/>
      <c r="C586" s="3" t="n"/>
      <c r="D586" s="4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5">
        <f>IF(Q586&lt;&gt;"是","排除",IF(OR(L586="",M586=""),"",IF(OR(L586="未知",M586="未知"),"未知",IF(AND(L586="真",M586="真"),"TP",IF(AND(L586="真",M586="假"),"FP",IF(AND(L586="假",M586="真"),"FN","TN"))))))</f>
        <v/>
      </c>
      <c r="S586" s="3" t="n"/>
      <c r="T586" s="3" t="n"/>
      <c r="U586" s="3" t="n"/>
      <c r="V586" s="3" t="n"/>
    </row>
    <row r="587">
      <c r="A587" s="3" t="n"/>
      <c r="B587" s="3" t="n"/>
      <c r="C587" s="3" t="n"/>
      <c r="D587" s="4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5">
        <f>IF(Q587&lt;&gt;"是","排除",IF(OR(L587="",M587=""),"",IF(OR(L587="未知",M587="未知"),"未知",IF(AND(L587="真",M587="真"),"TP",IF(AND(L587="真",M587="假"),"FP",IF(AND(L587="假",M587="真"),"FN","TN"))))))</f>
        <v/>
      </c>
      <c r="S587" s="3" t="n"/>
      <c r="T587" s="3" t="n"/>
      <c r="U587" s="3" t="n"/>
      <c r="V587" s="3" t="n"/>
    </row>
    <row r="588">
      <c r="A588" s="3" t="n"/>
      <c r="B588" s="3" t="n"/>
      <c r="C588" s="3" t="n"/>
      <c r="D588" s="4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5">
        <f>IF(Q588&lt;&gt;"是","排除",IF(OR(L588="",M588=""),"",IF(OR(L588="未知",M588="未知"),"未知",IF(AND(L588="真",M588="真"),"TP",IF(AND(L588="真",M588="假"),"FP",IF(AND(L588="假",M588="真"),"FN","TN"))))))</f>
        <v/>
      </c>
      <c r="S588" s="3" t="n"/>
      <c r="T588" s="3" t="n"/>
      <c r="U588" s="3" t="n"/>
      <c r="V588" s="3" t="n"/>
    </row>
    <row r="589">
      <c r="A589" s="3" t="n"/>
      <c r="B589" s="3" t="n"/>
      <c r="C589" s="3" t="n"/>
      <c r="D589" s="4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5">
        <f>IF(Q589&lt;&gt;"是","排除",IF(OR(L589="",M589=""),"",IF(OR(L589="未知",M589="未知"),"未知",IF(AND(L589="真",M589="真"),"TP",IF(AND(L589="真",M589="假"),"FP",IF(AND(L589="假",M589="真"),"FN","TN"))))))</f>
        <v/>
      </c>
      <c r="S589" s="3" t="n"/>
      <c r="T589" s="3" t="n"/>
      <c r="U589" s="3" t="n"/>
      <c r="V589" s="3" t="n"/>
    </row>
    <row r="590">
      <c r="A590" s="3" t="n"/>
      <c r="B590" s="3" t="n"/>
      <c r="C590" s="3" t="n"/>
      <c r="D590" s="4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5">
        <f>IF(Q590&lt;&gt;"是","排除",IF(OR(L590="",M590=""),"",IF(OR(L590="未知",M590="未知"),"未知",IF(AND(L590="真",M590="真"),"TP",IF(AND(L590="真",M590="假"),"FP",IF(AND(L590="假",M590="真"),"FN","TN"))))))</f>
        <v/>
      </c>
      <c r="S590" s="3" t="n"/>
      <c r="T590" s="3" t="n"/>
      <c r="U590" s="3" t="n"/>
      <c r="V590" s="3" t="n"/>
    </row>
    <row r="591">
      <c r="A591" s="3" t="n"/>
      <c r="B591" s="3" t="n"/>
      <c r="C591" s="3" t="n"/>
      <c r="D591" s="4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5">
        <f>IF(Q591&lt;&gt;"是","排除",IF(OR(L591="",M591=""),"",IF(OR(L591="未知",M591="未知"),"未知",IF(AND(L591="真",M591="真"),"TP",IF(AND(L591="真",M591="假"),"FP",IF(AND(L591="假",M591="真"),"FN","TN"))))))</f>
        <v/>
      </c>
      <c r="S591" s="3" t="n"/>
      <c r="T591" s="3" t="n"/>
      <c r="U591" s="3" t="n"/>
      <c r="V591" s="3" t="n"/>
    </row>
    <row r="592">
      <c r="A592" s="3" t="n"/>
      <c r="B592" s="3" t="n"/>
      <c r="C592" s="3" t="n"/>
      <c r="D592" s="4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5">
        <f>IF(Q592&lt;&gt;"是","排除",IF(OR(L592="",M592=""),"",IF(OR(L592="未知",M592="未知"),"未知",IF(AND(L592="真",M592="真"),"TP",IF(AND(L592="真",M592="假"),"FP",IF(AND(L592="假",M592="真"),"FN","TN"))))))</f>
        <v/>
      </c>
      <c r="S592" s="3" t="n"/>
      <c r="T592" s="3" t="n"/>
      <c r="U592" s="3" t="n"/>
      <c r="V592" s="3" t="n"/>
    </row>
    <row r="593">
      <c r="A593" s="3" t="n"/>
      <c r="B593" s="3" t="n"/>
      <c r="C593" s="3" t="n"/>
      <c r="D593" s="4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5">
        <f>IF(Q593&lt;&gt;"是","排除",IF(OR(L593="",M593=""),"",IF(OR(L593="未知",M593="未知"),"未知",IF(AND(L593="真",M593="真"),"TP",IF(AND(L593="真",M593="假"),"FP",IF(AND(L593="假",M593="真"),"FN","TN"))))))</f>
        <v/>
      </c>
      <c r="S593" s="3" t="n"/>
      <c r="T593" s="3" t="n"/>
      <c r="U593" s="3" t="n"/>
      <c r="V593" s="3" t="n"/>
    </row>
    <row r="594">
      <c r="A594" s="3" t="n"/>
      <c r="B594" s="3" t="n"/>
      <c r="C594" s="3" t="n"/>
      <c r="D594" s="4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5">
        <f>IF(Q594&lt;&gt;"是","排除",IF(OR(L594="",M594=""),"",IF(OR(L594="未知",M594="未知"),"未知",IF(AND(L594="真",M594="真"),"TP",IF(AND(L594="真",M594="假"),"FP",IF(AND(L594="假",M594="真"),"FN","TN"))))))</f>
        <v/>
      </c>
      <c r="S594" s="3" t="n"/>
      <c r="T594" s="3" t="n"/>
      <c r="U594" s="3" t="n"/>
      <c r="V594" s="3" t="n"/>
    </row>
    <row r="595">
      <c r="A595" s="3" t="n"/>
      <c r="B595" s="3" t="n"/>
      <c r="C595" s="3" t="n"/>
      <c r="D595" s="4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5">
        <f>IF(Q595&lt;&gt;"是","排除",IF(OR(L595="",M595=""),"",IF(OR(L595="未知",M595="未知"),"未知",IF(AND(L595="真",M595="真"),"TP",IF(AND(L595="真",M595="假"),"FP",IF(AND(L595="假",M595="真"),"FN","TN"))))))</f>
        <v/>
      </c>
      <c r="S595" s="3" t="n"/>
      <c r="T595" s="3" t="n"/>
      <c r="U595" s="3" t="n"/>
      <c r="V595" s="3" t="n"/>
    </row>
    <row r="596">
      <c r="A596" s="3" t="n"/>
      <c r="B596" s="3" t="n"/>
      <c r="C596" s="3" t="n"/>
      <c r="D596" s="4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5">
        <f>IF(Q596&lt;&gt;"是","排除",IF(OR(L596="",M596=""),"",IF(OR(L596="未知",M596="未知"),"未知",IF(AND(L596="真",M596="真"),"TP",IF(AND(L596="真",M596="假"),"FP",IF(AND(L596="假",M596="真"),"FN","TN"))))))</f>
        <v/>
      </c>
      <c r="S596" s="3" t="n"/>
      <c r="T596" s="3" t="n"/>
      <c r="U596" s="3" t="n"/>
      <c r="V596" s="3" t="n"/>
    </row>
    <row r="597">
      <c r="A597" s="3" t="n"/>
      <c r="B597" s="3" t="n"/>
      <c r="C597" s="3" t="n"/>
      <c r="D597" s="4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5">
        <f>IF(Q597&lt;&gt;"是","排除",IF(OR(L597="",M597=""),"",IF(OR(L597="未知",M597="未知"),"未知",IF(AND(L597="真",M597="真"),"TP",IF(AND(L597="真",M597="假"),"FP",IF(AND(L597="假",M597="真"),"FN","TN"))))))</f>
        <v/>
      </c>
      <c r="S597" s="3" t="n"/>
      <c r="T597" s="3" t="n"/>
      <c r="U597" s="3" t="n"/>
      <c r="V597" s="3" t="n"/>
    </row>
    <row r="598">
      <c r="A598" s="3" t="n"/>
      <c r="B598" s="3" t="n"/>
      <c r="C598" s="3" t="n"/>
      <c r="D598" s="4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5">
        <f>IF(Q598&lt;&gt;"是","排除",IF(OR(L598="",M598=""),"",IF(OR(L598="未知",M598="未知"),"未知",IF(AND(L598="真",M598="真"),"TP",IF(AND(L598="真",M598="假"),"FP",IF(AND(L598="假",M598="真"),"FN","TN"))))))</f>
        <v/>
      </c>
      <c r="S598" s="3" t="n"/>
      <c r="T598" s="3" t="n"/>
      <c r="U598" s="3" t="n"/>
      <c r="V598" s="3" t="n"/>
    </row>
    <row r="599">
      <c r="A599" s="3" t="n"/>
      <c r="B599" s="3" t="n"/>
      <c r="C599" s="3" t="n"/>
      <c r="D599" s="4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5">
        <f>IF(Q599&lt;&gt;"是","排除",IF(OR(L599="",M599=""),"",IF(OR(L599="未知",M599="未知"),"未知",IF(AND(L599="真",M599="真"),"TP",IF(AND(L599="真",M599="假"),"FP",IF(AND(L599="假",M599="真"),"FN","TN"))))))</f>
        <v/>
      </c>
      <c r="S599" s="3" t="n"/>
      <c r="T599" s="3" t="n"/>
      <c r="U599" s="3" t="n"/>
      <c r="V599" s="3" t="n"/>
    </row>
    <row r="600">
      <c r="A600" s="3" t="n"/>
      <c r="B600" s="3" t="n"/>
      <c r="C600" s="3" t="n"/>
      <c r="D600" s="4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5">
        <f>IF(Q600&lt;&gt;"是","排除",IF(OR(L600="",M600=""),"",IF(OR(L600="未知",M600="未知"),"未知",IF(AND(L600="真",M600="真"),"TP",IF(AND(L600="真",M600="假"),"FP",IF(AND(L600="假",M600="真"),"FN","TN"))))))</f>
        <v/>
      </c>
      <c r="S600" s="3" t="n"/>
      <c r="T600" s="3" t="n"/>
      <c r="U600" s="3" t="n"/>
      <c r="V600" s="3" t="n"/>
    </row>
    <row r="601">
      <c r="A601" s="3" t="n"/>
      <c r="B601" s="3" t="n"/>
      <c r="C601" s="3" t="n"/>
      <c r="D601" s="4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5">
        <f>IF(Q601&lt;&gt;"是","排除",IF(OR(L601="",M601=""),"",IF(OR(L601="未知",M601="未知"),"未知",IF(AND(L601="真",M601="真"),"TP",IF(AND(L601="真",M601="假"),"FP",IF(AND(L601="假",M601="真"),"FN","TN"))))))</f>
        <v/>
      </c>
      <c r="S601" s="3" t="n"/>
      <c r="T601" s="3" t="n"/>
      <c r="U601" s="3" t="n"/>
      <c r="V601" s="3" t="n"/>
    </row>
    <row r="602">
      <c r="A602" s="3" t="n"/>
      <c r="B602" s="3" t="n"/>
      <c r="C602" s="3" t="n"/>
      <c r="D602" s="4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5">
        <f>IF(Q602&lt;&gt;"是","排除",IF(OR(L602="",M602=""),"",IF(OR(L602="未知",M602="未知"),"未知",IF(AND(L602="真",M602="真"),"TP",IF(AND(L602="真",M602="假"),"FP",IF(AND(L602="假",M602="真"),"FN","TN"))))))</f>
        <v/>
      </c>
      <c r="S602" s="3" t="n"/>
      <c r="T602" s="3" t="n"/>
      <c r="U602" s="3" t="n"/>
      <c r="V602" s="3" t="n"/>
    </row>
    <row r="603">
      <c r="A603" s="3" t="n"/>
      <c r="B603" s="3" t="n"/>
      <c r="C603" s="3" t="n"/>
      <c r="D603" s="4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5">
        <f>IF(Q603&lt;&gt;"是","排除",IF(OR(L603="",M603=""),"",IF(OR(L603="未知",M603="未知"),"未知",IF(AND(L603="真",M603="真"),"TP",IF(AND(L603="真",M603="假"),"FP",IF(AND(L603="假",M603="真"),"FN","TN"))))))</f>
        <v/>
      </c>
      <c r="S603" s="3" t="n"/>
      <c r="T603" s="3" t="n"/>
      <c r="U603" s="3" t="n"/>
      <c r="V603" s="3" t="n"/>
    </row>
    <row r="604">
      <c r="A604" s="3" t="n"/>
      <c r="B604" s="3" t="n"/>
      <c r="C604" s="3" t="n"/>
      <c r="D604" s="4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5">
        <f>IF(Q604&lt;&gt;"是","排除",IF(OR(L604="",M604=""),"",IF(OR(L604="未知",M604="未知"),"未知",IF(AND(L604="真",M604="真"),"TP",IF(AND(L604="真",M604="假"),"FP",IF(AND(L604="假",M604="真"),"FN","TN"))))))</f>
        <v/>
      </c>
      <c r="S604" s="3" t="n"/>
      <c r="T604" s="3" t="n"/>
      <c r="U604" s="3" t="n"/>
      <c r="V604" s="3" t="n"/>
    </row>
    <row r="605">
      <c r="A605" s="3" t="n"/>
      <c r="B605" s="3" t="n"/>
      <c r="C605" s="3" t="n"/>
      <c r="D605" s="4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5">
        <f>IF(Q605&lt;&gt;"是","排除",IF(OR(L605="",M605=""),"",IF(OR(L605="未知",M605="未知"),"未知",IF(AND(L605="真",M605="真"),"TP",IF(AND(L605="真",M605="假"),"FP",IF(AND(L605="假",M605="真"),"FN","TN"))))))</f>
        <v/>
      </c>
      <c r="S605" s="3" t="n"/>
      <c r="T605" s="3" t="n"/>
      <c r="U605" s="3" t="n"/>
      <c r="V605" s="3" t="n"/>
    </row>
    <row r="606">
      <c r="A606" s="3" t="n"/>
      <c r="B606" s="3" t="n"/>
      <c r="C606" s="3" t="n"/>
      <c r="D606" s="4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5">
        <f>IF(Q606&lt;&gt;"是","排除",IF(OR(L606="",M606=""),"",IF(OR(L606="未知",M606="未知"),"未知",IF(AND(L606="真",M606="真"),"TP",IF(AND(L606="真",M606="假"),"FP",IF(AND(L606="假",M606="真"),"FN","TN"))))))</f>
        <v/>
      </c>
      <c r="S606" s="3" t="n"/>
      <c r="T606" s="3" t="n"/>
      <c r="U606" s="3" t="n"/>
      <c r="V606" s="3" t="n"/>
    </row>
    <row r="607">
      <c r="A607" s="3" t="n"/>
      <c r="B607" s="3" t="n"/>
      <c r="C607" s="3" t="n"/>
      <c r="D607" s="4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5">
        <f>IF(Q607&lt;&gt;"是","排除",IF(OR(L607="",M607=""),"",IF(OR(L607="未知",M607="未知"),"未知",IF(AND(L607="真",M607="真"),"TP",IF(AND(L607="真",M607="假"),"FP",IF(AND(L607="假",M607="真"),"FN","TN"))))))</f>
        <v/>
      </c>
      <c r="S607" s="3" t="n"/>
      <c r="T607" s="3" t="n"/>
      <c r="U607" s="3" t="n"/>
      <c r="V607" s="3" t="n"/>
    </row>
    <row r="608">
      <c r="A608" s="3" t="n"/>
      <c r="B608" s="3" t="n"/>
      <c r="C608" s="3" t="n"/>
      <c r="D608" s="4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5">
        <f>IF(Q608&lt;&gt;"是","排除",IF(OR(L608="",M608=""),"",IF(OR(L608="未知",M608="未知"),"未知",IF(AND(L608="真",M608="真"),"TP",IF(AND(L608="真",M608="假"),"FP",IF(AND(L608="假",M608="真"),"FN","TN"))))))</f>
        <v/>
      </c>
      <c r="S608" s="3" t="n"/>
      <c r="T608" s="3" t="n"/>
      <c r="U608" s="3" t="n"/>
      <c r="V608" s="3" t="n"/>
    </row>
    <row r="609">
      <c r="A609" s="3" t="n"/>
      <c r="B609" s="3" t="n"/>
      <c r="C609" s="3" t="n"/>
      <c r="D609" s="4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5">
        <f>IF(Q609&lt;&gt;"是","排除",IF(OR(L609="",M609=""),"",IF(OR(L609="未知",M609="未知"),"未知",IF(AND(L609="真",M609="真"),"TP",IF(AND(L609="真",M609="假"),"FP",IF(AND(L609="假",M609="真"),"FN","TN"))))))</f>
        <v/>
      </c>
      <c r="S609" s="3" t="n"/>
      <c r="T609" s="3" t="n"/>
      <c r="U609" s="3" t="n"/>
      <c r="V609" s="3" t="n"/>
    </row>
    <row r="610">
      <c r="A610" s="3" t="n"/>
      <c r="B610" s="3" t="n"/>
      <c r="C610" s="3" t="n"/>
      <c r="D610" s="4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5">
        <f>IF(Q610&lt;&gt;"是","排除",IF(OR(L610="",M610=""),"",IF(OR(L610="未知",M610="未知"),"未知",IF(AND(L610="真",M610="真"),"TP",IF(AND(L610="真",M610="假"),"FP",IF(AND(L610="假",M610="真"),"FN","TN"))))))</f>
        <v/>
      </c>
      <c r="S610" s="3" t="n"/>
      <c r="T610" s="3" t="n"/>
      <c r="U610" s="3" t="n"/>
      <c r="V610" s="3" t="n"/>
    </row>
    <row r="611">
      <c r="A611" s="3" t="n"/>
      <c r="B611" s="3" t="n"/>
      <c r="C611" s="3" t="n"/>
      <c r="D611" s="4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5">
        <f>IF(Q611&lt;&gt;"是","排除",IF(OR(L611="",M611=""),"",IF(OR(L611="未知",M611="未知"),"未知",IF(AND(L611="真",M611="真"),"TP",IF(AND(L611="真",M611="假"),"FP",IF(AND(L611="假",M611="真"),"FN","TN"))))))</f>
        <v/>
      </c>
      <c r="S611" s="3" t="n"/>
      <c r="T611" s="3" t="n"/>
      <c r="U611" s="3" t="n"/>
      <c r="V611" s="3" t="n"/>
    </row>
    <row r="612">
      <c r="A612" s="3" t="n"/>
      <c r="B612" s="3" t="n"/>
      <c r="C612" s="3" t="n"/>
      <c r="D612" s="4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5">
        <f>IF(Q612&lt;&gt;"是","排除",IF(OR(L612="",M612=""),"",IF(OR(L612="未知",M612="未知"),"未知",IF(AND(L612="真",M612="真"),"TP",IF(AND(L612="真",M612="假"),"FP",IF(AND(L612="假",M612="真"),"FN","TN"))))))</f>
        <v/>
      </c>
      <c r="S612" s="3" t="n"/>
      <c r="T612" s="3" t="n"/>
      <c r="U612" s="3" t="n"/>
      <c r="V612" s="3" t="n"/>
    </row>
    <row r="613">
      <c r="A613" s="3" t="n"/>
      <c r="B613" s="3" t="n"/>
      <c r="C613" s="3" t="n"/>
      <c r="D613" s="4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5">
        <f>IF(Q613&lt;&gt;"是","排除",IF(OR(L613="",M613=""),"",IF(OR(L613="未知",M613="未知"),"未知",IF(AND(L613="真",M613="真"),"TP",IF(AND(L613="真",M613="假"),"FP",IF(AND(L613="假",M613="真"),"FN","TN"))))))</f>
        <v/>
      </c>
      <c r="S613" s="3" t="n"/>
      <c r="T613" s="3" t="n"/>
      <c r="U613" s="3" t="n"/>
      <c r="V613" s="3" t="n"/>
    </row>
    <row r="614">
      <c r="A614" s="3" t="n"/>
      <c r="B614" s="3" t="n"/>
      <c r="C614" s="3" t="n"/>
      <c r="D614" s="4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5">
        <f>IF(Q614&lt;&gt;"是","排除",IF(OR(L614="",M614=""),"",IF(OR(L614="未知",M614="未知"),"未知",IF(AND(L614="真",M614="真"),"TP",IF(AND(L614="真",M614="假"),"FP",IF(AND(L614="假",M614="真"),"FN","TN"))))))</f>
        <v/>
      </c>
      <c r="S614" s="3" t="n"/>
      <c r="T614" s="3" t="n"/>
      <c r="U614" s="3" t="n"/>
      <c r="V614" s="3" t="n"/>
    </row>
    <row r="615">
      <c r="A615" s="3" t="n"/>
      <c r="B615" s="3" t="n"/>
      <c r="C615" s="3" t="n"/>
      <c r="D615" s="4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5">
        <f>IF(Q615&lt;&gt;"是","排除",IF(OR(L615="",M615=""),"",IF(OR(L615="未知",M615="未知"),"未知",IF(AND(L615="真",M615="真"),"TP",IF(AND(L615="真",M615="假"),"FP",IF(AND(L615="假",M615="真"),"FN","TN"))))))</f>
        <v/>
      </c>
      <c r="S615" s="3" t="n"/>
      <c r="T615" s="3" t="n"/>
      <c r="U615" s="3" t="n"/>
      <c r="V615" s="3" t="n"/>
    </row>
    <row r="616">
      <c r="A616" s="3" t="n"/>
      <c r="B616" s="3" t="n"/>
      <c r="C616" s="3" t="n"/>
      <c r="D616" s="4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5">
        <f>IF(Q616&lt;&gt;"是","排除",IF(OR(L616="",M616=""),"",IF(OR(L616="未知",M616="未知"),"未知",IF(AND(L616="真",M616="真"),"TP",IF(AND(L616="真",M616="假"),"FP",IF(AND(L616="假",M616="真"),"FN","TN"))))))</f>
        <v/>
      </c>
      <c r="S616" s="3" t="n"/>
      <c r="T616" s="3" t="n"/>
      <c r="U616" s="3" t="n"/>
      <c r="V616" s="3" t="n"/>
    </row>
    <row r="617">
      <c r="A617" s="3" t="n"/>
      <c r="B617" s="3" t="n"/>
      <c r="C617" s="3" t="n"/>
      <c r="D617" s="4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5">
        <f>IF(Q617&lt;&gt;"是","排除",IF(OR(L617="",M617=""),"",IF(OR(L617="未知",M617="未知"),"未知",IF(AND(L617="真",M617="真"),"TP",IF(AND(L617="真",M617="假"),"FP",IF(AND(L617="假",M617="真"),"FN","TN"))))))</f>
        <v/>
      </c>
      <c r="S617" s="3" t="n"/>
      <c r="T617" s="3" t="n"/>
      <c r="U617" s="3" t="n"/>
      <c r="V617" s="3" t="n"/>
    </row>
    <row r="618">
      <c r="A618" s="3" t="n"/>
      <c r="B618" s="3" t="n"/>
      <c r="C618" s="3" t="n"/>
      <c r="D618" s="4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5">
        <f>IF(Q618&lt;&gt;"是","排除",IF(OR(L618="",M618=""),"",IF(OR(L618="未知",M618="未知"),"未知",IF(AND(L618="真",M618="真"),"TP",IF(AND(L618="真",M618="假"),"FP",IF(AND(L618="假",M618="真"),"FN","TN"))))))</f>
        <v/>
      </c>
      <c r="S618" s="3" t="n"/>
      <c r="T618" s="3" t="n"/>
      <c r="U618" s="3" t="n"/>
      <c r="V618" s="3" t="n"/>
    </row>
    <row r="619">
      <c r="A619" s="3" t="n"/>
      <c r="B619" s="3" t="n"/>
      <c r="C619" s="3" t="n"/>
      <c r="D619" s="4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5">
        <f>IF(Q619&lt;&gt;"是","排除",IF(OR(L619="",M619=""),"",IF(OR(L619="未知",M619="未知"),"未知",IF(AND(L619="真",M619="真"),"TP",IF(AND(L619="真",M619="假"),"FP",IF(AND(L619="假",M619="真"),"FN","TN"))))))</f>
        <v/>
      </c>
      <c r="S619" s="3" t="n"/>
      <c r="T619" s="3" t="n"/>
      <c r="U619" s="3" t="n"/>
      <c r="V619" s="3" t="n"/>
    </row>
    <row r="620">
      <c r="A620" s="3" t="n"/>
      <c r="B620" s="3" t="n"/>
      <c r="C620" s="3" t="n"/>
      <c r="D620" s="4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5">
        <f>IF(Q620&lt;&gt;"是","排除",IF(OR(L620="",M620=""),"",IF(OR(L620="未知",M620="未知"),"未知",IF(AND(L620="真",M620="真"),"TP",IF(AND(L620="真",M620="假"),"FP",IF(AND(L620="假",M620="真"),"FN","TN"))))))</f>
        <v/>
      </c>
      <c r="S620" s="3" t="n"/>
      <c r="T620" s="3" t="n"/>
      <c r="U620" s="3" t="n"/>
      <c r="V620" s="3" t="n"/>
    </row>
    <row r="621">
      <c r="A621" s="3" t="n"/>
      <c r="B621" s="3" t="n"/>
      <c r="C621" s="3" t="n"/>
      <c r="D621" s="4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5">
        <f>IF(Q621&lt;&gt;"是","排除",IF(OR(L621="",M621=""),"",IF(OR(L621="未知",M621="未知"),"未知",IF(AND(L621="真",M621="真"),"TP",IF(AND(L621="真",M621="假"),"FP",IF(AND(L621="假",M621="真"),"FN","TN"))))))</f>
        <v/>
      </c>
      <c r="S621" s="3" t="n"/>
      <c r="T621" s="3" t="n"/>
      <c r="U621" s="3" t="n"/>
      <c r="V621" s="3" t="n"/>
    </row>
    <row r="622">
      <c r="A622" s="3" t="n"/>
      <c r="B622" s="3" t="n"/>
      <c r="C622" s="3" t="n"/>
      <c r="D622" s="4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5">
        <f>IF(Q622&lt;&gt;"是","排除",IF(OR(L622="",M622=""),"",IF(OR(L622="未知",M622="未知"),"未知",IF(AND(L622="真",M622="真"),"TP",IF(AND(L622="真",M622="假"),"FP",IF(AND(L622="假",M622="真"),"FN","TN"))))))</f>
        <v/>
      </c>
      <c r="S622" s="3" t="n"/>
      <c r="T622" s="3" t="n"/>
      <c r="U622" s="3" t="n"/>
      <c r="V622" s="3" t="n"/>
    </row>
    <row r="623">
      <c r="A623" s="3" t="n"/>
      <c r="B623" s="3" t="n"/>
      <c r="C623" s="3" t="n"/>
      <c r="D623" s="4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5">
        <f>IF(Q623&lt;&gt;"是","排除",IF(OR(L623="",M623=""),"",IF(OR(L623="未知",M623="未知"),"未知",IF(AND(L623="真",M623="真"),"TP",IF(AND(L623="真",M623="假"),"FP",IF(AND(L623="假",M623="真"),"FN","TN"))))))</f>
        <v/>
      </c>
      <c r="S623" s="3" t="n"/>
      <c r="T623" s="3" t="n"/>
      <c r="U623" s="3" t="n"/>
      <c r="V623" s="3" t="n"/>
    </row>
    <row r="624">
      <c r="A624" s="3" t="n"/>
      <c r="B624" s="3" t="n"/>
      <c r="C624" s="3" t="n"/>
      <c r="D624" s="4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5">
        <f>IF(Q624&lt;&gt;"是","排除",IF(OR(L624="",M624=""),"",IF(OR(L624="未知",M624="未知"),"未知",IF(AND(L624="真",M624="真"),"TP",IF(AND(L624="真",M624="假"),"FP",IF(AND(L624="假",M624="真"),"FN","TN"))))))</f>
        <v/>
      </c>
      <c r="S624" s="3" t="n"/>
      <c r="T624" s="3" t="n"/>
      <c r="U624" s="3" t="n"/>
      <c r="V624" s="3" t="n"/>
    </row>
    <row r="625">
      <c r="A625" s="3" t="n"/>
      <c r="B625" s="3" t="n"/>
      <c r="C625" s="3" t="n"/>
      <c r="D625" s="4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5">
        <f>IF(Q625&lt;&gt;"是","排除",IF(OR(L625="",M625=""),"",IF(OR(L625="未知",M625="未知"),"未知",IF(AND(L625="真",M625="真"),"TP",IF(AND(L625="真",M625="假"),"FP",IF(AND(L625="假",M625="真"),"FN","TN"))))))</f>
        <v/>
      </c>
      <c r="S625" s="3" t="n"/>
      <c r="T625" s="3" t="n"/>
      <c r="U625" s="3" t="n"/>
      <c r="V625" s="3" t="n"/>
    </row>
    <row r="626">
      <c r="A626" s="3" t="n"/>
      <c r="B626" s="3" t="n"/>
      <c r="C626" s="3" t="n"/>
      <c r="D626" s="4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5">
        <f>IF(Q626&lt;&gt;"是","排除",IF(OR(L626="",M626=""),"",IF(OR(L626="未知",M626="未知"),"未知",IF(AND(L626="真",M626="真"),"TP",IF(AND(L626="真",M626="假"),"FP",IF(AND(L626="假",M626="真"),"FN","TN"))))))</f>
        <v/>
      </c>
      <c r="S626" s="3" t="n"/>
      <c r="T626" s="3" t="n"/>
      <c r="U626" s="3" t="n"/>
      <c r="V626" s="3" t="n"/>
    </row>
    <row r="627">
      <c r="A627" s="3" t="n"/>
      <c r="B627" s="3" t="n"/>
      <c r="C627" s="3" t="n"/>
      <c r="D627" s="4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5">
        <f>IF(Q627&lt;&gt;"是","排除",IF(OR(L627="",M627=""),"",IF(OR(L627="未知",M627="未知"),"未知",IF(AND(L627="真",M627="真"),"TP",IF(AND(L627="真",M627="假"),"FP",IF(AND(L627="假",M627="真"),"FN","TN"))))))</f>
        <v/>
      </c>
      <c r="S627" s="3" t="n"/>
      <c r="T627" s="3" t="n"/>
      <c r="U627" s="3" t="n"/>
      <c r="V627" s="3" t="n"/>
    </row>
    <row r="628">
      <c r="A628" s="3" t="n"/>
      <c r="B628" s="3" t="n"/>
      <c r="C628" s="3" t="n"/>
      <c r="D628" s="4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5">
        <f>IF(Q628&lt;&gt;"是","排除",IF(OR(L628="",M628=""),"",IF(OR(L628="未知",M628="未知"),"未知",IF(AND(L628="真",M628="真"),"TP",IF(AND(L628="真",M628="假"),"FP",IF(AND(L628="假",M628="真"),"FN","TN"))))))</f>
        <v/>
      </c>
      <c r="S628" s="3" t="n"/>
      <c r="T628" s="3" t="n"/>
      <c r="U628" s="3" t="n"/>
      <c r="V628" s="3" t="n"/>
    </row>
    <row r="629">
      <c r="A629" s="3" t="n"/>
      <c r="B629" s="3" t="n"/>
      <c r="C629" s="3" t="n"/>
      <c r="D629" s="4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5">
        <f>IF(Q629&lt;&gt;"是","排除",IF(OR(L629="",M629=""),"",IF(OR(L629="未知",M629="未知"),"未知",IF(AND(L629="真",M629="真"),"TP",IF(AND(L629="真",M629="假"),"FP",IF(AND(L629="假",M629="真"),"FN","TN"))))))</f>
        <v/>
      </c>
      <c r="S629" s="3" t="n"/>
      <c r="T629" s="3" t="n"/>
      <c r="U629" s="3" t="n"/>
      <c r="V629" s="3" t="n"/>
    </row>
    <row r="630">
      <c r="A630" s="3" t="n"/>
      <c r="B630" s="3" t="n"/>
      <c r="C630" s="3" t="n"/>
      <c r="D630" s="4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5">
        <f>IF(Q630&lt;&gt;"是","排除",IF(OR(L630="",M630=""),"",IF(OR(L630="未知",M630="未知"),"未知",IF(AND(L630="真",M630="真"),"TP",IF(AND(L630="真",M630="假"),"FP",IF(AND(L630="假",M630="真"),"FN","TN"))))))</f>
        <v/>
      </c>
      <c r="S630" s="3" t="n"/>
      <c r="T630" s="3" t="n"/>
      <c r="U630" s="3" t="n"/>
      <c r="V630" s="3" t="n"/>
    </row>
    <row r="631">
      <c r="A631" s="3" t="n"/>
      <c r="B631" s="3" t="n"/>
      <c r="C631" s="3" t="n"/>
      <c r="D631" s="4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5">
        <f>IF(Q631&lt;&gt;"是","排除",IF(OR(L631="",M631=""),"",IF(OR(L631="未知",M631="未知"),"未知",IF(AND(L631="真",M631="真"),"TP",IF(AND(L631="真",M631="假"),"FP",IF(AND(L631="假",M631="真"),"FN","TN"))))))</f>
        <v/>
      </c>
      <c r="S631" s="3" t="n"/>
      <c r="T631" s="3" t="n"/>
      <c r="U631" s="3" t="n"/>
      <c r="V631" s="3" t="n"/>
    </row>
    <row r="632">
      <c r="A632" s="3" t="n"/>
      <c r="B632" s="3" t="n"/>
      <c r="C632" s="3" t="n"/>
      <c r="D632" s="4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5">
        <f>IF(Q632&lt;&gt;"是","排除",IF(OR(L632="",M632=""),"",IF(OR(L632="未知",M632="未知"),"未知",IF(AND(L632="真",M632="真"),"TP",IF(AND(L632="真",M632="假"),"FP",IF(AND(L632="假",M632="真"),"FN","TN"))))))</f>
        <v/>
      </c>
      <c r="S632" s="3" t="n"/>
      <c r="T632" s="3" t="n"/>
      <c r="U632" s="3" t="n"/>
      <c r="V632" s="3" t="n"/>
    </row>
    <row r="633">
      <c r="A633" s="3" t="n"/>
      <c r="B633" s="3" t="n"/>
      <c r="C633" s="3" t="n"/>
      <c r="D633" s="4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5">
        <f>IF(Q633&lt;&gt;"是","排除",IF(OR(L633="",M633=""),"",IF(OR(L633="未知",M633="未知"),"未知",IF(AND(L633="真",M633="真"),"TP",IF(AND(L633="真",M633="假"),"FP",IF(AND(L633="假",M633="真"),"FN","TN"))))))</f>
        <v/>
      </c>
      <c r="S633" s="3" t="n"/>
      <c r="T633" s="3" t="n"/>
      <c r="U633" s="3" t="n"/>
      <c r="V633" s="3" t="n"/>
    </row>
    <row r="634">
      <c r="A634" s="3" t="n"/>
      <c r="B634" s="3" t="n"/>
      <c r="C634" s="3" t="n"/>
      <c r="D634" s="4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5">
        <f>IF(Q634&lt;&gt;"是","排除",IF(OR(L634="",M634=""),"",IF(OR(L634="未知",M634="未知"),"未知",IF(AND(L634="真",M634="真"),"TP",IF(AND(L634="真",M634="假"),"FP",IF(AND(L634="假",M634="真"),"FN","TN"))))))</f>
        <v/>
      </c>
      <c r="S634" s="3" t="n"/>
      <c r="T634" s="3" t="n"/>
      <c r="U634" s="3" t="n"/>
      <c r="V634" s="3" t="n"/>
    </row>
    <row r="635">
      <c r="A635" s="3" t="n"/>
      <c r="B635" s="3" t="n"/>
      <c r="C635" s="3" t="n"/>
      <c r="D635" s="4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5">
        <f>IF(Q635&lt;&gt;"是","排除",IF(OR(L635="",M635=""),"",IF(OR(L635="未知",M635="未知"),"未知",IF(AND(L635="真",M635="真"),"TP",IF(AND(L635="真",M635="假"),"FP",IF(AND(L635="假",M635="真"),"FN","TN"))))))</f>
        <v/>
      </c>
      <c r="S635" s="3" t="n"/>
      <c r="T635" s="3" t="n"/>
      <c r="U635" s="3" t="n"/>
      <c r="V635" s="3" t="n"/>
    </row>
    <row r="636">
      <c r="A636" s="3" t="n"/>
      <c r="B636" s="3" t="n"/>
      <c r="C636" s="3" t="n"/>
      <c r="D636" s="4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5">
        <f>IF(Q636&lt;&gt;"是","排除",IF(OR(L636="",M636=""),"",IF(OR(L636="未知",M636="未知"),"未知",IF(AND(L636="真",M636="真"),"TP",IF(AND(L636="真",M636="假"),"FP",IF(AND(L636="假",M636="真"),"FN","TN"))))))</f>
        <v/>
      </c>
      <c r="S636" s="3" t="n"/>
      <c r="T636" s="3" t="n"/>
      <c r="U636" s="3" t="n"/>
      <c r="V636" s="3" t="n"/>
    </row>
    <row r="637">
      <c r="A637" s="3" t="n"/>
      <c r="B637" s="3" t="n"/>
      <c r="C637" s="3" t="n"/>
      <c r="D637" s="4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5">
        <f>IF(Q637&lt;&gt;"是","排除",IF(OR(L637="",M637=""),"",IF(OR(L637="未知",M637="未知"),"未知",IF(AND(L637="真",M637="真"),"TP",IF(AND(L637="真",M637="假"),"FP",IF(AND(L637="假",M637="真"),"FN","TN"))))))</f>
        <v/>
      </c>
      <c r="S637" s="3" t="n"/>
      <c r="T637" s="3" t="n"/>
      <c r="U637" s="3" t="n"/>
      <c r="V637" s="3" t="n"/>
    </row>
    <row r="638">
      <c r="A638" s="3" t="n"/>
      <c r="B638" s="3" t="n"/>
      <c r="C638" s="3" t="n"/>
      <c r="D638" s="4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5">
        <f>IF(Q638&lt;&gt;"是","排除",IF(OR(L638="",M638=""),"",IF(OR(L638="未知",M638="未知"),"未知",IF(AND(L638="真",M638="真"),"TP",IF(AND(L638="真",M638="假"),"FP",IF(AND(L638="假",M638="真"),"FN","TN"))))))</f>
        <v/>
      </c>
      <c r="S638" s="3" t="n"/>
      <c r="T638" s="3" t="n"/>
      <c r="U638" s="3" t="n"/>
      <c r="V638" s="3" t="n"/>
    </row>
    <row r="639">
      <c r="A639" s="3" t="n"/>
      <c r="B639" s="3" t="n"/>
      <c r="C639" s="3" t="n"/>
      <c r="D639" s="4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5">
        <f>IF(Q639&lt;&gt;"是","排除",IF(OR(L639="",M639=""),"",IF(OR(L639="未知",M639="未知"),"未知",IF(AND(L639="真",M639="真"),"TP",IF(AND(L639="真",M639="假"),"FP",IF(AND(L639="假",M639="真"),"FN","TN"))))))</f>
        <v/>
      </c>
      <c r="S639" s="3" t="n"/>
      <c r="T639" s="3" t="n"/>
      <c r="U639" s="3" t="n"/>
      <c r="V639" s="3" t="n"/>
    </row>
    <row r="640">
      <c r="A640" s="3" t="n"/>
      <c r="B640" s="3" t="n"/>
      <c r="C640" s="3" t="n"/>
      <c r="D640" s="4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5">
        <f>IF(Q640&lt;&gt;"是","排除",IF(OR(L640="",M640=""),"",IF(OR(L640="未知",M640="未知"),"未知",IF(AND(L640="真",M640="真"),"TP",IF(AND(L640="真",M640="假"),"FP",IF(AND(L640="假",M640="真"),"FN","TN"))))))</f>
        <v/>
      </c>
      <c r="S640" s="3" t="n"/>
      <c r="T640" s="3" t="n"/>
      <c r="U640" s="3" t="n"/>
      <c r="V640" s="3" t="n"/>
    </row>
    <row r="641">
      <c r="A641" s="3" t="n"/>
      <c r="B641" s="3" t="n"/>
      <c r="C641" s="3" t="n"/>
      <c r="D641" s="4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5">
        <f>IF(Q641&lt;&gt;"是","排除",IF(OR(L641="",M641=""),"",IF(OR(L641="未知",M641="未知"),"未知",IF(AND(L641="真",M641="真"),"TP",IF(AND(L641="真",M641="假"),"FP",IF(AND(L641="假",M641="真"),"FN","TN"))))))</f>
        <v/>
      </c>
      <c r="S641" s="3" t="n"/>
      <c r="T641" s="3" t="n"/>
      <c r="U641" s="3" t="n"/>
      <c r="V641" s="3" t="n"/>
    </row>
    <row r="642">
      <c r="A642" s="3" t="n"/>
      <c r="B642" s="3" t="n"/>
      <c r="C642" s="3" t="n"/>
      <c r="D642" s="4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5">
        <f>IF(Q642&lt;&gt;"是","排除",IF(OR(L642="",M642=""),"",IF(OR(L642="未知",M642="未知"),"未知",IF(AND(L642="真",M642="真"),"TP",IF(AND(L642="真",M642="假"),"FP",IF(AND(L642="假",M642="真"),"FN","TN"))))))</f>
        <v/>
      </c>
      <c r="S642" s="3" t="n"/>
      <c r="T642" s="3" t="n"/>
      <c r="U642" s="3" t="n"/>
      <c r="V642" s="3" t="n"/>
    </row>
    <row r="643">
      <c r="A643" s="3" t="n"/>
      <c r="B643" s="3" t="n"/>
      <c r="C643" s="3" t="n"/>
      <c r="D643" s="4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5">
        <f>IF(Q643&lt;&gt;"是","排除",IF(OR(L643="",M643=""),"",IF(OR(L643="未知",M643="未知"),"未知",IF(AND(L643="真",M643="真"),"TP",IF(AND(L643="真",M643="假"),"FP",IF(AND(L643="假",M643="真"),"FN","TN"))))))</f>
        <v/>
      </c>
      <c r="S643" s="3" t="n"/>
      <c r="T643" s="3" t="n"/>
      <c r="U643" s="3" t="n"/>
      <c r="V643" s="3" t="n"/>
    </row>
    <row r="644">
      <c r="A644" s="3" t="n"/>
      <c r="B644" s="3" t="n"/>
      <c r="C644" s="3" t="n"/>
      <c r="D644" s="4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5">
        <f>IF(Q644&lt;&gt;"是","排除",IF(OR(L644="",M644=""),"",IF(OR(L644="未知",M644="未知"),"未知",IF(AND(L644="真",M644="真"),"TP",IF(AND(L644="真",M644="假"),"FP",IF(AND(L644="假",M644="真"),"FN","TN"))))))</f>
        <v/>
      </c>
      <c r="S644" s="3" t="n"/>
      <c r="T644" s="3" t="n"/>
      <c r="U644" s="3" t="n"/>
      <c r="V644" s="3" t="n"/>
    </row>
    <row r="645">
      <c r="A645" s="3" t="n"/>
      <c r="B645" s="3" t="n"/>
      <c r="C645" s="3" t="n"/>
      <c r="D645" s="4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5">
        <f>IF(Q645&lt;&gt;"是","排除",IF(OR(L645="",M645=""),"",IF(OR(L645="未知",M645="未知"),"未知",IF(AND(L645="真",M645="真"),"TP",IF(AND(L645="真",M645="假"),"FP",IF(AND(L645="假",M645="真"),"FN","TN"))))))</f>
        <v/>
      </c>
      <c r="S645" s="3" t="n"/>
      <c r="T645" s="3" t="n"/>
      <c r="U645" s="3" t="n"/>
      <c r="V645" s="3" t="n"/>
    </row>
    <row r="646">
      <c r="A646" s="3" t="n"/>
      <c r="B646" s="3" t="n"/>
      <c r="C646" s="3" t="n"/>
      <c r="D646" s="4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5">
        <f>IF(Q646&lt;&gt;"是","排除",IF(OR(L646="",M646=""),"",IF(OR(L646="未知",M646="未知"),"未知",IF(AND(L646="真",M646="真"),"TP",IF(AND(L646="真",M646="假"),"FP",IF(AND(L646="假",M646="真"),"FN","TN"))))))</f>
        <v/>
      </c>
      <c r="S646" s="3" t="n"/>
      <c r="T646" s="3" t="n"/>
      <c r="U646" s="3" t="n"/>
      <c r="V646" s="3" t="n"/>
    </row>
    <row r="647">
      <c r="A647" s="3" t="n"/>
      <c r="B647" s="3" t="n"/>
      <c r="C647" s="3" t="n"/>
      <c r="D647" s="4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5">
        <f>IF(Q647&lt;&gt;"是","排除",IF(OR(L647="",M647=""),"",IF(OR(L647="未知",M647="未知"),"未知",IF(AND(L647="真",M647="真"),"TP",IF(AND(L647="真",M647="假"),"FP",IF(AND(L647="假",M647="真"),"FN","TN"))))))</f>
        <v/>
      </c>
      <c r="S647" s="3" t="n"/>
      <c r="T647" s="3" t="n"/>
      <c r="U647" s="3" t="n"/>
      <c r="V647" s="3" t="n"/>
    </row>
    <row r="648">
      <c r="A648" s="3" t="n"/>
      <c r="B648" s="3" t="n"/>
      <c r="C648" s="3" t="n"/>
      <c r="D648" s="4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5">
        <f>IF(Q648&lt;&gt;"是","排除",IF(OR(L648="",M648=""),"",IF(OR(L648="未知",M648="未知"),"未知",IF(AND(L648="真",M648="真"),"TP",IF(AND(L648="真",M648="假"),"FP",IF(AND(L648="假",M648="真"),"FN","TN"))))))</f>
        <v/>
      </c>
      <c r="S648" s="3" t="n"/>
      <c r="T648" s="3" t="n"/>
      <c r="U648" s="3" t="n"/>
      <c r="V648" s="3" t="n"/>
    </row>
    <row r="649">
      <c r="A649" s="3" t="n"/>
      <c r="B649" s="3" t="n"/>
      <c r="C649" s="3" t="n"/>
      <c r="D649" s="4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5">
        <f>IF(Q649&lt;&gt;"是","排除",IF(OR(L649="",M649=""),"",IF(OR(L649="未知",M649="未知"),"未知",IF(AND(L649="真",M649="真"),"TP",IF(AND(L649="真",M649="假"),"FP",IF(AND(L649="假",M649="真"),"FN","TN"))))))</f>
        <v/>
      </c>
      <c r="S649" s="3" t="n"/>
      <c r="T649" s="3" t="n"/>
      <c r="U649" s="3" t="n"/>
      <c r="V649" s="3" t="n"/>
    </row>
    <row r="650">
      <c r="A650" s="3" t="n"/>
      <c r="B650" s="3" t="n"/>
      <c r="C650" s="3" t="n"/>
      <c r="D650" s="4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5">
        <f>IF(Q650&lt;&gt;"是","排除",IF(OR(L650="",M650=""),"",IF(OR(L650="未知",M650="未知"),"未知",IF(AND(L650="真",M650="真"),"TP",IF(AND(L650="真",M650="假"),"FP",IF(AND(L650="假",M650="真"),"FN","TN"))))))</f>
        <v/>
      </c>
      <c r="S650" s="3" t="n"/>
      <c r="T650" s="3" t="n"/>
      <c r="U650" s="3" t="n"/>
      <c r="V650" s="3" t="n"/>
    </row>
    <row r="651">
      <c r="A651" s="3" t="n"/>
      <c r="B651" s="3" t="n"/>
      <c r="C651" s="3" t="n"/>
      <c r="D651" s="4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5">
        <f>IF(Q651&lt;&gt;"是","排除",IF(OR(L651="",M651=""),"",IF(OR(L651="未知",M651="未知"),"未知",IF(AND(L651="真",M651="真"),"TP",IF(AND(L651="真",M651="假"),"FP",IF(AND(L651="假",M651="真"),"FN","TN"))))))</f>
        <v/>
      </c>
      <c r="S651" s="3" t="n"/>
      <c r="T651" s="3" t="n"/>
      <c r="U651" s="3" t="n"/>
      <c r="V651" s="3" t="n"/>
    </row>
    <row r="652">
      <c r="A652" s="3" t="n"/>
      <c r="B652" s="3" t="n"/>
      <c r="C652" s="3" t="n"/>
      <c r="D652" s="4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5">
        <f>IF(Q652&lt;&gt;"是","排除",IF(OR(L652="",M652=""),"",IF(OR(L652="未知",M652="未知"),"未知",IF(AND(L652="真",M652="真"),"TP",IF(AND(L652="真",M652="假"),"FP",IF(AND(L652="假",M652="真"),"FN","TN"))))))</f>
        <v/>
      </c>
      <c r="S652" s="3" t="n"/>
      <c r="T652" s="3" t="n"/>
      <c r="U652" s="3" t="n"/>
      <c r="V652" s="3" t="n"/>
    </row>
    <row r="653">
      <c r="A653" s="3" t="n"/>
      <c r="B653" s="3" t="n"/>
      <c r="C653" s="3" t="n"/>
      <c r="D653" s="4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5">
        <f>IF(Q653&lt;&gt;"是","排除",IF(OR(L653="",M653=""),"",IF(OR(L653="未知",M653="未知"),"未知",IF(AND(L653="真",M653="真"),"TP",IF(AND(L653="真",M653="假"),"FP",IF(AND(L653="假",M653="真"),"FN","TN"))))))</f>
        <v/>
      </c>
      <c r="S653" s="3" t="n"/>
      <c r="T653" s="3" t="n"/>
      <c r="U653" s="3" t="n"/>
      <c r="V653" s="3" t="n"/>
    </row>
    <row r="654">
      <c r="A654" s="3" t="n"/>
      <c r="B654" s="3" t="n"/>
      <c r="C654" s="3" t="n"/>
      <c r="D654" s="4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5">
        <f>IF(Q654&lt;&gt;"是","排除",IF(OR(L654="",M654=""),"",IF(OR(L654="未知",M654="未知"),"未知",IF(AND(L654="真",M654="真"),"TP",IF(AND(L654="真",M654="假"),"FP",IF(AND(L654="假",M654="真"),"FN","TN"))))))</f>
        <v/>
      </c>
      <c r="S654" s="3" t="n"/>
      <c r="T654" s="3" t="n"/>
      <c r="U654" s="3" t="n"/>
      <c r="V654" s="3" t="n"/>
    </row>
    <row r="655">
      <c r="A655" s="3" t="n"/>
      <c r="B655" s="3" t="n"/>
      <c r="C655" s="3" t="n"/>
      <c r="D655" s="4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5">
        <f>IF(Q655&lt;&gt;"是","排除",IF(OR(L655="",M655=""),"",IF(OR(L655="未知",M655="未知"),"未知",IF(AND(L655="真",M655="真"),"TP",IF(AND(L655="真",M655="假"),"FP",IF(AND(L655="假",M655="真"),"FN","TN"))))))</f>
        <v/>
      </c>
      <c r="S655" s="3" t="n"/>
      <c r="T655" s="3" t="n"/>
      <c r="U655" s="3" t="n"/>
      <c r="V655" s="3" t="n"/>
    </row>
    <row r="656">
      <c r="A656" s="3" t="n"/>
      <c r="B656" s="3" t="n"/>
      <c r="C656" s="3" t="n"/>
      <c r="D656" s="4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5">
        <f>IF(Q656&lt;&gt;"是","排除",IF(OR(L656="",M656=""),"",IF(OR(L656="未知",M656="未知"),"未知",IF(AND(L656="真",M656="真"),"TP",IF(AND(L656="真",M656="假"),"FP",IF(AND(L656="假",M656="真"),"FN","TN"))))))</f>
        <v/>
      </c>
      <c r="S656" s="3" t="n"/>
      <c r="T656" s="3" t="n"/>
      <c r="U656" s="3" t="n"/>
      <c r="V656" s="3" t="n"/>
    </row>
    <row r="657">
      <c r="A657" s="3" t="n"/>
      <c r="B657" s="3" t="n"/>
      <c r="C657" s="3" t="n"/>
      <c r="D657" s="4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5">
        <f>IF(Q657&lt;&gt;"是","排除",IF(OR(L657="",M657=""),"",IF(OR(L657="未知",M657="未知"),"未知",IF(AND(L657="真",M657="真"),"TP",IF(AND(L657="真",M657="假"),"FP",IF(AND(L657="假",M657="真"),"FN","TN"))))))</f>
        <v/>
      </c>
      <c r="S657" s="3" t="n"/>
      <c r="T657" s="3" t="n"/>
      <c r="U657" s="3" t="n"/>
      <c r="V657" s="3" t="n"/>
    </row>
    <row r="658">
      <c r="A658" s="3" t="n"/>
      <c r="B658" s="3" t="n"/>
      <c r="C658" s="3" t="n"/>
      <c r="D658" s="4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5">
        <f>IF(Q658&lt;&gt;"是","排除",IF(OR(L658="",M658=""),"",IF(OR(L658="未知",M658="未知"),"未知",IF(AND(L658="真",M658="真"),"TP",IF(AND(L658="真",M658="假"),"FP",IF(AND(L658="假",M658="真"),"FN","TN"))))))</f>
        <v/>
      </c>
      <c r="S658" s="3" t="n"/>
      <c r="T658" s="3" t="n"/>
      <c r="U658" s="3" t="n"/>
      <c r="V658" s="3" t="n"/>
    </row>
    <row r="659">
      <c r="A659" s="3" t="n"/>
      <c r="B659" s="3" t="n"/>
      <c r="C659" s="3" t="n"/>
      <c r="D659" s="4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5">
        <f>IF(Q659&lt;&gt;"是","排除",IF(OR(L659="",M659=""),"",IF(OR(L659="未知",M659="未知"),"未知",IF(AND(L659="真",M659="真"),"TP",IF(AND(L659="真",M659="假"),"FP",IF(AND(L659="假",M659="真"),"FN","TN"))))))</f>
        <v/>
      </c>
      <c r="S659" s="3" t="n"/>
      <c r="T659" s="3" t="n"/>
      <c r="U659" s="3" t="n"/>
      <c r="V659" s="3" t="n"/>
    </row>
    <row r="660">
      <c r="A660" s="3" t="n"/>
      <c r="B660" s="3" t="n"/>
      <c r="C660" s="3" t="n"/>
      <c r="D660" s="4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5">
        <f>IF(Q660&lt;&gt;"是","排除",IF(OR(L660="",M660=""),"",IF(OR(L660="未知",M660="未知"),"未知",IF(AND(L660="真",M660="真"),"TP",IF(AND(L660="真",M660="假"),"FP",IF(AND(L660="假",M660="真"),"FN","TN"))))))</f>
        <v/>
      </c>
      <c r="S660" s="3" t="n"/>
      <c r="T660" s="3" t="n"/>
      <c r="U660" s="3" t="n"/>
      <c r="V660" s="3" t="n"/>
    </row>
    <row r="661">
      <c r="A661" s="3" t="n"/>
      <c r="B661" s="3" t="n"/>
      <c r="C661" s="3" t="n"/>
      <c r="D661" s="4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5">
        <f>IF(Q661&lt;&gt;"是","排除",IF(OR(L661="",M661=""),"",IF(OR(L661="未知",M661="未知"),"未知",IF(AND(L661="真",M661="真"),"TP",IF(AND(L661="真",M661="假"),"FP",IF(AND(L661="假",M661="真"),"FN","TN"))))))</f>
        <v/>
      </c>
      <c r="S661" s="3" t="n"/>
      <c r="T661" s="3" t="n"/>
      <c r="U661" s="3" t="n"/>
      <c r="V661" s="3" t="n"/>
    </row>
    <row r="662">
      <c r="A662" s="3" t="n"/>
      <c r="B662" s="3" t="n"/>
      <c r="C662" s="3" t="n"/>
      <c r="D662" s="4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5">
        <f>IF(Q662&lt;&gt;"是","排除",IF(OR(L662="",M662=""),"",IF(OR(L662="未知",M662="未知"),"未知",IF(AND(L662="真",M662="真"),"TP",IF(AND(L662="真",M662="假"),"FP",IF(AND(L662="假",M662="真"),"FN","TN"))))))</f>
        <v/>
      </c>
      <c r="S662" s="3" t="n"/>
      <c r="T662" s="3" t="n"/>
      <c r="U662" s="3" t="n"/>
      <c r="V662" s="3" t="n"/>
    </row>
    <row r="663">
      <c r="A663" s="3" t="n"/>
      <c r="B663" s="3" t="n"/>
      <c r="C663" s="3" t="n"/>
      <c r="D663" s="4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5">
        <f>IF(Q663&lt;&gt;"是","排除",IF(OR(L663="",M663=""),"",IF(OR(L663="未知",M663="未知"),"未知",IF(AND(L663="真",M663="真"),"TP",IF(AND(L663="真",M663="假"),"FP",IF(AND(L663="假",M663="真"),"FN","TN"))))))</f>
        <v/>
      </c>
      <c r="S663" s="3" t="n"/>
      <c r="T663" s="3" t="n"/>
      <c r="U663" s="3" t="n"/>
      <c r="V663" s="3" t="n"/>
    </row>
    <row r="664">
      <c r="A664" s="3" t="n"/>
      <c r="B664" s="3" t="n"/>
      <c r="C664" s="3" t="n"/>
      <c r="D664" s="4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5">
        <f>IF(Q664&lt;&gt;"是","排除",IF(OR(L664="",M664=""),"",IF(OR(L664="未知",M664="未知"),"未知",IF(AND(L664="真",M664="真"),"TP",IF(AND(L664="真",M664="假"),"FP",IF(AND(L664="假",M664="真"),"FN","TN"))))))</f>
        <v/>
      </c>
      <c r="S664" s="3" t="n"/>
      <c r="T664" s="3" t="n"/>
      <c r="U664" s="3" t="n"/>
      <c r="V664" s="3" t="n"/>
    </row>
    <row r="665">
      <c r="A665" s="3" t="n"/>
      <c r="B665" s="3" t="n"/>
      <c r="C665" s="3" t="n"/>
      <c r="D665" s="4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5">
        <f>IF(Q665&lt;&gt;"是","排除",IF(OR(L665="",M665=""),"",IF(OR(L665="未知",M665="未知"),"未知",IF(AND(L665="真",M665="真"),"TP",IF(AND(L665="真",M665="假"),"FP",IF(AND(L665="假",M665="真"),"FN","TN"))))))</f>
        <v/>
      </c>
      <c r="S665" s="3" t="n"/>
      <c r="T665" s="3" t="n"/>
      <c r="U665" s="3" t="n"/>
      <c r="V665" s="3" t="n"/>
    </row>
    <row r="666">
      <c r="A666" s="3" t="n"/>
      <c r="B666" s="3" t="n"/>
      <c r="C666" s="3" t="n"/>
      <c r="D666" s="4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5">
        <f>IF(Q666&lt;&gt;"是","排除",IF(OR(L666="",M666=""),"",IF(OR(L666="未知",M666="未知"),"未知",IF(AND(L666="真",M666="真"),"TP",IF(AND(L666="真",M666="假"),"FP",IF(AND(L666="假",M666="真"),"FN","TN"))))))</f>
        <v/>
      </c>
      <c r="S666" s="3" t="n"/>
      <c r="T666" s="3" t="n"/>
      <c r="U666" s="3" t="n"/>
      <c r="V666" s="3" t="n"/>
    </row>
    <row r="667">
      <c r="A667" s="3" t="n"/>
      <c r="B667" s="3" t="n"/>
      <c r="C667" s="3" t="n"/>
      <c r="D667" s="4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5">
        <f>IF(Q667&lt;&gt;"是","排除",IF(OR(L667="",M667=""),"",IF(OR(L667="未知",M667="未知"),"未知",IF(AND(L667="真",M667="真"),"TP",IF(AND(L667="真",M667="假"),"FP",IF(AND(L667="假",M667="真"),"FN","TN"))))))</f>
        <v/>
      </c>
      <c r="S667" s="3" t="n"/>
      <c r="T667" s="3" t="n"/>
      <c r="U667" s="3" t="n"/>
      <c r="V667" s="3" t="n"/>
    </row>
    <row r="668">
      <c r="A668" s="3" t="n"/>
      <c r="B668" s="3" t="n"/>
      <c r="C668" s="3" t="n"/>
      <c r="D668" s="4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5">
        <f>IF(Q668&lt;&gt;"是","排除",IF(OR(L668="",M668=""),"",IF(OR(L668="未知",M668="未知"),"未知",IF(AND(L668="真",M668="真"),"TP",IF(AND(L668="真",M668="假"),"FP",IF(AND(L668="假",M668="真"),"FN","TN"))))))</f>
        <v/>
      </c>
      <c r="S668" s="3" t="n"/>
      <c r="T668" s="3" t="n"/>
      <c r="U668" s="3" t="n"/>
      <c r="V668" s="3" t="n"/>
    </row>
    <row r="669">
      <c r="A669" s="3" t="n"/>
      <c r="B669" s="3" t="n"/>
      <c r="C669" s="3" t="n"/>
      <c r="D669" s="4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5">
        <f>IF(Q669&lt;&gt;"是","排除",IF(OR(L669="",M669=""),"",IF(OR(L669="未知",M669="未知"),"未知",IF(AND(L669="真",M669="真"),"TP",IF(AND(L669="真",M669="假"),"FP",IF(AND(L669="假",M669="真"),"FN","TN"))))))</f>
        <v/>
      </c>
      <c r="S669" s="3" t="n"/>
      <c r="T669" s="3" t="n"/>
      <c r="U669" s="3" t="n"/>
      <c r="V669" s="3" t="n"/>
    </row>
    <row r="670">
      <c r="A670" s="3" t="n"/>
      <c r="B670" s="3" t="n"/>
      <c r="C670" s="3" t="n"/>
      <c r="D670" s="4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5">
        <f>IF(Q670&lt;&gt;"是","排除",IF(OR(L670="",M670=""),"",IF(OR(L670="未知",M670="未知"),"未知",IF(AND(L670="真",M670="真"),"TP",IF(AND(L670="真",M670="假"),"FP",IF(AND(L670="假",M670="真"),"FN","TN"))))))</f>
        <v/>
      </c>
      <c r="S670" s="3" t="n"/>
      <c r="T670" s="3" t="n"/>
      <c r="U670" s="3" t="n"/>
      <c r="V670" s="3" t="n"/>
    </row>
    <row r="671">
      <c r="A671" s="3" t="n"/>
      <c r="B671" s="3" t="n"/>
      <c r="C671" s="3" t="n"/>
      <c r="D671" s="4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5">
        <f>IF(Q671&lt;&gt;"是","排除",IF(OR(L671="",M671=""),"",IF(OR(L671="未知",M671="未知"),"未知",IF(AND(L671="真",M671="真"),"TP",IF(AND(L671="真",M671="假"),"FP",IF(AND(L671="假",M671="真"),"FN","TN"))))))</f>
        <v/>
      </c>
      <c r="S671" s="3" t="n"/>
      <c r="T671" s="3" t="n"/>
      <c r="U671" s="3" t="n"/>
      <c r="V671" s="3" t="n"/>
    </row>
    <row r="672">
      <c r="A672" s="3" t="n"/>
      <c r="B672" s="3" t="n"/>
      <c r="C672" s="3" t="n"/>
      <c r="D672" s="4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5">
        <f>IF(Q672&lt;&gt;"是","排除",IF(OR(L672="",M672=""),"",IF(OR(L672="未知",M672="未知"),"未知",IF(AND(L672="真",M672="真"),"TP",IF(AND(L672="真",M672="假"),"FP",IF(AND(L672="假",M672="真"),"FN","TN"))))))</f>
        <v/>
      </c>
      <c r="S672" s="3" t="n"/>
      <c r="T672" s="3" t="n"/>
      <c r="U672" s="3" t="n"/>
      <c r="V672" s="3" t="n"/>
    </row>
    <row r="673">
      <c r="A673" s="3" t="n"/>
      <c r="B673" s="3" t="n"/>
      <c r="C673" s="3" t="n"/>
      <c r="D673" s="4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5">
        <f>IF(Q673&lt;&gt;"是","排除",IF(OR(L673="",M673=""),"",IF(OR(L673="未知",M673="未知"),"未知",IF(AND(L673="真",M673="真"),"TP",IF(AND(L673="真",M673="假"),"FP",IF(AND(L673="假",M673="真"),"FN","TN"))))))</f>
        <v/>
      </c>
      <c r="S673" s="3" t="n"/>
      <c r="T673" s="3" t="n"/>
      <c r="U673" s="3" t="n"/>
      <c r="V673" s="3" t="n"/>
    </row>
    <row r="674">
      <c r="A674" s="3" t="n"/>
      <c r="B674" s="3" t="n"/>
      <c r="C674" s="3" t="n"/>
      <c r="D674" s="4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5">
        <f>IF(Q674&lt;&gt;"是","排除",IF(OR(L674="",M674=""),"",IF(OR(L674="未知",M674="未知"),"未知",IF(AND(L674="真",M674="真"),"TP",IF(AND(L674="真",M674="假"),"FP",IF(AND(L674="假",M674="真"),"FN","TN"))))))</f>
        <v/>
      </c>
      <c r="S674" s="3" t="n"/>
      <c r="T674" s="3" t="n"/>
      <c r="U674" s="3" t="n"/>
      <c r="V674" s="3" t="n"/>
    </row>
    <row r="675">
      <c r="A675" s="3" t="n"/>
      <c r="B675" s="3" t="n"/>
      <c r="C675" s="3" t="n"/>
      <c r="D675" s="4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5">
        <f>IF(Q675&lt;&gt;"是","排除",IF(OR(L675="",M675=""),"",IF(OR(L675="未知",M675="未知"),"未知",IF(AND(L675="真",M675="真"),"TP",IF(AND(L675="真",M675="假"),"FP",IF(AND(L675="假",M675="真"),"FN","TN"))))))</f>
        <v/>
      </c>
      <c r="S675" s="3" t="n"/>
      <c r="T675" s="3" t="n"/>
      <c r="U675" s="3" t="n"/>
      <c r="V675" s="3" t="n"/>
    </row>
    <row r="676">
      <c r="A676" s="3" t="n"/>
      <c r="B676" s="3" t="n"/>
      <c r="C676" s="3" t="n"/>
      <c r="D676" s="4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5">
        <f>IF(Q676&lt;&gt;"是","排除",IF(OR(L676="",M676=""),"",IF(OR(L676="未知",M676="未知"),"未知",IF(AND(L676="真",M676="真"),"TP",IF(AND(L676="真",M676="假"),"FP",IF(AND(L676="假",M676="真"),"FN","TN"))))))</f>
        <v/>
      </c>
      <c r="S676" s="3" t="n"/>
      <c r="T676" s="3" t="n"/>
      <c r="U676" s="3" t="n"/>
      <c r="V676" s="3" t="n"/>
    </row>
    <row r="677">
      <c r="A677" s="3" t="n"/>
      <c r="B677" s="3" t="n"/>
      <c r="C677" s="3" t="n"/>
      <c r="D677" s="4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5">
        <f>IF(Q677&lt;&gt;"是","排除",IF(OR(L677="",M677=""),"",IF(OR(L677="未知",M677="未知"),"未知",IF(AND(L677="真",M677="真"),"TP",IF(AND(L677="真",M677="假"),"FP",IF(AND(L677="假",M677="真"),"FN","TN"))))))</f>
        <v/>
      </c>
      <c r="S677" s="3" t="n"/>
      <c r="T677" s="3" t="n"/>
      <c r="U677" s="3" t="n"/>
      <c r="V677" s="3" t="n"/>
    </row>
    <row r="678">
      <c r="A678" s="3" t="n"/>
      <c r="B678" s="3" t="n"/>
      <c r="C678" s="3" t="n"/>
      <c r="D678" s="4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5">
        <f>IF(Q678&lt;&gt;"是","排除",IF(OR(L678="",M678=""),"",IF(OR(L678="未知",M678="未知"),"未知",IF(AND(L678="真",M678="真"),"TP",IF(AND(L678="真",M678="假"),"FP",IF(AND(L678="假",M678="真"),"FN","TN"))))))</f>
        <v/>
      </c>
      <c r="S678" s="3" t="n"/>
      <c r="T678" s="3" t="n"/>
      <c r="U678" s="3" t="n"/>
      <c r="V678" s="3" t="n"/>
    </row>
    <row r="679">
      <c r="A679" s="3" t="n"/>
      <c r="B679" s="3" t="n"/>
      <c r="C679" s="3" t="n"/>
      <c r="D679" s="4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5">
        <f>IF(Q679&lt;&gt;"是","排除",IF(OR(L679="",M679=""),"",IF(OR(L679="未知",M679="未知"),"未知",IF(AND(L679="真",M679="真"),"TP",IF(AND(L679="真",M679="假"),"FP",IF(AND(L679="假",M679="真"),"FN","TN"))))))</f>
        <v/>
      </c>
      <c r="S679" s="3" t="n"/>
      <c r="T679" s="3" t="n"/>
      <c r="U679" s="3" t="n"/>
      <c r="V679" s="3" t="n"/>
    </row>
    <row r="680">
      <c r="A680" s="3" t="n"/>
      <c r="B680" s="3" t="n"/>
      <c r="C680" s="3" t="n"/>
      <c r="D680" s="4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5">
        <f>IF(Q680&lt;&gt;"是","排除",IF(OR(L680="",M680=""),"",IF(OR(L680="未知",M680="未知"),"未知",IF(AND(L680="真",M680="真"),"TP",IF(AND(L680="真",M680="假"),"FP",IF(AND(L680="假",M680="真"),"FN","TN"))))))</f>
        <v/>
      </c>
      <c r="S680" s="3" t="n"/>
      <c r="T680" s="3" t="n"/>
      <c r="U680" s="3" t="n"/>
      <c r="V680" s="3" t="n"/>
    </row>
    <row r="681">
      <c r="A681" s="3" t="n"/>
      <c r="B681" s="3" t="n"/>
      <c r="C681" s="3" t="n"/>
      <c r="D681" s="4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5">
        <f>IF(Q681&lt;&gt;"是","排除",IF(OR(L681="",M681=""),"",IF(OR(L681="未知",M681="未知"),"未知",IF(AND(L681="真",M681="真"),"TP",IF(AND(L681="真",M681="假"),"FP",IF(AND(L681="假",M681="真"),"FN","TN"))))))</f>
        <v/>
      </c>
      <c r="S681" s="3" t="n"/>
      <c r="T681" s="3" t="n"/>
      <c r="U681" s="3" t="n"/>
      <c r="V681" s="3" t="n"/>
    </row>
    <row r="682">
      <c r="A682" s="3" t="n"/>
      <c r="B682" s="3" t="n"/>
      <c r="C682" s="3" t="n"/>
      <c r="D682" s="4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5">
        <f>IF(Q682&lt;&gt;"是","排除",IF(OR(L682="",M682=""),"",IF(OR(L682="未知",M682="未知"),"未知",IF(AND(L682="真",M682="真"),"TP",IF(AND(L682="真",M682="假"),"FP",IF(AND(L682="假",M682="真"),"FN","TN"))))))</f>
        <v/>
      </c>
      <c r="S682" s="3" t="n"/>
      <c r="T682" s="3" t="n"/>
      <c r="U682" s="3" t="n"/>
      <c r="V682" s="3" t="n"/>
    </row>
    <row r="683">
      <c r="A683" s="3" t="n"/>
      <c r="B683" s="3" t="n"/>
      <c r="C683" s="3" t="n"/>
      <c r="D683" s="4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5">
        <f>IF(Q683&lt;&gt;"是","排除",IF(OR(L683="",M683=""),"",IF(OR(L683="未知",M683="未知"),"未知",IF(AND(L683="真",M683="真"),"TP",IF(AND(L683="真",M683="假"),"FP",IF(AND(L683="假",M683="真"),"FN","TN"))))))</f>
        <v/>
      </c>
      <c r="S683" s="3" t="n"/>
      <c r="T683" s="3" t="n"/>
      <c r="U683" s="3" t="n"/>
      <c r="V683" s="3" t="n"/>
    </row>
    <row r="684">
      <c r="A684" s="3" t="n"/>
      <c r="B684" s="3" t="n"/>
      <c r="C684" s="3" t="n"/>
      <c r="D684" s="4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5">
        <f>IF(Q684&lt;&gt;"是","排除",IF(OR(L684="",M684=""),"",IF(OR(L684="未知",M684="未知"),"未知",IF(AND(L684="真",M684="真"),"TP",IF(AND(L684="真",M684="假"),"FP",IF(AND(L684="假",M684="真"),"FN","TN"))))))</f>
        <v/>
      </c>
      <c r="S684" s="3" t="n"/>
      <c r="T684" s="3" t="n"/>
      <c r="U684" s="3" t="n"/>
      <c r="V684" s="3" t="n"/>
    </row>
    <row r="685">
      <c r="A685" s="3" t="n"/>
      <c r="B685" s="3" t="n"/>
      <c r="C685" s="3" t="n"/>
      <c r="D685" s="4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5">
        <f>IF(Q685&lt;&gt;"是","排除",IF(OR(L685="",M685=""),"",IF(OR(L685="未知",M685="未知"),"未知",IF(AND(L685="真",M685="真"),"TP",IF(AND(L685="真",M685="假"),"FP",IF(AND(L685="假",M685="真"),"FN","TN"))))))</f>
        <v/>
      </c>
      <c r="S685" s="3" t="n"/>
      <c r="T685" s="3" t="n"/>
      <c r="U685" s="3" t="n"/>
      <c r="V685" s="3" t="n"/>
    </row>
    <row r="686">
      <c r="A686" s="3" t="n"/>
      <c r="B686" s="3" t="n"/>
      <c r="C686" s="3" t="n"/>
      <c r="D686" s="4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5">
        <f>IF(Q686&lt;&gt;"是","排除",IF(OR(L686="",M686=""),"",IF(OR(L686="未知",M686="未知"),"未知",IF(AND(L686="真",M686="真"),"TP",IF(AND(L686="真",M686="假"),"FP",IF(AND(L686="假",M686="真"),"FN","TN"))))))</f>
        <v/>
      </c>
      <c r="S686" s="3" t="n"/>
      <c r="T686" s="3" t="n"/>
      <c r="U686" s="3" t="n"/>
      <c r="V686" s="3" t="n"/>
    </row>
    <row r="687">
      <c r="A687" s="3" t="n"/>
      <c r="B687" s="3" t="n"/>
      <c r="C687" s="3" t="n"/>
      <c r="D687" s="4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5">
        <f>IF(Q687&lt;&gt;"是","排除",IF(OR(L687="",M687=""),"",IF(OR(L687="未知",M687="未知"),"未知",IF(AND(L687="真",M687="真"),"TP",IF(AND(L687="真",M687="假"),"FP",IF(AND(L687="假",M687="真"),"FN","TN"))))))</f>
        <v/>
      </c>
      <c r="S687" s="3" t="n"/>
      <c r="T687" s="3" t="n"/>
      <c r="U687" s="3" t="n"/>
      <c r="V687" s="3" t="n"/>
    </row>
    <row r="688">
      <c r="A688" s="3" t="n"/>
      <c r="B688" s="3" t="n"/>
      <c r="C688" s="3" t="n"/>
      <c r="D688" s="4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5">
        <f>IF(Q688&lt;&gt;"是","排除",IF(OR(L688="",M688=""),"",IF(OR(L688="未知",M688="未知"),"未知",IF(AND(L688="真",M688="真"),"TP",IF(AND(L688="真",M688="假"),"FP",IF(AND(L688="假",M688="真"),"FN","TN"))))))</f>
        <v/>
      </c>
      <c r="S688" s="3" t="n"/>
      <c r="T688" s="3" t="n"/>
      <c r="U688" s="3" t="n"/>
      <c r="V688" s="3" t="n"/>
    </row>
    <row r="689">
      <c r="A689" s="3" t="n"/>
      <c r="B689" s="3" t="n"/>
      <c r="C689" s="3" t="n"/>
      <c r="D689" s="4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5">
        <f>IF(Q689&lt;&gt;"是","排除",IF(OR(L689="",M689=""),"",IF(OR(L689="未知",M689="未知"),"未知",IF(AND(L689="真",M689="真"),"TP",IF(AND(L689="真",M689="假"),"FP",IF(AND(L689="假",M689="真"),"FN","TN"))))))</f>
        <v/>
      </c>
      <c r="S689" s="3" t="n"/>
      <c r="T689" s="3" t="n"/>
      <c r="U689" s="3" t="n"/>
      <c r="V689" s="3" t="n"/>
    </row>
    <row r="690">
      <c r="A690" s="3" t="n"/>
      <c r="B690" s="3" t="n"/>
      <c r="C690" s="3" t="n"/>
      <c r="D690" s="4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5">
        <f>IF(Q690&lt;&gt;"是","排除",IF(OR(L690="",M690=""),"",IF(OR(L690="未知",M690="未知"),"未知",IF(AND(L690="真",M690="真"),"TP",IF(AND(L690="真",M690="假"),"FP",IF(AND(L690="假",M690="真"),"FN","TN"))))))</f>
        <v/>
      </c>
      <c r="S690" s="3" t="n"/>
      <c r="T690" s="3" t="n"/>
      <c r="U690" s="3" t="n"/>
      <c r="V690" s="3" t="n"/>
    </row>
    <row r="691">
      <c r="A691" s="3" t="n"/>
      <c r="B691" s="3" t="n"/>
      <c r="C691" s="3" t="n"/>
      <c r="D691" s="4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5">
        <f>IF(Q691&lt;&gt;"是","排除",IF(OR(L691="",M691=""),"",IF(OR(L691="未知",M691="未知"),"未知",IF(AND(L691="真",M691="真"),"TP",IF(AND(L691="真",M691="假"),"FP",IF(AND(L691="假",M691="真"),"FN","TN"))))))</f>
        <v/>
      </c>
      <c r="S691" s="3" t="n"/>
      <c r="T691" s="3" t="n"/>
      <c r="U691" s="3" t="n"/>
      <c r="V691" s="3" t="n"/>
    </row>
    <row r="692">
      <c r="A692" s="3" t="n"/>
      <c r="B692" s="3" t="n"/>
      <c r="C692" s="3" t="n"/>
      <c r="D692" s="4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5">
        <f>IF(Q692&lt;&gt;"是","排除",IF(OR(L692="",M692=""),"",IF(OR(L692="未知",M692="未知"),"未知",IF(AND(L692="真",M692="真"),"TP",IF(AND(L692="真",M692="假"),"FP",IF(AND(L692="假",M692="真"),"FN","TN"))))))</f>
        <v/>
      </c>
      <c r="S692" s="3" t="n"/>
      <c r="T692" s="3" t="n"/>
      <c r="U692" s="3" t="n"/>
      <c r="V692" s="3" t="n"/>
    </row>
    <row r="693">
      <c r="A693" s="3" t="n"/>
      <c r="B693" s="3" t="n"/>
      <c r="C693" s="3" t="n"/>
      <c r="D693" s="4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5">
        <f>IF(Q693&lt;&gt;"是","排除",IF(OR(L693="",M693=""),"",IF(OR(L693="未知",M693="未知"),"未知",IF(AND(L693="真",M693="真"),"TP",IF(AND(L693="真",M693="假"),"FP",IF(AND(L693="假",M693="真"),"FN","TN"))))))</f>
        <v/>
      </c>
      <c r="S693" s="3" t="n"/>
      <c r="T693" s="3" t="n"/>
      <c r="U693" s="3" t="n"/>
      <c r="V693" s="3" t="n"/>
    </row>
    <row r="694">
      <c r="A694" s="3" t="n"/>
      <c r="B694" s="3" t="n"/>
      <c r="C694" s="3" t="n"/>
      <c r="D694" s="4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5">
        <f>IF(Q694&lt;&gt;"是","排除",IF(OR(L694="",M694=""),"",IF(OR(L694="未知",M694="未知"),"未知",IF(AND(L694="真",M694="真"),"TP",IF(AND(L694="真",M694="假"),"FP",IF(AND(L694="假",M694="真"),"FN","TN"))))))</f>
        <v/>
      </c>
      <c r="S694" s="3" t="n"/>
      <c r="T694" s="3" t="n"/>
      <c r="U694" s="3" t="n"/>
      <c r="V694" s="3" t="n"/>
    </row>
    <row r="695">
      <c r="A695" s="3" t="n"/>
      <c r="B695" s="3" t="n"/>
      <c r="C695" s="3" t="n"/>
      <c r="D695" s="4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5">
        <f>IF(Q695&lt;&gt;"是","排除",IF(OR(L695="",M695=""),"",IF(OR(L695="未知",M695="未知"),"未知",IF(AND(L695="真",M695="真"),"TP",IF(AND(L695="真",M695="假"),"FP",IF(AND(L695="假",M695="真"),"FN","TN"))))))</f>
        <v/>
      </c>
      <c r="S695" s="3" t="n"/>
      <c r="T695" s="3" t="n"/>
      <c r="U695" s="3" t="n"/>
      <c r="V695" s="3" t="n"/>
    </row>
    <row r="696">
      <c r="A696" s="3" t="n"/>
      <c r="B696" s="3" t="n"/>
      <c r="C696" s="3" t="n"/>
      <c r="D696" s="4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5">
        <f>IF(Q696&lt;&gt;"是","排除",IF(OR(L696="",M696=""),"",IF(OR(L696="未知",M696="未知"),"未知",IF(AND(L696="真",M696="真"),"TP",IF(AND(L696="真",M696="假"),"FP",IF(AND(L696="假",M696="真"),"FN","TN"))))))</f>
        <v/>
      </c>
      <c r="S696" s="3" t="n"/>
      <c r="T696" s="3" t="n"/>
      <c r="U696" s="3" t="n"/>
      <c r="V696" s="3" t="n"/>
    </row>
    <row r="697">
      <c r="A697" s="3" t="n"/>
      <c r="B697" s="3" t="n"/>
      <c r="C697" s="3" t="n"/>
      <c r="D697" s="4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5">
        <f>IF(Q697&lt;&gt;"是","排除",IF(OR(L697="",M697=""),"",IF(OR(L697="未知",M697="未知"),"未知",IF(AND(L697="真",M697="真"),"TP",IF(AND(L697="真",M697="假"),"FP",IF(AND(L697="假",M697="真"),"FN","TN"))))))</f>
        <v/>
      </c>
      <c r="S697" s="3" t="n"/>
      <c r="T697" s="3" t="n"/>
      <c r="U697" s="3" t="n"/>
      <c r="V697" s="3" t="n"/>
    </row>
    <row r="698">
      <c r="A698" s="3" t="n"/>
      <c r="B698" s="3" t="n"/>
      <c r="C698" s="3" t="n"/>
      <c r="D698" s="4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5">
        <f>IF(Q698&lt;&gt;"是","排除",IF(OR(L698="",M698=""),"",IF(OR(L698="未知",M698="未知"),"未知",IF(AND(L698="真",M698="真"),"TP",IF(AND(L698="真",M698="假"),"FP",IF(AND(L698="假",M698="真"),"FN","TN"))))))</f>
        <v/>
      </c>
      <c r="S698" s="3" t="n"/>
      <c r="T698" s="3" t="n"/>
      <c r="U698" s="3" t="n"/>
      <c r="V698" s="3" t="n"/>
    </row>
    <row r="699">
      <c r="A699" s="3" t="n"/>
      <c r="B699" s="3" t="n"/>
      <c r="C699" s="3" t="n"/>
      <c r="D699" s="4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5">
        <f>IF(Q699&lt;&gt;"是","排除",IF(OR(L699="",M699=""),"",IF(OR(L699="未知",M699="未知"),"未知",IF(AND(L699="真",M699="真"),"TP",IF(AND(L699="真",M699="假"),"FP",IF(AND(L699="假",M699="真"),"FN","TN"))))))</f>
        <v/>
      </c>
      <c r="S699" s="3" t="n"/>
      <c r="T699" s="3" t="n"/>
      <c r="U699" s="3" t="n"/>
      <c r="V699" s="3" t="n"/>
    </row>
    <row r="700">
      <c r="A700" s="3" t="n"/>
      <c r="B700" s="3" t="n"/>
      <c r="C700" s="3" t="n"/>
      <c r="D700" s="4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5">
        <f>IF(Q700&lt;&gt;"是","排除",IF(OR(L700="",M700=""),"",IF(OR(L700="未知",M700="未知"),"未知",IF(AND(L700="真",M700="真"),"TP",IF(AND(L700="真",M700="假"),"FP",IF(AND(L700="假",M700="真"),"FN","TN"))))))</f>
        <v/>
      </c>
      <c r="S700" s="3" t="n"/>
      <c r="T700" s="3" t="n"/>
      <c r="U700" s="3" t="n"/>
      <c r="V700" s="3" t="n"/>
    </row>
    <row r="701">
      <c r="A701" s="3" t="n"/>
      <c r="B701" s="3" t="n"/>
      <c r="C701" s="3" t="n"/>
      <c r="D701" s="4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5">
        <f>IF(Q701&lt;&gt;"是","排除",IF(OR(L701="",M701=""),"",IF(OR(L701="未知",M701="未知"),"未知",IF(AND(L701="真",M701="真"),"TP",IF(AND(L701="真",M701="假"),"FP",IF(AND(L701="假",M701="真"),"FN","TN"))))))</f>
        <v/>
      </c>
      <c r="S701" s="3" t="n"/>
      <c r="T701" s="3" t="n"/>
      <c r="U701" s="3" t="n"/>
      <c r="V701" s="3" t="n"/>
    </row>
    <row r="702">
      <c r="A702" s="3" t="n"/>
      <c r="B702" s="3" t="n"/>
      <c r="C702" s="3" t="n"/>
      <c r="D702" s="4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5">
        <f>IF(Q702&lt;&gt;"是","排除",IF(OR(L702="",M702=""),"",IF(OR(L702="未知",M702="未知"),"未知",IF(AND(L702="真",M702="真"),"TP",IF(AND(L702="真",M702="假"),"FP",IF(AND(L702="假",M702="真"),"FN","TN"))))))</f>
        <v/>
      </c>
      <c r="S702" s="3" t="n"/>
      <c r="T702" s="3" t="n"/>
      <c r="U702" s="3" t="n"/>
      <c r="V702" s="3" t="n"/>
    </row>
    <row r="703">
      <c r="A703" s="3" t="n"/>
      <c r="B703" s="3" t="n"/>
      <c r="C703" s="3" t="n"/>
      <c r="D703" s="4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5">
        <f>IF(Q703&lt;&gt;"是","排除",IF(OR(L703="",M703=""),"",IF(OR(L703="未知",M703="未知"),"未知",IF(AND(L703="真",M703="真"),"TP",IF(AND(L703="真",M703="假"),"FP",IF(AND(L703="假",M703="真"),"FN","TN"))))))</f>
        <v/>
      </c>
      <c r="S703" s="3" t="n"/>
      <c r="T703" s="3" t="n"/>
      <c r="U703" s="3" t="n"/>
      <c r="V703" s="3" t="n"/>
    </row>
    <row r="704">
      <c r="A704" s="3" t="n"/>
      <c r="B704" s="3" t="n"/>
      <c r="C704" s="3" t="n"/>
      <c r="D704" s="4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5">
        <f>IF(Q704&lt;&gt;"是","排除",IF(OR(L704="",M704=""),"",IF(OR(L704="未知",M704="未知"),"未知",IF(AND(L704="真",M704="真"),"TP",IF(AND(L704="真",M704="假"),"FP",IF(AND(L704="假",M704="真"),"FN","TN"))))))</f>
        <v/>
      </c>
      <c r="S704" s="3" t="n"/>
      <c r="T704" s="3" t="n"/>
      <c r="U704" s="3" t="n"/>
      <c r="V704" s="3" t="n"/>
    </row>
    <row r="705">
      <c r="A705" s="3" t="n"/>
      <c r="B705" s="3" t="n"/>
      <c r="C705" s="3" t="n"/>
      <c r="D705" s="4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5">
        <f>IF(Q705&lt;&gt;"是","排除",IF(OR(L705="",M705=""),"",IF(OR(L705="未知",M705="未知"),"未知",IF(AND(L705="真",M705="真"),"TP",IF(AND(L705="真",M705="假"),"FP",IF(AND(L705="假",M705="真"),"FN","TN"))))))</f>
        <v/>
      </c>
      <c r="S705" s="3" t="n"/>
      <c r="T705" s="3" t="n"/>
      <c r="U705" s="3" t="n"/>
      <c r="V705" s="3" t="n"/>
    </row>
    <row r="706">
      <c r="A706" s="3" t="n"/>
      <c r="B706" s="3" t="n"/>
      <c r="C706" s="3" t="n"/>
      <c r="D706" s="4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5">
        <f>IF(Q706&lt;&gt;"是","排除",IF(OR(L706="",M706=""),"",IF(OR(L706="未知",M706="未知"),"未知",IF(AND(L706="真",M706="真"),"TP",IF(AND(L706="真",M706="假"),"FP",IF(AND(L706="假",M706="真"),"FN","TN"))))))</f>
        <v/>
      </c>
      <c r="S706" s="3" t="n"/>
      <c r="T706" s="3" t="n"/>
      <c r="U706" s="3" t="n"/>
      <c r="V706" s="3" t="n"/>
    </row>
    <row r="707">
      <c r="A707" s="3" t="n"/>
      <c r="B707" s="3" t="n"/>
      <c r="C707" s="3" t="n"/>
      <c r="D707" s="4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5">
        <f>IF(Q707&lt;&gt;"是","排除",IF(OR(L707="",M707=""),"",IF(OR(L707="未知",M707="未知"),"未知",IF(AND(L707="真",M707="真"),"TP",IF(AND(L707="真",M707="假"),"FP",IF(AND(L707="假",M707="真"),"FN","TN"))))))</f>
        <v/>
      </c>
      <c r="S707" s="3" t="n"/>
      <c r="T707" s="3" t="n"/>
      <c r="U707" s="3" t="n"/>
      <c r="V707" s="3" t="n"/>
    </row>
    <row r="708">
      <c r="A708" s="3" t="n"/>
      <c r="B708" s="3" t="n"/>
      <c r="C708" s="3" t="n"/>
      <c r="D708" s="4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5">
        <f>IF(Q708&lt;&gt;"是","排除",IF(OR(L708="",M708=""),"",IF(OR(L708="未知",M708="未知"),"未知",IF(AND(L708="真",M708="真"),"TP",IF(AND(L708="真",M708="假"),"FP",IF(AND(L708="假",M708="真"),"FN","TN"))))))</f>
        <v/>
      </c>
      <c r="S708" s="3" t="n"/>
      <c r="T708" s="3" t="n"/>
      <c r="U708" s="3" t="n"/>
      <c r="V708" s="3" t="n"/>
    </row>
    <row r="709">
      <c r="A709" s="3" t="n"/>
      <c r="B709" s="3" t="n"/>
      <c r="C709" s="3" t="n"/>
      <c r="D709" s="4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5">
        <f>IF(Q709&lt;&gt;"是","排除",IF(OR(L709="",M709=""),"",IF(OR(L709="未知",M709="未知"),"未知",IF(AND(L709="真",M709="真"),"TP",IF(AND(L709="真",M709="假"),"FP",IF(AND(L709="假",M709="真"),"FN","TN"))))))</f>
        <v/>
      </c>
      <c r="S709" s="3" t="n"/>
      <c r="T709" s="3" t="n"/>
      <c r="U709" s="3" t="n"/>
      <c r="V709" s="3" t="n"/>
    </row>
    <row r="710">
      <c r="A710" s="3" t="n"/>
      <c r="B710" s="3" t="n"/>
      <c r="C710" s="3" t="n"/>
      <c r="D710" s="4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5">
        <f>IF(Q710&lt;&gt;"是","排除",IF(OR(L710="",M710=""),"",IF(OR(L710="未知",M710="未知"),"未知",IF(AND(L710="真",M710="真"),"TP",IF(AND(L710="真",M710="假"),"FP",IF(AND(L710="假",M710="真"),"FN","TN"))))))</f>
        <v/>
      </c>
      <c r="S710" s="3" t="n"/>
      <c r="T710" s="3" t="n"/>
      <c r="U710" s="3" t="n"/>
      <c r="V710" s="3" t="n"/>
    </row>
    <row r="711">
      <c r="A711" s="3" t="n"/>
      <c r="B711" s="3" t="n"/>
      <c r="C711" s="3" t="n"/>
      <c r="D711" s="4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5">
        <f>IF(Q711&lt;&gt;"是","排除",IF(OR(L711="",M711=""),"",IF(OR(L711="未知",M711="未知"),"未知",IF(AND(L711="真",M711="真"),"TP",IF(AND(L711="真",M711="假"),"FP",IF(AND(L711="假",M711="真"),"FN","TN"))))))</f>
        <v/>
      </c>
      <c r="S711" s="3" t="n"/>
      <c r="T711" s="3" t="n"/>
      <c r="U711" s="3" t="n"/>
      <c r="V711" s="3" t="n"/>
    </row>
    <row r="712">
      <c r="A712" s="3" t="n"/>
      <c r="B712" s="3" t="n"/>
      <c r="C712" s="3" t="n"/>
      <c r="D712" s="4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5">
        <f>IF(Q712&lt;&gt;"是","排除",IF(OR(L712="",M712=""),"",IF(OR(L712="未知",M712="未知"),"未知",IF(AND(L712="真",M712="真"),"TP",IF(AND(L712="真",M712="假"),"FP",IF(AND(L712="假",M712="真"),"FN","TN"))))))</f>
        <v/>
      </c>
      <c r="S712" s="3" t="n"/>
      <c r="T712" s="3" t="n"/>
      <c r="U712" s="3" t="n"/>
      <c r="V712" s="3" t="n"/>
    </row>
    <row r="713">
      <c r="A713" s="3" t="n"/>
      <c r="B713" s="3" t="n"/>
      <c r="C713" s="3" t="n"/>
      <c r="D713" s="4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5">
        <f>IF(Q713&lt;&gt;"是","排除",IF(OR(L713="",M713=""),"",IF(OR(L713="未知",M713="未知"),"未知",IF(AND(L713="真",M713="真"),"TP",IF(AND(L713="真",M713="假"),"FP",IF(AND(L713="假",M713="真"),"FN","TN"))))))</f>
        <v/>
      </c>
      <c r="S713" s="3" t="n"/>
      <c r="T713" s="3" t="n"/>
      <c r="U713" s="3" t="n"/>
      <c r="V713" s="3" t="n"/>
    </row>
    <row r="714">
      <c r="A714" s="3" t="n"/>
      <c r="B714" s="3" t="n"/>
      <c r="C714" s="3" t="n"/>
      <c r="D714" s="4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5">
        <f>IF(Q714&lt;&gt;"是","排除",IF(OR(L714="",M714=""),"",IF(OR(L714="未知",M714="未知"),"未知",IF(AND(L714="真",M714="真"),"TP",IF(AND(L714="真",M714="假"),"FP",IF(AND(L714="假",M714="真"),"FN","TN"))))))</f>
        <v/>
      </c>
      <c r="S714" s="3" t="n"/>
      <c r="T714" s="3" t="n"/>
      <c r="U714" s="3" t="n"/>
      <c r="V714" s="3" t="n"/>
    </row>
    <row r="715">
      <c r="A715" s="3" t="n"/>
      <c r="B715" s="3" t="n"/>
      <c r="C715" s="3" t="n"/>
      <c r="D715" s="4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5">
        <f>IF(Q715&lt;&gt;"是","排除",IF(OR(L715="",M715=""),"",IF(OR(L715="未知",M715="未知"),"未知",IF(AND(L715="真",M715="真"),"TP",IF(AND(L715="真",M715="假"),"FP",IF(AND(L715="假",M715="真"),"FN","TN"))))))</f>
        <v/>
      </c>
      <c r="S715" s="3" t="n"/>
      <c r="T715" s="3" t="n"/>
      <c r="U715" s="3" t="n"/>
      <c r="V715" s="3" t="n"/>
    </row>
    <row r="716">
      <c r="A716" s="3" t="n"/>
      <c r="B716" s="3" t="n"/>
      <c r="C716" s="3" t="n"/>
      <c r="D716" s="4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5">
        <f>IF(Q716&lt;&gt;"是","排除",IF(OR(L716="",M716=""),"",IF(OR(L716="未知",M716="未知"),"未知",IF(AND(L716="真",M716="真"),"TP",IF(AND(L716="真",M716="假"),"FP",IF(AND(L716="假",M716="真"),"FN","TN"))))))</f>
        <v/>
      </c>
      <c r="S716" s="3" t="n"/>
      <c r="T716" s="3" t="n"/>
      <c r="U716" s="3" t="n"/>
      <c r="V716" s="3" t="n"/>
    </row>
    <row r="717">
      <c r="A717" s="3" t="n"/>
      <c r="B717" s="3" t="n"/>
      <c r="C717" s="3" t="n"/>
      <c r="D717" s="4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5">
        <f>IF(Q717&lt;&gt;"是","排除",IF(OR(L717="",M717=""),"",IF(OR(L717="未知",M717="未知"),"未知",IF(AND(L717="真",M717="真"),"TP",IF(AND(L717="真",M717="假"),"FP",IF(AND(L717="假",M717="真"),"FN","TN"))))))</f>
        <v/>
      </c>
      <c r="S717" s="3" t="n"/>
      <c r="T717" s="3" t="n"/>
      <c r="U717" s="3" t="n"/>
      <c r="V717" s="3" t="n"/>
    </row>
    <row r="718">
      <c r="A718" s="3" t="n"/>
      <c r="B718" s="3" t="n"/>
      <c r="C718" s="3" t="n"/>
      <c r="D718" s="4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5">
        <f>IF(Q718&lt;&gt;"是","排除",IF(OR(L718="",M718=""),"",IF(OR(L718="未知",M718="未知"),"未知",IF(AND(L718="真",M718="真"),"TP",IF(AND(L718="真",M718="假"),"FP",IF(AND(L718="假",M718="真"),"FN","TN"))))))</f>
        <v/>
      </c>
      <c r="S718" s="3" t="n"/>
      <c r="T718" s="3" t="n"/>
      <c r="U718" s="3" t="n"/>
      <c r="V718" s="3" t="n"/>
    </row>
    <row r="719">
      <c r="A719" s="3" t="n"/>
      <c r="B719" s="3" t="n"/>
      <c r="C719" s="3" t="n"/>
      <c r="D719" s="4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5">
        <f>IF(Q719&lt;&gt;"是","排除",IF(OR(L719="",M719=""),"",IF(OR(L719="未知",M719="未知"),"未知",IF(AND(L719="真",M719="真"),"TP",IF(AND(L719="真",M719="假"),"FP",IF(AND(L719="假",M719="真"),"FN","TN"))))))</f>
        <v/>
      </c>
      <c r="S719" s="3" t="n"/>
      <c r="T719" s="3" t="n"/>
      <c r="U719" s="3" t="n"/>
      <c r="V719" s="3" t="n"/>
    </row>
    <row r="720">
      <c r="A720" s="3" t="n"/>
      <c r="B720" s="3" t="n"/>
      <c r="C720" s="3" t="n"/>
      <c r="D720" s="4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5">
        <f>IF(Q720&lt;&gt;"是","排除",IF(OR(L720="",M720=""),"",IF(OR(L720="未知",M720="未知"),"未知",IF(AND(L720="真",M720="真"),"TP",IF(AND(L720="真",M720="假"),"FP",IF(AND(L720="假",M720="真"),"FN","TN"))))))</f>
        <v/>
      </c>
      <c r="S720" s="3" t="n"/>
      <c r="T720" s="3" t="n"/>
      <c r="U720" s="3" t="n"/>
      <c r="V720" s="3" t="n"/>
    </row>
    <row r="721">
      <c r="A721" s="3" t="n"/>
      <c r="B721" s="3" t="n"/>
      <c r="C721" s="3" t="n"/>
      <c r="D721" s="4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5">
        <f>IF(Q721&lt;&gt;"是","排除",IF(OR(L721="",M721=""),"",IF(OR(L721="未知",M721="未知"),"未知",IF(AND(L721="真",M721="真"),"TP",IF(AND(L721="真",M721="假"),"FP",IF(AND(L721="假",M721="真"),"FN","TN"))))))</f>
        <v/>
      </c>
      <c r="S721" s="3" t="n"/>
      <c r="T721" s="3" t="n"/>
      <c r="U721" s="3" t="n"/>
      <c r="V721" s="3" t="n"/>
    </row>
    <row r="722">
      <c r="A722" s="3" t="n"/>
      <c r="B722" s="3" t="n"/>
      <c r="C722" s="3" t="n"/>
      <c r="D722" s="4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5">
        <f>IF(Q722&lt;&gt;"是","排除",IF(OR(L722="",M722=""),"",IF(OR(L722="未知",M722="未知"),"未知",IF(AND(L722="真",M722="真"),"TP",IF(AND(L722="真",M722="假"),"FP",IF(AND(L722="假",M722="真"),"FN","TN"))))))</f>
        <v/>
      </c>
      <c r="S722" s="3" t="n"/>
      <c r="T722" s="3" t="n"/>
      <c r="U722" s="3" t="n"/>
      <c r="V722" s="3" t="n"/>
    </row>
    <row r="723">
      <c r="A723" s="3" t="n"/>
      <c r="B723" s="3" t="n"/>
      <c r="C723" s="3" t="n"/>
      <c r="D723" s="4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5">
        <f>IF(Q723&lt;&gt;"是","排除",IF(OR(L723="",M723=""),"",IF(OR(L723="未知",M723="未知"),"未知",IF(AND(L723="真",M723="真"),"TP",IF(AND(L723="真",M723="假"),"FP",IF(AND(L723="假",M723="真"),"FN","TN"))))))</f>
        <v/>
      </c>
      <c r="S723" s="3" t="n"/>
      <c r="T723" s="3" t="n"/>
      <c r="U723" s="3" t="n"/>
      <c r="V723" s="3" t="n"/>
    </row>
    <row r="724">
      <c r="A724" s="3" t="n"/>
      <c r="B724" s="3" t="n"/>
      <c r="C724" s="3" t="n"/>
      <c r="D724" s="4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5">
        <f>IF(Q724&lt;&gt;"是","排除",IF(OR(L724="",M724=""),"",IF(OR(L724="未知",M724="未知"),"未知",IF(AND(L724="真",M724="真"),"TP",IF(AND(L724="真",M724="假"),"FP",IF(AND(L724="假",M724="真"),"FN","TN"))))))</f>
        <v/>
      </c>
      <c r="S724" s="3" t="n"/>
      <c r="T724" s="3" t="n"/>
      <c r="U724" s="3" t="n"/>
      <c r="V724" s="3" t="n"/>
    </row>
    <row r="725">
      <c r="A725" s="3" t="n"/>
      <c r="B725" s="3" t="n"/>
      <c r="C725" s="3" t="n"/>
      <c r="D725" s="4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5">
        <f>IF(Q725&lt;&gt;"是","排除",IF(OR(L725="",M725=""),"",IF(OR(L725="未知",M725="未知"),"未知",IF(AND(L725="真",M725="真"),"TP",IF(AND(L725="真",M725="假"),"FP",IF(AND(L725="假",M725="真"),"FN","TN"))))))</f>
        <v/>
      </c>
      <c r="S725" s="3" t="n"/>
      <c r="T725" s="3" t="n"/>
      <c r="U725" s="3" t="n"/>
      <c r="V725" s="3" t="n"/>
    </row>
    <row r="726">
      <c r="A726" s="3" t="n"/>
      <c r="B726" s="3" t="n"/>
      <c r="C726" s="3" t="n"/>
      <c r="D726" s="4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5">
        <f>IF(Q726&lt;&gt;"是","排除",IF(OR(L726="",M726=""),"",IF(OR(L726="未知",M726="未知"),"未知",IF(AND(L726="真",M726="真"),"TP",IF(AND(L726="真",M726="假"),"FP",IF(AND(L726="假",M726="真"),"FN","TN"))))))</f>
        <v/>
      </c>
      <c r="S726" s="3" t="n"/>
      <c r="T726" s="3" t="n"/>
      <c r="U726" s="3" t="n"/>
      <c r="V726" s="3" t="n"/>
    </row>
    <row r="727">
      <c r="A727" s="3" t="n"/>
      <c r="B727" s="3" t="n"/>
      <c r="C727" s="3" t="n"/>
      <c r="D727" s="4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5">
        <f>IF(Q727&lt;&gt;"是","排除",IF(OR(L727="",M727=""),"",IF(OR(L727="未知",M727="未知"),"未知",IF(AND(L727="真",M727="真"),"TP",IF(AND(L727="真",M727="假"),"FP",IF(AND(L727="假",M727="真"),"FN","TN"))))))</f>
        <v/>
      </c>
      <c r="S727" s="3" t="n"/>
      <c r="T727" s="3" t="n"/>
      <c r="U727" s="3" t="n"/>
      <c r="V727" s="3" t="n"/>
    </row>
    <row r="728">
      <c r="A728" s="3" t="n"/>
      <c r="B728" s="3" t="n"/>
      <c r="C728" s="3" t="n"/>
      <c r="D728" s="4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5">
        <f>IF(Q728&lt;&gt;"是","排除",IF(OR(L728="",M728=""),"",IF(OR(L728="未知",M728="未知"),"未知",IF(AND(L728="真",M728="真"),"TP",IF(AND(L728="真",M728="假"),"FP",IF(AND(L728="假",M728="真"),"FN","TN"))))))</f>
        <v/>
      </c>
      <c r="S728" s="3" t="n"/>
      <c r="T728" s="3" t="n"/>
      <c r="U728" s="3" t="n"/>
      <c r="V728" s="3" t="n"/>
    </row>
    <row r="729">
      <c r="A729" s="3" t="n"/>
      <c r="B729" s="3" t="n"/>
      <c r="C729" s="3" t="n"/>
      <c r="D729" s="4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5">
        <f>IF(Q729&lt;&gt;"是","排除",IF(OR(L729="",M729=""),"",IF(OR(L729="未知",M729="未知"),"未知",IF(AND(L729="真",M729="真"),"TP",IF(AND(L729="真",M729="假"),"FP",IF(AND(L729="假",M729="真"),"FN","TN"))))))</f>
        <v/>
      </c>
      <c r="S729" s="3" t="n"/>
      <c r="T729" s="3" t="n"/>
      <c r="U729" s="3" t="n"/>
      <c r="V729" s="3" t="n"/>
    </row>
    <row r="730">
      <c r="A730" s="3" t="n"/>
      <c r="B730" s="3" t="n"/>
      <c r="C730" s="3" t="n"/>
      <c r="D730" s="4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5">
        <f>IF(Q730&lt;&gt;"是","排除",IF(OR(L730="",M730=""),"",IF(OR(L730="未知",M730="未知"),"未知",IF(AND(L730="真",M730="真"),"TP",IF(AND(L730="真",M730="假"),"FP",IF(AND(L730="假",M730="真"),"FN","TN"))))))</f>
        <v/>
      </c>
      <c r="S730" s="3" t="n"/>
      <c r="T730" s="3" t="n"/>
      <c r="U730" s="3" t="n"/>
      <c r="V730" s="3" t="n"/>
    </row>
    <row r="731">
      <c r="A731" s="3" t="n"/>
      <c r="B731" s="3" t="n"/>
      <c r="C731" s="3" t="n"/>
      <c r="D731" s="4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5">
        <f>IF(Q731&lt;&gt;"是","排除",IF(OR(L731="",M731=""),"",IF(OR(L731="未知",M731="未知"),"未知",IF(AND(L731="真",M731="真"),"TP",IF(AND(L731="真",M731="假"),"FP",IF(AND(L731="假",M731="真"),"FN","TN"))))))</f>
        <v/>
      </c>
      <c r="S731" s="3" t="n"/>
      <c r="T731" s="3" t="n"/>
      <c r="U731" s="3" t="n"/>
      <c r="V731" s="3" t="n"/>
    </row>
    <row r="732">
      <c r="A732" s="3" t="n"/>
      <c r="B732" s="3" t="n"/>
      <c r="C732" s="3" t="n"/>
      <c r="D732" s="4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5">
        <f>IF(Q732&lt;&gt;"是","排除",IF(OR(L732="",M732=""),"",IF(OR(L732="未知",M732="未知"),"未知",IF(AND(L732="真",M732="真"),"TP",IF(AND(L732="真",M732="假"),"FP",IF(AND(L732="假",M732="真"),"FN","TN"))))))</f>
        <v/>
      </c>
      <c r="S732" s="3" t="n"/>
      <c r="T732" s="3" t="n"/>
      <c r="U732" s="3" t="n"/>
      <c r="V732" s="3" t="n"/>
    </row>
    <row r="733">
      <c r="A733" s="3" t="n"/>
      <c r="B733" s="3" t="n"/>
      <c r="C733" s="3" t="n"/>
      <c r="D733" s="4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5">
        <f>IF(Q733&lt;&gt;"是","排除",IF(OR(L733="",M733=""),"",IF(OR(L733="未知",M733="未知"),"未知",IF(AND(L733="真",M733="真"),"TP",IF(AND(L733="真",M733="假"),"FP",IF(AND(L733="假",M733="真"),"FN","TN"))))))</f>
        <v/>
      </c>
      <c r="S733" s="3" t="n"/>
      <c r="T733" s="3" t="n"/>
      <c r="U733" s="3" t="n"/>
      <c r="V733" s="3" t="n"/>
    </row>
    <row r="734">
      <c r="A734" s="3" t="n"/>
      <c r="B734" s="3" t="n"/>
      <c r="C734" s="3" t="n"/>
      <c r="D734" s="4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5">
        <f>IF(Q734&lt;&gt;"是","排除",IF(OR(L734="",M734=""),"",IF(OR(L734="未知",M734="未知"),"未知",IF(AND(L734="真",M734="真"),"TP",IF(AND(L734="真",M734="假"),"FP",IF(AND(L734="假",M734="真"),"FN","TN"))))))</f>
        <v/>
      </c>
      <c r="S734" s="3" t="n"/>
      <c r="T734" s="3" t="n"/>
      <c r="U734" s="3" t="n"/>
      <c r="V734" s="3" t="n"/>
    </row>
    <row r="735">
      <c r="A735" s="3" t="n"/>
      <c r="B735" s="3" t="n"/>
      <c r="C735" s="3" t="n"/>
      <c r="D735" s="4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5">
        <f>IF(Q735&lt;&gt;"是","排除",IF(OR(L735="",M735=""),"",IF(OR(L735="未知",M735="未知"),"未知",IF(AND(L735="真",M735="真"),"TP",IF(AND(L735="真",M735="假"),"FP",IF(AND(L735="假",M735="真"),"FN","TN"))))))</f>
        <v/>
      </c>
      <c r="S735" s="3" t="n"/>
      <c r="T735" s="3" t="n"/>
      <c r="U735" s="3" t="n"/>
      <c r="V735" s="3" t="n"/>
    </row>
    <row r="736">
      <c r="A736" s="3" t="n"/>
      <c r="B736" s="3" t="n"/>
      <c r="C736" s="3" t="n"/>
      <c r="D736" s="4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5">
        <f>IF(Q736&lt;&gt;"是","排除",IF(OR(L736="",M736=""),"",IF(OR(L736="未知",M736="未知"),"未知",IF(AND(L736="真",M736="真"),"TP",IF(AND(L736="真",M736="假"),"FP",IF(AND(L736="假",M736="真"),"FN","TN"))))))</f>
        <v/>
      </c>
      <c r="S736" s="3" t="n"/>
      <c r="T736" s="3" t="n"/>
      <c r="U736" s="3" t="n"/>
      <c r="V736" s="3" t="n"/>
    </row>
    <row r="737">
      <c r="A737" s="3" t="n"/>
      <c r="B737" s="3" t="n"/>
      <c r="C737" s="3" t="n"/>
      <c r="D737" s="4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5">
        <f>IF(Q737&lt;&gt;"是","排除",IF(OR(L737="",M737=""),"",IF(OR(L737="未知",M737="未知"),"未知",IF(AND(L737="真",M737="真"),"TP",IF(AND(L737="真",M737="假"),"FP",IF(AND(L737="假",M737="真"),"FN","TN"))))))</f>
        <v/>
      </c>
      <c r="S737" s="3" t="n"/>
      <c r="T737" s="3" t="n"/>
      <c r="U737" s="3" t="n"/>
      <c r="V737" s="3" t="n"/>
    </row>
    <row r="738">
      <c r="A738" s="3" t="n"/>
      <c r="B738" s="3" t="n"/>
      <c r="C738" s="3" t="n"/>
      <c r="D738" s="4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5">
        <f>IF(Q738&lt;&gt;"是","排除",IF(OR(L738="",M738=""),"",IF(OR(L738="未知",M738="未知"),"未知",IF(AND(L738="真",M738="真"),"TP",IF(AND(L738="真",M738="假"),"FP",IF(AND(L738="假",M738="真"),"FN","TN"))))))</f>
        <v/>
      </c>
      <c r="S738" s="3" t="n"/>
      <c r="T738" s="3" t="n"/>
      <c r="U738" s="3" t="n"/>
      <c r="V738" s="3" t="n"/>
    </row>
    <row r="739">
      <c r="A739" s="3" t="n"/>
      <c r="B739" s="3" t="n"/>
      <c r="C739" s="3" t="n"/>
      <c r="D739" s="4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5">
        <f>IF(Q739&lt;&gt;"是","排除",IF(OR(L739="",M739=""),"",IF(OR(L739="未知",M739="未知"),"未知",IF(AND(L739="真",M739="真"),"TP",IF(AND(L739="真",M739="假"),"FP",IF(AND(L739="假",M739="真"),"FN","TN"))))))</f>
        <v/>
      </c>
      <c r="S739" s="3" t="n"/>
      <c r="T739" s="3" t="n"/>
      <c r="U739" s="3" t="n"/>
      <c r="V739" s="3" t="n"/>
    </row>
    <row r="740">
      <c r="A740" s="3" t="n"/>
      <c r="B740" s="3" t="n"/>
      <c r="C740" s="3" t="n"/>
      <c r="D740" s="4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5">
        <f>IF(Q740&lt;&gt;"是","排除",IF(OR(L740="",M740=""),"",IF(OR(L740="未知",M740="未知"),"未知",IF(AND(L740="真",M740="真"),"TP",IF(AND(L740="真",M740="假"),"FP",IF(AND(L740="假",M740="真"),"FN","TN"))))))</f>
        <v/>
      </c>
      <c r="S740" s="3" t="n"/>
      <c r="T740" s="3" t="n"/>
      <c r="U740" s="3" t="n"/>
      <c r="V740" s="3" t="n"/>
    </row>
    <row r="741">
      <c r="A741" s="3" t="n"/>
      <c r="B741" s="3" t="n"/>
      <c r="C741" s="3" t="n"/>
      <c r="D741" s="4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5">
        <f>IF(Q741&lt;&gt;"是","排除",IF(OR(L741="",M741=""),"",IF(OR(L741="未知",M741="未知"),"未知",IF(AND(L741="真",M741="真"),"TP",IF(AND(L741="真",M741="假"),"FP",IF(AND(L741="假",M741="真"),"FN","TN"))))))</f>
        <v/>
      </c>
      <c r="S741" s="3" t="n"/>
      <c r="T741" s="3" t="n"/>
      <c r="U741" s="3" t="n"/>
      <c r="V741" s="3" t="n"/>
    </row>
    <row r="742">
      <c r="A742" s="3" t="n"/>
      <c r="B742" s="3" t="n"/>
      <c r="C742" s="3" t="n"/>
      <c r="D742" s="4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5">
        <f>IF(Q742&lt;&gt;"是","排除",IF(OR(L742="",M742=""),"",IF(OR(L742="未知",M742="未知"),"未知",IF(AND(L742="真",M742="真"),"TP",IF(AND(L742="真",M742="假"),"FP",IF(AND(L742="假",M742="真"),"FN","TN"))))))</f>
        <v/>
      </c>
      <c r="S742" s="3" t="n"/>
      <c r="T742" s="3" t="n"/>
      <c r="U742" s="3" t="n"/>
      <c r="V742" s="3" t="n"/>
    </row>
    <row r="743">
      <c r="A743" s="3" t="n"/>
      <c r="B743" s="3" t="n"/>
      <c r="C743" s="3" t="n"/>
      <c r="D743" s="4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5">
        <f>IF(Q743&lt;&gt;"是","排除",IF(OR(L743="",M743=""),"",IF(OR(L743="未知",M743="未知"),"未知",IF(AND(L743="真",M743="真"),"TP",IF(AND(L743="真",M743="假"),"FP",IF(AND(L743="假",M743="真"),"FN","TN"))))))</f>
        <v/>
      </c>
      <c r="S743" s="3" t="n"/>
      <c r="T743" s="3" t="n"/>
      <c r="U743" s="3" t="n"/>
      <c r="V743" s="3" t="n"/>
    </row>
    <row r="744">
      <c r="A744" s="3" t="n"/>
      <c r="B744" s="3" t="n"/>
      <c r="C744" s="3" t="n"/>
      <c r="D744" s="4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5">
        <f>IF(Q744&lt;&gt;"是","排除",IF(OR(L744="",M744=""),"",IF(OR(L744="未知",M744="未知"),"未知",IF(AND(L744="真",M744="真"),"TP",IF(AND(L744="真",M744="假"),"FP",IF(AND(L744="假",M744="真"),"FN","TN"))))))</f>
        <v/>
      </c>
      <c r="S744" s="3" t="n"/>
      <c r="T744" s="3" t="n"/>
      <c r="U744" s="3" t="n"/>
      <c r="V744" s="3" t="n"/>
    </row>
    <row r="745">
      <c r="A745" s="3" t="n"/>
      <c r="B745" s="3" t="n"/>
      <c r="C745" s="3" t="n"/>
      <c r="D745" s="4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5">
        <f>IF(Q745&lt;&gt;"是","排除",IF(OR(L745="",M745=""),"",IF(OR(L745="未知",M745="未知"),"未知",IF(AND(L745="真",M745="真"),"TP",IF(AND(L745="真",M745="假"),"FP",IF(AND(L745="假",M745="真"),"FN","TN"))))))</f>
        <v/>
      </c>
      <c r="S745" s="3" t="n"/>
      <c r="T745" s="3" t="n"/>
      <c r="U745" s="3" t="n"/>
      <c r="V745" s="3" t="n"/>
    </row>
    <row r="746">
      <c r="A746" s="3" t="n"/>
      <c r="B746" s="3" t="n"/>
      <c r="C746" s="3" t="n"/>
      <c r="D746" s="4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5">
        <f>IF(Q746&lt;&gt;"是","排除",IF(OR(L746="",M746=""),"",IF(OR(L746="未知",M746="未知"),"未知",IF(AND(L746="真",M746="真"),"TP",IF(AND(L746="真",M746="假"),"FP",IF(AND(L746="假",M746="真"),"FN","TN"))))))</f>
        <v/>
      </c>
      <c r="S746" s="3" t="n"/>
      <c r="T746" s="3" t="n"/>
      <c r="U746" s="3" t="n"/>
      <c r="V746" s="3" t="n"/>
    </row>
    <row r="747">
      <c r="A747" s="3" t="n"/>
      <c r="B747" s="3" t="n"/>
      <c r="C747" s="3" t="n"/>
      <c r="D747" s="4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5">
        <f>IF(Q747&lt;&gt;"是","排除",IF(OR(L747="",M747=""),"",IF(OR(L747="未知",M747="未知"),"未知",IF(AND(L747="真",M747="真"),"TP",IF(AND(L747="真",M747="假"),"FP",IF(AND(L747="假",M747="真"),"FN","TN"))))))</f>
        <v/>
      </c>
      <c r="S747" s="3" t="n"/>
      <c r="T747" s="3" t="n"/>
      <c r="U747" s="3" t="n"/>
      <c r="V747" s="3" t="n"/>
    </row>
    <row r="748">
      <c r="A748" s="3" t="n"/>
      <c r="B748" s="3" t="n"/>
      <c r="C748" s="3" t="n"/>
      <c r="D748" s="4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5">
        <f>IF(Q748&lt;&gt;"是","排除",IF(OR(L748="",M748=""),"",IF(OR(L748="未知",M748="未知"),"未知",IF(AND(L748="真",M748="真"),"TP",IF(AND(L748="真",M748="假"),"FP",IF(AND(L748="假",M748="真"),"FN","TN"))))))</f>
        <v/>
      </c>
      <c r="S748" s="3" t="n"/>
      <c r="T748" s="3" t="n"/>
      <c r="U748" s="3" t="n"/>
      <c r="V748" s="3" t="n"/>
    </row>
    <row r="749">
      <c r="A749" s="3" t="n"/>
      <c r="B749" s="3" t="n"/>
      <c r="C749" s="3" t="n"/>
      <c r="D749" s="4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5">
        <f>IF(Q749&lt;&gt;"是","排除",IF(OR(L749="",M749=""),"",IF(OR(L749="未知",M749="未知"),"未知",IF(AND(L749="真",M749="真"),"TP",IF(AND(L749="真",M749="假"),"FP",IF(AND(L749="假",M749="真"),"FN","TN"))))))</f>
        <v/>
      </c>
      <c r="S749" s="3" t="n"/>
      <c r="T749" s="3" t="n"/>
      <c r="U749" s="3" t="n"/>
      <c r="V749" s="3" t="n"/>
    </row>
    <row r="750">
      <c r="A750" s="3" t="n"/>
      <c r="B750" s="3" t="n"/>
      <c r="C750" s="3" t="n"/>
      <c r="D750" s="4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5">
        <f>IF(Q750&lt;&gt;"是","排除",IF(OR(L750="",M750=""),"",IF(OR(L750="未知",M750="未知"),"未知",IF(AND(L750="真",M750="真"),"TP",IF(AND(L750="真",M750="假"),"FP",IF(AND(L750="假",M750="真"),"FN","TN"))))))</f>
        <v/>
      </c>
      <c r="S750" s="3" t="n"/>
      <c r="T750" s="3" t="n"/>
      <c r="U750" s="3" t="n"/>
      <c r="V750" s="3" t="n"/>
    </row>
    <row r="751">
      <c r="A751" s="3" t="n"/>
      <c r="B751" s="3" t="n"/>
      <c r="C751" s="3" t="n"/>
      <c r="D751" s="4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5">
        <f>IF(Q751&lt;&gt;"是","排除",IF(OR(L751="",M751=""),"",IF(OR(L751="未知",M751="未知"),"未知",IF(AND(L751="真",M751="真"),"TP",IF(AND(L751="真",M751="假"),"FP",IF(AND(L751="假",M751="真"),"FN","TN"))))))</f>
        <v/>
      </c>
      <c r="S751" s="3" t="n"/>
      <c r="T751" s="3" t="n"/>
      <c r="U751" s="3" t="n"/>
      <c r="V751" s="3" t="n"/>
    </row>
    <row r="752">
      <c r="A752" s="3" t="n"/>
      <c r="B752" s="3" t="n"/>
      <c r="C752" s="3" t="n"/>
      <c r="D752" s="4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5">
        <f>IF(Q752&lt;&gt;"是","排除",IF(OR(L752="",M752=""),"",IF(OR(L752="未知",M752="未知"),"未知",IF(AND(L752="真",M752="真"),"TP",IF(AND(L752="真",M752="假"),"FP",IF(AND(L752="假",M752="真"),"FN","TN"))))))</f>
        <v/>
      </c>
      <c r="S752" s="3" t="n"/>
      <c r="T752" s="3" t="n"/>
      <c r="U752" s="3" t="n"/>
      <c r="V752" s="3" t="n"/>
    </row>
    <row r="753">
      <c r="A753" s="3" t="n"/>
      <c r="B753" s="3" t="n"/>
      <c r="C753" s="3" t="n"/>
      <c r="D753" s="4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5">
        <f>IF(Q753&lt;&gt;"是","排除",IF(OR(L753="",M753=""),"",IF(OR(L753="未知",M753="未知"),"未知",IF(AND(L753="真",M753="真"),"TP",IF(AND(L753="真",M753="假"),"FP",IF(AND(L753="假",M753="真"),"FN","TN"))))))</f>
        <v/>
      </c>
      <c r="S753" s="3" t="n"/>
      <c r="T753" s="3" t="n"/>
      <c r="U753" s="3" t="n"/>
      <c r="V753" s="3" t="n"/>
    </row>
    <row r="754">
      <c r="A754" s="3" t="n"/>
      <c r="B754" s="3" t="n"/>
      <c r="C754" s="3" t="n"/>
      <c r="D754" s="4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5">
        <f>IF(Q754&lt;&gt;"是","排除",IF(OR(L754="",M754=""),"",IF(OR(L754="未知",M754="未知"),"未知",IF(AND(L754="真",M754="真"),"TP",IF(AND(L754="真",M754="假"),"FP",IF(AND(L754="假",M754="真"),"FN","TN"))))))</f>
        <v/>
      </c>
      <c r="S754" s="3" t="n"/>
      <c r="T754" s="3" t="n"/>
      <c r="U754" s="3" t="n"/>
      <c r="V754" s="3" t="n"/>
    </row>
    <row r="755">
      <c r="A755" s="3" t="n"/>
      <c r="B755" s="3" t="n"/>
      <c r="C755" s="3" t="n"/>
      <c r="D755" s="4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5">
        <f>IF(Q755&lt;&gt;"是","排除",IF(OR(L755="",M755=""),"",IF(OR(L755="未知",M755="未知"),"未知",IF(AND(L755="真",M755="真"),"TP",IF(AND(L755="真",M755="假"),"FP",IF(AND(L755="假",M755="真"),"FN","TN"))))))</f>
        <v/>
      </c>
      <c r="S755" s="3" t="n"/>
      <c r="T755" s="3" t="n"/>
      <c r="U755" s="3" t="n"/>
      <c r="V755" s="3" t="n"/>
    </row>
    <row r="756">
      <c r="A756" s="3" t="n"/>
      <c r="B756" s="3" t="n"/>
      <c r="C756" s="3" t="n"/>
      <c r="D756" s="4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5">
        <f>IF(Q756&lt;&gt;"是","排除",IF(OR(L756="",M756=""),"",IF(OR(L756="未知",M756="未知"),"未知",IF(AND(L756="真",M756="真"),"TP",IF(AND(L756="真",M756="假"),"FP",IF(AND(L756="假",M756="真"),"FN","TN"))))))</f>
        <v/>
      </c>
      <c r="S756" s="3" t="n"/>
      <c r="T756" s="3" t="n"/>
      <c r="U756" s="3" t="n"/>
      <c r="V756" s="3" t="n"/>
    </row>
    <row r="757">
      <c r="A757" s="3" t="n"/>
      <c r="B757" s="3" t="n"/>
      <c r="C757" s="3" t="n"/>
      <c r="D757" s="4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5">
        <f>IF(Q757&lt;&gt;"是","排除",IF(OR(L757="",M757=""),"",IF(OR(L757="未知",M757="未知"),"未知",IF(AND(L757="真",M757="真"),"TP",IF(AND(L757="真",M757="假"),"FP",IF(AND(L757="假",M757="真"),"FN","TN"))))))</f>
        <v/>
      </c>
      <c r="S757" s="3" t="n"/>
      <c r="T757" s="3" t="n"/>
      <c r="U757" s="3" t="n"/>
      <c r="V757" s="3" t="n"/>
    </row>
    <row r="758">
      <c r="A758" s="3" t="n"/>
      <c r="B758" s="3" t="n"/>
      <c r="C758" s="3" t="n"/>
      <c r="D758" s="4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5">
        <f>IF(Q758&lt;&gt;"是","排除",IF(OR(L758="",M758=""),"",IF(OR(L758="未知",M758="未知"),"未知",IF(AND(L758="真",M758="真"),"TP",IF(AND(L758="真",M758="假"),"FP",IF(AND(L758="假",M758="真"),"FN","TN"))))))</f>
        <v/>
      </c>
      <c r="S758" s="3" t="n"/>
      <c r="T758" s="3" t="n"/>
      <c r="U758" s="3" t="n"/>
      <c r="V758" s="3" t="n"/>
    </row>
    <row r="759">
      <c r="A759" s="3" t="n"/>
      <c r="B759" s="3" t="n"/>
      <c r="C759" s="3" t="n"/>
      <c r="D759" s="4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5">
        <f>IF(Q759&lt;&gt;"是","排除",IF(OR(L759="",M759=""),"",IF(OR(L759="未知",M759="未知"),"未知",IF(AND(L759="真",M759="真"),"TP",IF(AND(L759="真",M759="假"),"FP",IF(AND(L759="假",M759="真"),"FN","TN"))))))</f>
        <v/>
      </c>
      <c r="S759" s="3" t="n"/>
      <c r="T759" s="3" t="n"/>
      <c r="U759" s="3" t="n"/>
      <c r="V759" s="3" t="n"/>
    </row>
    <row r="760">
      <c r="A760" s="3" t="n"/>
      <c r="B760" s="3" t="n"/>
      <c r="C760" s="3" t="n"/>
      <c r="D760" s="4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5">
        <f>IF(Q760&lt;&gt;"是","排除",IF(OR(L760="",M760=""),"",IF(OR(L760="未知",M760="未知"),"未知",IF(AND(L760="真",M760="真"),"TP",IF(AND(L760="真",M760="假"),"FP",IF(AND(L760="假",M760="真"),"FN","TN"))))))</f>
        <v/>
      </c>
      <c r="S760" s="3" t="n"/>
      <c r="T760" s="3" t="n"/>
      <c r="U760" s="3" t="n"/>
      <c r="V760" s="3" t="n"/>
    </row>
    <row r="761">
      <c r="A761" s="3" t="n"/>
      <c r="B761" s="3" t="n"/>
      <c r="C761" s="3" t="n"/>
      <c r="D761" s="4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5">
        <f>IF(Q761&lt;&gt;"是","排除",IF(OR(L761="",M761=""),"",IF(OR(L761="未知",M761="未知"),"未知",IF(AND(L761="真",M761="真"),"TP",IF(AND(L761="真",M761="假"),"FP",IF(AND(L761="假",M761="真"),"FN","TN"))))))</f>
        <v/>
      </c>
      <c r="S761" s="3" t="n"/>
      <c r="T761" s="3" t="n"/>
      <c r="U761" s="3" t="n"/>
      <c r="V761" s="3" t="n"/>
    </row>
    <row r="762">
      <c r="A762" s="3" t="n"/>
      <c r="B762" s="3" t="n"/>
      <c r="C762" s="3" t="n"/>
      <c r="D762" s="4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5">
        <f>IF(Q762&lt;&gt;"是","排除",IF(OR(L762="",M762=""),"",IF(OR(L762="未知",M762="未知"),"未知",IF(AND(L762="真",M762="真"),"TP",IF(AND(L762="真",M762="假"),"FP",IF(AND(L762="假",M762="真"),"FN","TN"))))))</f>
        <v/>
      </c>
      <c r="S762" s="3" t="n"/>
      <c r="T762" s="3" t="n"/>
      <c r="U762" s="3" t="n"/>
      <c r="V762" s="3" t="n"/>
    </row>
    <row r="763">
      <c r="A763" s="3" t="n"/>
      <c r="B763" s="3" t="n"/>
      <c r="C763" s="3" t="n"/>
      <c r="D763" s="4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5">
        <f>IF(Q763&lt;&gt;"是","排除",IF(OR(L763="",M763=""),"",IF(OR(L763="未知",M763="未知"),"未知",IF(AND(L763="真",M763="真"),"TP",IF(AND(L763="真",M763="假"),"FP",IF(AND(L763="假",M763="真"),"FN","TN"))))))</f>
        <v/>
      </c>
      <c r="S763" s="3" t="n"/>
      <c r="T763" s="3" t="n"/>
      <c r="U763" s="3" t="n"/>
      <c r="V763" s="3" t="n"/>
    </row>
    <row r="764">
      <c r="A764" s="3" t="n"/>
      <c r="B764" s="3" t="n"/>
      <c r="C764" s="3" t="n"/>
      <c r="D764" s="4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5">
        <f>IF(Q764&lt;&gt;"是","排除",IF(OR(L764="",M764=""),"",IF(OR(L764="未知",M764="未知"),"未知",IF(AND(L764="真",M764="真"),"TP",IF(AND(L764="真",M764="假"),"FP",IF(AND(L764="假",M764="真"),"FN","TN"))))))</f>
        <v/>
      </c>
      <c r="S764" s="3" t="n"/>
      <c r="T764" s="3" t="n"/>
      <c r="U764" s="3" t="n"/>
      <c r="V764" s="3" t="n"/>
    </row>
    <row r="765">
      <c r="A765" s="3" t="n"/>
      <c r="B765" s="3" t="n"/>
      <c r="C765" s="3" t="n"/>
      <c r="D765" s="4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5">
        <f>IF(Q765&lt;&gt;"是","排除",IF(OR(L765="",M765=""),"",IF(OR(L765="未知",M765="未知"),"未知",IF(AND(L765="真",M765="真"),"TP",IF(AND(L765="真",M765="假"),"FP",IF(AND(L765="假",M765="真"),"FN","TN"))))))</f>
        <v/>
      </c>
      <c r="S765" s="3" t="n"/>
      <c r="T765" s="3" t="n"/>
      <c r="U765" s="3" t="n"/>
      <c r="V765" s="3" t="n"/>
    </row>
    <row r="766">
      <c r="A766" s="3" t="n"/>
      <c r="B766" s="3" t="n"/>
      <c r="C766" s="3" t="n"/>
      <c r="D766" s="4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5">
        <f>IF(Q766&lt;&gt;"是","排除",IF(OR(L766="",M766=""),"",IF(OR(L766="未知",M766="未知"),"未知",IF(AND(L766="真",M766="真"),"TP",IF(AND(L766="真",M766="假"),"FP",IF(AND(L766="假",M766="真"),"FN","TN"))))))</f>
        <v/>
      </c>
      <c r="S766" s="3" t="n"/>
      <c r="T766" s="3" t="n"/>
      <c r="U766" s="3" t="n"/>
      <c r="V766" s="3" t="n"/>
    </row>
    <row r="767">
      <c r="A767" s="3" t="n"/>
      <c r="B767" s="3" t="n"/>
      <c r="C767" s="3" t="n"/>
      <c r="D767" s="4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5">
        <f>IF(Q767&lt;&gt;"是","排除",IF(OR(L767="",M767=""),"",IF(OR(L767="未知",M767="未知"),"未知",IF(AND(L767="真",M767="真"),"TP",IF(AND(L767="真",M767="假"),"FP",IF(AND(L767="假",M767="真"),"FN","TN"))))))</f>
        <v/>
      </c>
      <c r="S767" s="3" t="n"/>
      <c r="T767" s="3" t="n"/>
      <c r="U767" s="3" t="n"/>
      <c r="V767" s="3" t="n"/>
    </row>
    <row r="768">
      <c r="A768" s="3" t="n"/>
      <c r="B768" s="3" t="n"/>
      <c r="C768" s="3" t="n"/>
      <c r="D768" s="4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5">
        <f>IF(Q768&lt;&gt;"是","排除",IF(OR(L768="",M768=""),"",IF(OR(L768="未知",M768="未知"),"未知",IF(AND(L768="真",M768="真"),"TP",IF(AND(L768="真",M768="假"),"FP",IF(AND(L768="假",M768="真"),"FN","TN"))))))</f>
        <v/>
      </c>
      <c r="S768" s="3" t="n"/>
      <c r="T768" s="3" t="n"/>
      <c r="U768" s="3" t="n"/>
      <c r="V768" s="3" t="n"/>
    </row>
    <row r="769">
      <c r="A769" s="3" t="n"/>
      <c r="B769" s="3" t="n"/>
      <c r="C769" s="3" t="n"/>
      <c r="D769" s="4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5">
        <f>IF(Q769&lt;&gt;"是","排除",IF(OR(L769="",M769=""),"",IF(OR(L769="未知",M769="未知"),"未知",IF(AND(L769="真",M769="真"),"TP",IF(AND(L769="真",M769="假"),"FP",IF(AND(L769="假",M769="真"),"FN","TN"))))))</f>
        <v/>
      </c>
      <c r="S769" s="3" t="n"/>
      <c r="T769" s="3" t="n"/>
      <c r="U769" s="3" t="n"/>
      <c r="V769" s="3" t="n"/>
    </row>
    <row r="770">
      <c r="A770" s="3" t="n"/>
      <c r="B770" s="3" t="n"/>
      <c r="C770" s="3" t="n"/>
      <c r="D770" s="4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5">
        <f>IF(Q770&lt;&gt;"是","排除",IF(OR(L770="",M770=""),"",IF(OR(L770="未知",M770="未知"),"未知",IF(AND(L770="真",M770="真"),"TP",IF(AND(L770="真",M770="假"),"FP",IF(AND(L770="假",M770="真"),"FN","TN"))))))</f>
        <v/>
      </c>
      <c r="S770" s="3" t="n"/>
      <c r="T770" s="3" t="n"/>
      <c r="U770" s="3" t="n"/>
      <c r="V770" s="3" t="n"/>
    </row>
    <row r="771">
      <c r="A771" s="3" t="n"/>
      <c r="B771" s="3" t="n"/>
      <c r="C771" s="3" t="n"/>
      <c r="D771" s="4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5">
        <f>IF(Q771&lt;&gt;"是","排除",IF(OR(L771="",M771=""),"",IF(OR(L771="未知",M771="未知"),"未知",IF(AND(L771="真",M771="真"),"TP",IF(AND(L771="真",M771="假"),"FP",IF(AND(L771="假",M771="真"),"FN","TN"))))))</f>
        <v/>
      </c>
      <c r="S771" s="3" t="n"/>
      <c r="T771" s="3" t="n"/>
      <c r="U771" s="3" t="n"/>
      <c r="V771" s="3" t="n"/>
    </row>
    <row r="772">
      <c r="A772" s="3" t="n"/>
      <c r="B772" s="3" t="n"/>
      <c r="C772" s="3" t="n"/>
      <c r="D772" s="4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5">
        <f>IF(Q772&lt;&gt;"是","排除",IF(OR(L772="",M772=""),"",IF(OR(L772="未知",M772="未知"),"未知",IF(AND(L772="真",M772="真"),"TP",IF(AND(L772="真",M772="假"),"FP",IF(AND(L772="假",M772="真"),"FN","TN"))))))</f>
        <v/>
      </c>
      <c r="S772" s="3" t="n"/>
      <c r="T772" s="3" t="n"/>
      <c r="U772" s="3" t="n"/>
      <c r="V772" s="3" t="n"/>
    </row>
    <row r="773">
      <c r="A773" s="3" t="n"/>
      <c r="B773" s="3" t="n"/>
      <c r="C773" s="3" t="n"/>
      <c r="D773" s="4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5">
        <f>IF(Q773&lt;&gt;"是","排除",IF(OR(L773="",M773=""),"",IF(OR(L773="未知",M773="未知"),"未知",IF(AND(L773="真",M773="真"),"TP",IF(AND(L773="真",M773="假"),"FP",IF(AND(L773="假",M773="真"),"FN","TN"))))))</f>
        <v/>
      </c>
      <c r="S773" s="3" t="n"/>
      <c r="T773" s="3" t="n"/>
      <c r="U773" s="3" t="n"/>
      <c r="V773" s="3" t="n"/>
    </row>
    <row r="774">
      <c r="A774" s="3" t="n"/>
      <c r="B774" s="3" t="n"/>
      <c r="C774" s="3" t="n"/>
      <c r="D774" s="4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5">
        <f>IF(Q774&lt;&gt;"是","排除",IF(OR(L774="",M774=""),"",IF(OR(L774="未知",M774="未知"),"未知",IF(AND(L774="真",M774="真"),"TP",IF(AND(L774="真",M774="假"),"FP",IF(AND(L774="假",M774="真"),"FN","TN"))))))</f>
        <v/>
      </c>
      <c r="S774" s="3" t="n"/>
      <c r="T774" s="3" t="n"/>
      <c r="U774" s="3" t="n"/>
      <c r="V774" s="3" t="n"/>
    </row>
    <row r="775">
      <c r="A775" s="3" t="n"/>
      <c r="B775" s="3" t="n"/>
      <c r="C775" s="3" t="n"/>
      <c r="D775" s="4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5">
        <f>IF(Q775&lt;&gt;"是","排除",IF(OR(L775="",M775=""),"",IF(OR(L775="未知",M775="未知"),"未知",IF(AND(L775="真",M775="真"),"TP",IF(AND(L775="真",M775="假"),"FP",IF(AND(L775="假",M775="真"),"FN","TN"))))))</f>
        <v/>
      </c>
      <c r="S775" s="3" t="n"/>
      <c r="T775" s="3" t="n"/>
      <c r="U775" s="3" t="n"/>
      <c r="V775" s="3" t="n"/>
    </row>
    <row r="776">
      <c r="A776" s="3" t="n"/>
      <c r="B776" s="3" t="n"/>
      <c r="C776" s="3" t="n"/>
      <c r="D776" s="4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5">
        <f>IF(Q776&lt;&gt;"是","排除",IF(OR(L776="",M776=""),"",IF(OR(L776="未知",M776="未知"),"未知",IF(AND(L776="真",M776="真"),"TP",IF(AND(L776="真",M776="假"),"FP",IF(AND(L776="假",M776="真"),"FN","TN"))))))</f>
        <v/>
      </c>
      <c r="S776" s="3" t="n"/>
      <c r="T776" s="3" t="n"/>
      <c r="U776" s="3" t="n"/>
      <c r="V776" s="3" t="n"/>
    </row>
    <row r="777">
      <c r="A777" s="3" t="n"/>
      <c r="B777" s="3" t="n"/>
      <c r="C777" s="3" t="n"/>
      <c r="D777" s="4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5">
        <f>IF(Q777&lt;&gt;"是","排除",IF(OR(L777="",M777=""),"",IF(OR(L777="未知",M777="未知"),"未知",IF(AND(L777="真",M777="真"),"TP",IF(AND(L777="真",M777="假"),"FP",IF(AND(L777="假",M777="真"),"FN","TN"))))))</f>
        <v/>
      </c>
      <c r="S777" s="3" t="n"/>
      <c r="T777" s="3" t="n"/>
      <c r="U777" s="3" t="n"/>
      <c r="V777" s="3" t="n"/>
    </row>
    <row r="778">
      <c r="A778" s="3" t="n"/>
      <c r="B778" s="3" t="n"/>
      <c r="C778" s="3" t="n"/>
      <c r="D778" s="4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5">
        <f>IF(Q778&lt;&gt;"是","排除",IF(OR(L778="",M778=""),"",IF(OR(L778="未知",M778="未知"),"未知",IF(AND(L778="真",M778="真"),"TP",IF(AND(L778="真",M778="假"),"FP",IF(AND(L778="假",M778="真"),"FN","TN"))))))</f>
        <v/>
      </c>
      <c r="S778" s="3" t="n"/>
      <c r="T778" s="3" t="n"/>
      <c r="U778" s="3" t="n"/>
      <c r="V778" s="3" t="n"/>
    </row>
    <row r="779">
      <c r="A779" s="3" t="n"/>
      <c r="B779" s="3" t="n"/>
      <c r="C779" s="3" t="n"/>
      <c r="D779" s="4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5">
        <f>IF(Q779&lt;&gt;"是","排除",IF(OR(L779="",M779=""),"",IF(OR(L779="未知",M779="未知"),"未知",IF(AND(L779="真",M779="真"),"TP",IF(AND(L779="真",M779="假"),"FP",IF(AND(L779="假",M779="真"),"FN","TN"))))))</f>
        <v/>
      </c>
      <c r="S779" s="3" t="n"/>
      <c r="T779" s="3" t="n"/>
      <c r="U779" s="3" t="n"/>
      <c r="V779" s="3" t="n"/>
    </row>
    <row r="780">
      <c r="A780" s="3" t="n"/>
      <c r="B780" s="3" t="n"/>
      <c r="C780" s="3" t="n"/>
      <c r="D780" s="4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5">
        <f>IF(Q780&lt;&gt;"是","排除",IF(OR(L780="",M780=""),"",IF(OR(L780="未知",M780="未知"),"未知",IF(AND(L780="真",M780="真"),"TP",IF(AND(L780="真",M780="假"),"FP",IF(AND(L780="假",M780="真"),"FN","TN"))))))</f>
        <v/>
      </c>
      <c r="S780" s="3" t="n"/>
      <c r="T780" s="3" t="n"/>
      <c r="U780" s="3" t="n"/>
      <c r="V780" s="3" t="n"/>
    </row>
    <row r="781">
      <c r="A781" s="3" t="n"/>
      <c r="B781" s="3" t="n"/>
      <c r="C781" s="3" t="n"/>
      <c r="D781" s="4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5">
        <f>IF(Q781&lt;&gt;"是","排除",IF(OR(L781="",M781=""),"",IF(OR(L781="未知",M781="未知"),"未知",IF(AND(L781="真",M781="真"),"TP",IF(AND(L781="真",M781="假"),"FP",IF(AND(L781="假",M781="真"),"FN","TN"))))))</f>
        <v/>
      </c>
      <c r="S781" s="3" t="n"/>
      <c r="T781" s="3" t="n"/>
      <c r="U781" s="3" t="n"/>
      <c r="V781" s="3" t="n"/>
    </row>
    <row r="782">
      <c r="A782" s="3" t="n"/>
      <c r="B782" s="3" t="n"/>
      <c r="C782" s="3" t="n"/>
      <c r="D782" s="4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5">
        <f>IF(Q782&lt;&gt;"是","排除",IF(OR(L782="",M782=""),"",IF(OR(L782="未知",M782="未知"),"未知",IF(AND(L782="真",M782="真"),"TP",IF(AND(L782="真",M782="假"),"FP",IF(AND(L782="假",M782="真"),"FN","TN"))))))</f>
        <v/>
      </c>
      <c r="S782" s="3" t="n"/>
      <c r="T782" s="3" t="n"/>
      <c r="U782" s="3" t="n"/>
      <c r="V782" s="3" t="n"/>
    </row>
    <row r="783">
      <c r="A783" s="3" t="n"/>
      <c r="B783" s="3" t="n"/>
      <c r="C783" s="3" t="n"/>
      <c r="D783" s="4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5">
        <f>IF(Q783&lt;&gt;"是","排除",IF(OR(L783="",M783=""),"",IF(OR(L783="未知",M783="未知"),"未知",IF(AND(L783="真",M783="真"),"TP",IF(AND(L783="真",M783="假"),"FP",IF(AND(L783="假",M783="真"),"FN","TN"))))))</f>
        <v/>
      </c>
      <c r="S783" s="3" t="n"/>
      <c r="T783" s="3" t="n"/>
      <c r="U783" s="3" t="n"/>
      <c r="V783" s="3" t="n"/>
    </row>
    <row r="784">
      <c r="A784" s="3" t="n"/>
      <c r="B784" s="3" t="n"/>
      <c r="C784" s="3" t="n"/>
      <c r="D784" s="4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5">
        <f>IF(Q784&lt;&gt;"是","排除",IF(OR(L784="",M784=""),"",IF(OR(L784="未知",M784="未知"),"未知",IF(AND(L784="真",M784="真"),"TP",IF(AND(L784="真",M784="假"),"FP",IF(AND(L784="假",M784="真"),"FN","TN"))))))</f>
        <v/>
      </c>
      <c r="S784" s="3" t="n"/>
      <c r="T784" s="3" t="n"/>
      <c r="U784" s="3" t="n"/>
      <c r="V784" s="3" t="n"/>
    </row>
    <row r="785">
      <c r="A785" s="3" t="n"/>
      <c r="B785" s="3" t="n"/>
      <c r="C785" s="3" t="n"/>
      <c r="D785" s="4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5">
        <f>IF(Q785&lt;&gt;"是","排除",IF(OR(L785="",M785=""),"",IF(OR(L785="未知",M785="未知"),"未知",IF(AND(L785="真",M785="真"),"TP",IF(AND(L785="真",M785="假"),"FP",IF(AND(L785="假",M785="真"),"FN","TN"))))))</f>
        <v/>
      </c>
      <c r="S785" s="3" t="n"/>
      <c r="T785" s="3" t="n"/>
      <c r="U785" s="3" t="n"/>
      <c r="V785" s="3" t="n"/>
    </row>
    <row r="786">
      <c r="A786" s="3" t="n"/>
      <c r="B786" s="3" t="n"/>
      <c r="C786" s="3" t="n"/>
      <c r="D786" s="4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5">
        <f>IF(Q786&lt;&gt;"是","排除",IF(OR(L786="",M786=""),"",IF(OR(L786="未知",M786="未知"),"未知",IF(AND(L786="真",M786="真"),"TP",IF(AND(L786="真",M786="假"),"FP",IF(AND(L786="假",M786="真"),"FN","TN"))))))</f>
        <v/>
      </c>
      <c r="S786" s="3" t="n"/>
      <c r="T786" s="3" t="n"/>
      <c r="U786" s="3" t="n"/>
      <c r="V786" s="3" t="n"/>
    </row>
    <row r="787">
      <c r="A787" s="3" t="n"/>
      <c r="B787" s="3" t="n"/>
      <c r="C787" s="3" t="n"/>
      <c r="D787" s="4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5">
        <f>IF(Q787&lt;&gt;"是","排除",IF(OR(L787="",M787=""),"",IF(OR(L787="未知",M787="未知"),"未知",IF(AND(L787="真",M787="真"),"TP",IF(AND(L787="真",M787="假"),"FP",IF(AND(L787="假",M787="真"),"FN","TN"))))))</f>
        <v/>
      </c>
      <c r="S787" s="3" t="n"/>
      <c r="T787" s="3" t="n"/>
      <c r="U787" s="3" t="n"/>
      <c r="V787" s="3" t="n"/>
    </row>
    <row r="788">
      <c r="A788" s="3" t="n"/>
      <c r="B788" s="3" t="n"/>
      <c r="C788" s="3" t="n"/>
      <c r="D788" s="4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5">
        <f>IF(Q788&lt;&gt;"是","排除",IF(OR(L788="",M788=""),"",IF(OR(L788="未知",M788="未知"),"未知",IF(AND(L788="真",M788="真"),"TP",IF(AND(L788="真",M788="假"),"FP",IF(AND(L788="假",M788="真"),"FN","TN"))))))</f>
        <v/>
      </c>
      <c r="S788" s="3" t="n"/>
      <c r="T788" s="3" t="n"/>
      <c r="U788" s="3" t="n"/>
      <c r="V788" s="3" t="n"/>
    </row>
    <row r="789">
      <c r="A789" s="3" t="n"/>
      <c r="B789" s="3" t="n"/>
      <c r="C789" s="3" t="n"/>
      <c r="D789" s="4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5">
        <f>IF(Q789&lt;&gt;"是","排除",IF(OR(L789="",M789=""),"",IF(OR(L789="未知",M789="未知"),"未知",IF(AND(L789="真",M789="真"),"TP",IF(AND(L789="真",M789="假"),"FP",IF(AND(L789="假",M789="真"),"FN","TN"))))))</f>
        <v/>
      </c>
      <c r="S789" s="3" t="n"/>
      <c r="T789" s="3" t="n"/>
      <c r="U789" s="3" t="n"/>
      <c r="V789" s="3" t="n"/>
    </row>
    <row r="790">
      <c r="A790" s="3" t="n"/>
      <c r="B790" s="3" t="n"/>
      <c r="C790" s="3" t="n"/>
      <c r="D790" s="4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5">
        <f>IF(Q790&lt;&gt;"是","排除",IF(OR(L790="",M790=""),"",IF(OR(L790="未知",M790="未知"),"未知",IF(AND(L790="真",M790="真"),"TP",IF(AND(L790="真",M790="假"),"FP",IF(AND(L790="假",M790="真"),"FN","TN"))))))</f>
        <v/>
      </c>
      <c r="S790" s="3" t="n"/>
      <c r="T790" s="3" t="n"/>
      <c r="U790" s="3" t="n"/>
      <c r="V790" s="3" t="n"/>
    </row>
    <row r="791">
      <c r="A791" s="3" t="n"/>
      <c r="B791" s="3" t="n"/>
      <c r="C791" s="3" t="n"/>
      <c r="D791" s="4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5">
        <f>IF(Q791&lt;&gt;"是","排除",IF(OR(L791="",M791=""),"",IF(OR(L791="未知",M791="未知"),"未知",IF(AND(L791="真",M791="真"),"TP",IF(AND(L791="真",M791="假"),"FP",IF(AND(L791="假",M791="真"),"FN","TN"))))))</f>
        <v/>
      </c>
      <c r="S791" s="3" t="n"/>
      <c r="T791" s="3" t="n"/>
      <c r="U791" s="3" t="n"/>
      <c r="V791" s="3" t="n"/>
    </row>
    <row r="792">
      <c r="A792" s="3" t="n"/>
      <c r="B792" s="3" t="n"/>
      <c r="C792" s="3" t="n"/>
      <c r="D792" s="4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5">
        <f>IF(Q792&lt;&gt;"是","排除",IF(OR(L792="",M792=""),"",IF(OR(L792="未知",M792="未知"),"未知",IF(AND(L792="真",M792="真"),"TP",IF(AND(L792="真",M792="假"),"FP",IF(AND(L792="假",M792="真"),"FN","TN"))))))</f>
        <v/>
      </c>
      <c r="S792" s="3" t="n"/>
      <c r="T792" s="3" t="n"/>
      <c r="U792" s="3" t="n"/>
      <c r="V792" s="3" t="n"/>
    </row>
    <row r="793">
      <c r="A793" s="3" t="n"/>
      <c r="B793" s="3" t="n"/>
      <c r="C793" s="3" t="n"/>
      <c r="D793" s="4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5">
        <f>IF(Q793&lt;&gt;"是","排除",IF(OR(L793="",M793=""),"",IF(OR(L793="未知",M793="未知"),"未知",IF(AND(L793="真",M793="真"),"TP",IF(AND(L793="真",M793="假"),"FP",IF(AND(L793="假",M793="真"),"FN","TN"))))))</f>
        <v/>
      </c>
      <c r="S793" s="3" t="n"/>
      <c r="T793" s="3" t="n"/>
      <c r="U793" s="3" t="n"/>
      <c r="V793" s="3" t="n"/>
    </row>
    <row r="794">
      <c r="A794" s="3" t="n"/>
      <c r="B794" s="3" t="n"/>
      <c r="C794" s="3" t="n"/>
      <c r="D794" s="4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5">
        <f>IF(Q794&lt;&gt;"是","排除",IF(OR(L794="",M794=""),"",IF(OR(L794="未知",M794="未知"),"未知",IF(AND(L794="真",M794="真"),"TP",IF(AND(L794="真",M794="假"),"FP",IF(AND(L794="假",M794="真"),"FN","TN"))))))</f>
        <v/>
      </c>
      <c r="S794" s="3" t="n"/>
      <c r="T794" s="3" t="n"/>
      <c r="U794" s="3" t="n"/>
      <c r="V794" s="3" t="n"/>
    </row>
    <row r="795">
      <c r="A795" s="3" t="n"/>
      <c r="B795" s="3" t="n"/>
      <c r="C795" s="3" t="n"/>
      <c r="D795" s="4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5">
        <f>IF(Q795&lt;&gt;"是","排除",IF(OR(L795="",M795=""),"",IF(OR(L795="未知",M795="未知"),"未知",IF(AND(L795="真",M795="真"),"TP",IF(AND(L795="真",M795="假"),"FP",IF(AND(L795="假",M795="真"),"FN","TN"))))))</f>
        <v/>
      </c>
      <c r="S795" s="3" t="n"/>
      <c r="T795" s="3" t="n"/>
      <c r="U795" s="3" t="n"/>
      <c r="V795" s="3" t="n"/>
    </row>
    <row r="796">
      <c r="A796" s="3" t="n"/>
      <c r="B796" s="3" t="n"/>
      <c r="C796" s="3" t="n"/>
      <c r="D796" s="4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5">
        <f>IF(Q796&lt;&gt;"是","排除",IF(OR(L796="",M796=""),"",IF(OR(L796="未知",M796="未知"),"未知",IF(AND(L796="真",M796="真"),"TP",IF(AND(L796="真",M796="假"),"FP",IF(AND(L796="假",M796="真"),"FN","TN"))))))</f>
        <v/>
      </c>
      <c r="S796" s="3" t="n"/>
      <c r="T796" s="3" t="n"/>
      <c r="U796" s="3" t="n"/>
      <c r="V796" s="3" t="n"/>
    </row>
    <row r="797">
      <c r="A797" s="3" t="n"/>
      <c r="B797" s="3" t="n"/>
      <c r="C797" s="3" t="n"/>
      <c r="D797" s="4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5">
        <f>IF(Q797&lt;&gt;"是","排除",IF(OR(L797="",M797=""),"",IF(OR(L797="未知",M797="未知"),"未知",IF(AND(L797="真",M797="真"),"TP",IF(AND(L797="真",M797="假"),"FP",IF(AND(L797="假",M797="真"),"FN","TN"))))))</f>
        <v/>
      </c>
      <c r="S797" s="3" t="n"/>
      <c r="T797" s="3" t="n"/>
      <c r="U797" s="3" t="n"/>
      <c r="V797" s="3" t="n"/>
    </row>
    <row r="798">
      <c r="A798" s="3" t="n"/>
      <c r="B798" s="3" t="n"/>
      <c r="C798" s="3" t="n"/>
      <c r="D798" s="4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5">
        <f>IF(Q798&lt;&gt;"是","排除",IF(OR(L798="",M798=""),"",IF(OR(L798="未知",M798="未知"),"未知",IF(AND(L798="真",M798="真"),"TP",IF(AND(L798="真",M798="假"),"FP",IF(AND(L798="假",M798="真"),"FN","TN"))))))</f>
        <v/>
      </c>
      <c r="S798" s="3" t="n"/>
      <c r="T798" s="3" t="n"/>
      <c r="U798" s="3" t="n"/>
      <c r="V798" s="3" t="n"/>
    </row>
    <row r="799">
      <c r="A799" s="3" t="n"/>
      <c r="B799" s="3" t="n"/>
      <c r="C799" s="3" t="n"/>
      <c r="D799" s="4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5">
        <f>IF(Q799&lt;&gt;"是","排除",IF(OR(L799="",M799=""),"",IF(OR(L799="未知",M799="未知"),"未知",IF(AND(L799="真",M799="真"),"TP",IF(AND(L799="真",M799="假"),"FP",IF(AND(L799="假",M799="真"),"FN","TN"))))))</f>
        <v/>
      </c>
      <c r="S799" s="3" t="n"/>
      <c r="T799" s="3" t="n"/>
      <c r="U799" s="3" t="n"/>
      <c r="V799" s="3" t="n"/>
    </row>
    <row r="800">
      <c r="A800" s="3" t="n"/>
      <c r="B800" s="3" t="n"/>
      <c r="C800" s="3" t="n"/>
      <c r="D800" s="4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5">
        <f>IF(Q800&lt;&gt;"是","排除",IF(OR(L800="",M800=""),"",IF(OR(L800="未知",M800="未知"),"未知",IF(AND(L800="真",M800="真"),"TP",IF(AND(L800="真",M800="假"),"FP",IF(AND(L800="假",M800="真"),"FN","TN"))))))</f>
        <v/>
      </c>
      <c r="S800" s="3" t="n"/>
      <c r="T800" s="3" t="n"/>
      <c r="U800" s="3" t="n"/>
      <c r="V800" s="3" t="n"/>
    </row>
    <row r="801">
      <c r="A801" s="3" t="n"/>
      <c r="B801" s="3" t="n"/>
      <c r="C801" s="3" t="n"/>
      <c r="D801" s="4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5">
        <f>IF(Q801&lt;&gt;"是","排除",IF(OR(L801="",M801=""),"",IF(OR(L801="未知",M801="未知"),"未知",IF(AND(L801="真",M801="真"),"TP",IF(AND(L801="真",M801="假"),"FP",IF(AND(L801="假",M801="真"),"FN","TN"))))))</f>
        <v/>
      </c>
      <c r="S801" s="3" t="n"/>
      <c r="T801" s="3" t="n"/>
      <c r="U801" s="3" t="n"/>
      <c r="V801" s="3" t="n"/>
    </row>
    <row r="802">
      <c r="A802" s="3" t="n"/>
      <c r="B802" s="3" t="n"/>
      <c r="C802" s="3" t="n"/>
      <c r="D802" s="4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5">
        <f>IF(Q802&lt;&gt;"是","排除",IF(OR(L802="",M802=""),"",IF(OR(L802="未知",M802="未知"),"未知",IF(AND(L802="真",M802="真"),"TP",IF(AND(L802="真",M802="假"),"FP",IF(AND(L802="假",M802="真"),"FN","TN"))))))</f>
        <v/>
      </c>
      <c r="S802" s="3" t="n"/>
      <c r="T802" s="3" t="n"/>
      <c r="U802" s="3" t="n"/>
      <c r="V802" s="3" t="n"/>
    </row>
    <row r="803">
      <c r="A803" s="3" t="n"/>
      <c r="B803" s="3" t="n"/>
      <c r="C803" s="3" t="n"/>
      <c r="D803" s="4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5">
        <f>IF(Q803&lt;&gt;"是","排除",IF(OR(L803="",M803=""),"",IF(OR(L803="未知",M803="未知"),"未知",IF(AND(L803="真",M803="真"),"TP",IF(AND(L803="真",M803="假"),"FP",IF(AND(L803="假",M803="真"),"FN","TN"))))))</f>
        <v/>
      </c>
      <c r="S803" s="3" t="n"/>
      <c r="T803" s="3" t="n"/>
      <c r="U803" s="3" t="n"/>
      <c r="V803" s="3" t="n"/>
    </row>
    <row r="804">
      <c r="A804" s="3" t="n"/>
      <c r="B804" s="3" t="n"/>
      <c r="C804" s="3" t="n"/>
      <c r="D804" s="4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5">
        <f>IF(Q804&lt;&gt;"是","排除",IF(OR(L804="",M804=""),"",IF(OR(L804="未知",M804="未知"),"未知",IF(AND(L804="真",M804="真"),"TP",IF(AND(L804="真",M804="假"),"FP",IF(AND(L804="假",M804="真"),"FN","TN"))))))</f>
        <v/>
      </c>
      <c r="S804" s="3" t="n"/>
      <c r="T804" s="3" t="n"/>
      <c r="U804" s="3" t="n"/>
      <c r="V804" s="3" t="n"/>
    </row>
    <row r="805">
      <c r="A805" s="3" t="n"/>
      <c r="B805" s="3" t="n"/>
      <c r="C805" s="3" t="n"/>
      <c r="D805" s="4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5">
        <f>IF(Q805&lt;&gt;"是","排除",IF(OR(L805="",M805=""),"",IF(OR(L805="未知",M805="未知"),"未知",IF(AND(L805="真",M805="真"),"TP",IF(AND(L805="真",M805="假"),"FP",IF(AND(L805="假",M805="真"),"FN","TN"))))))</f>
        <v/>
      </c>
      <c r="S805" s="3" t="n"/>
      <c r="T805" s="3" t="n"/>
      <c r="U805" s="3" t="n"/>
      <c r="V805" s="3" t="n"/>
    </row>
    <row r="806">
      <c r="A806" s="3" t="n"/>
      <c r="B806" s="3" t="n"/>
      <c r="C806" s="3" t="n"/>
      <c r="D806" s="4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5">
        <f>IF(Q806&lt;&gt;"是","排除",IF(OR(L806="",M806=""),"",IF(OR(L806="未知",M806="未知"),"未知",IF(AND(L806="真",M806="真"),"TP",IF(AND(L806="真",M806="假"),"FP",IF(AND(L806="假",M806="真"),"FN","TN"))))))</f>
        <v/>
      </c>
      <c r="S806" s="3" t="n"/>
      <c r="T806" s="3" t="n"/>
      <c r="U806" s="3" t="n"/>
      <c r="V806" s="3" t="n"/>
    </row>
    <row r="807">
      <c r="A807" s="3" t="n"/>
      <c r="B807" s="3" t="n"/>
      <c r="C807" s="3" t="n"/>
      <c r="D807" s="4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5">
        <f>IF(Q807&lt;&gt;"是","排除",IF(OR(L807="",M807=""),"",IF(OR(L807="未知",M807="未知"),"未知",IF(AND(L807="真",M807="真"),"TP",IF(AND(L807="真",M807="假"),"FP",IF(AND(L807="假",M807="真"),"FN","TN"))))))</f>
        <v/>
      </c>
      <c r="S807" s="3" t="n"/>
      <c r="T807" s="3" t="n"/>
      <c r="U807" s="3" t="n"/>
      <c r="V807" s="3" t="n"/>
    </row>
    <row r="808">
      <c r="A808" s="3" t="n"/>
      <c r="B808" s="3" t="n"/>
      <c r="C808" s="3" t="n"/>
      <c r="D808" s="4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5">
        <f>IF(Q808&lt;&gt;"是","排除",IF(OR(L808="",M808=""),"",IF(OR(L808="未知",M808="未知"),"未知",IF(AND(L808="真",M808="真"),"TP",IF(AND(L808="真",M808="假"),"FP",IF(AND(L808="假",M808="真"),"FN","TN"))))))</f>
        <v/>
      </c>
      <c r="S808" s="3" t="n"/>
      <c r="T808" s="3" t="n"/>
      <c r="U808" s="3" t="n"/>
      <c r="V808" s="3" t="n"/>
    </row>
    <row r="809">
      <c r="A809" s="3" t="n"/>
      <c r="B809" s="3" t="n"/>
      <c r="C809" s="3" t="n"/>
      <c r="D809" s="4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5">
        <f>IF(Q809&lt;&gt;"是","排除",IF(OR(L809="",M809=""),"",IF(OR(L809="未知",M809="未知"),"未知",IF(AND(L809="真",M809="真"),"TP",IF(AND(L809="真",M809="假"),"FP",IF(AND(L809="假",M809="真"),"FN","TN"))))))</f>
        <v/>
      </c>
      <c r="S809" s="3" t="n"/>
      <c r="T809" s="3" t="n"/>
      <c r="U809" s="3" t="n"/>
      <c r="V809" s="3" t="n"/>
    </row>
    <row r="810">
      <c r="A810" s="3" t="n"/>
      <c r="B810" s="3" t="n"/>
      <c r="C810" s="3" t="n"/>
      <c r="D810" s="4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5">
        <f>IF(Q810&lt;&gt;"是","排除",IF(OR(L810="",M810=""),"",IF(OR(L810="未知",M810="未知"),"未知",IF(AND(L810="真",M810="真"),"TP",IF(AND(L810="真",M810="假"),"FP",IF(AND(L810="假",M810="真"),"FN","TN"))))))</f>
        <v/>
      </c>
      <c r="S810" s="3" t="n"/>
      <c r="T810" s="3" t="n"/>
      <c r="U810" s="3" t="n"/>
      <c r="V810" s="3" t="n"/>
    </row>
    <row r="811">
      <c r="A811" s="3" t="n"/>
      <c r="B811" s="3" t="n"/>
      <c r="C811" s="3" t="n"/>
      <c r="D811" s="4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5">
        <f>IF(Q811&lt;&gt;"是","排除",IF(OR(L811="",M811=""),"",IF(OR(L811="未知",M811="未知"),"未知",IF(AND(L811="真",M811="真"),"TP",IF(AND(L811="真",M811="假"),"FP",IF(AND(L811="假",M811="真"),"FN","TN"))))))</f>
        <v/>
      </c>
      <c r="S811" s="3" t="n"/>
      <c r="T811" s="3" t="n"/>
      <c r="U811" s="3" t="n"/>
      <c r="V811" s="3" t="n"/>
    </row>
    <row r="812">
      <c r="A812" s="3" t="n"/>
      <c r="B812" s="3" t="n"/>
      <c r="C812" s="3" t="n"/>
      <c r="D812" s="4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5">
        <f>IF(Q812&lt;&gt;"是","排除",IF(OR(L812="",M812=""),"",IF(OR(L812="未知",M812="未知"),"未知",IF(AND(L812="真",M812="真"),"TP",IF(AND(L812="真",M812="假"),"FP",IF(AND(L812="假",M812="真"),"FN","TN"))))))</f>
        <v/>
      </c>
      <c r="S812" s="3" t="n"/>
      <c r="T812" s="3" t="n"/>
      <c r="U812" s="3" t="n"/>
      <c r="V812" s="3" t="n"/>
    </row>
    <row r="813">
      <c r="A813" s="3" t="n"/>
      <c r="B813" s="3" t="n"/>
      <c r="C813" s="3" t="n"/>
      <c r="D813" s="4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5">
        <f>IF(Q813&lt;&gt;"是","排除",IF(OR(L813="",M813=""),"",IF(OR(L813="未知",M813="未知"),"未知",IF(AND(L813="真",M813="真"),"TP",IF(AND(L813="真",M813="假"),"FP",IF(AND(L813="假",M813="真"),"FN","TN"))))))</f>
        <v/>
      </c>
      <c r="S813" s="3" t="n"/>
      <c r="T813" s="3" t="n"/>
      <c r="U813" s="3" t="n"/>
      <c r="V813" s="3" t="n"/>
    </row>
    <row r="814">
      <c r="A814" s="3" t="n"/>
      <c r="B814" s="3" t="n"/>
      <c r="C814" s="3" t="n"/>
      <c r="D814" s="4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5">
        <f>IF(Q814&lt;&gt;"是","排除",IF(OR(L814="",M814=""),"",IF(OR(L814="未知",M814="未知"),"未知",IF(AND(L814="真",M814="真"),"TP",IF(AND(L814="真",M814="假"),"FP",IF(AND(L814="假",M814="真"),"FN","TN"))))))</f>
        <v/>
      </c>
      <c r="S814" s="3" t="n"/>
      <c r="T814" s="3" t="n"/>
      <c r="U814" s="3" t="n"/>
      <c r="V814" s="3" t="n"/>
    </row>
    <row r="815">
      <c r="A815" s="3" t="n"/>
      <c r="B815" s="3" t="n"/>
      <c r="C815" s="3" t="n"/>
      <c r="D815" s="4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5">
        <f>IF(Q815&lt;&gt;"是","排除",IF(OR(L815="",M815=""),"",IF(OR(L815="未知",M815="未知"),"未知",IF(AND(L815="真",M815="真"),"TP",IF(AND(L815="真",M815="假"),"FP",IF(AND(L815="假",M815="真"),"FN","TN"))))))</f>
        <v/>
      </c>
      <c r="S815" s="3" t="n"/>
      <c r="T815" s="3" t="n"/>
      <c r="U815" s="3" t="n"/>
      <c r="V815" s="3" t="n"/>
    </row>
    <row r="816">
      <c r="A816" s="3" t="n"/>
      <c r="B816" s="3" t="n"/>
      <c r="C816" s="3" t="n"/>
      <c r="D816" s="4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5">
        <f>IF(Q816&lt;&gt;"是","排除",IF(OR(L816="",M816=""),"",IF(OR(L816="未知",M816="未知"),"未知",IF(AND(L816="真",M816="真"),"TP",IF(AND(L816="真",M816="假"),"FP",IF(AND(L816="假",M816="真"),"FN","TN"))))))</f>
        <v/>
      </c>
      <c r="S816" s="3" t="n"/>
      <c r="T816" s="3" t="n"/>
      <c r="U816" s="3" t="n"/>
      <c r="V816" s="3" t="n"/>
    </row>
    <row r="817">
      <c r="A817" s="3" t="n"/>
      <c r="B817" s="3" t="n"/>
      <c r="C817" s="3" t="n"/>
      <c r="D817" s="4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5">
        <f>IF(Q817&lt;&gt;"是","排除",IF(OR(L817="",M817=""),"",IF(OR(L817="未知",M817="未知"),"未知",IF(AND(L817="真",M817="真"),"TP",IF(AND(L817="真",M817="假"),"FP",IF(AND(L817="假",M817="真"),"FN","TN"))))))</f>
        <v/>
      </c>
      <c r="S817" s="3" t="n"/>
      <c r="T817" s="3" t="n"/>
      <c r="U817" s="3" t="n"/>
      <c r="V817" s="3" t="n"/>
    </row>
    <row r="818">
      <c r="A818" s="3" t="n"/>
      <c r="B818" s="3" t="n"/>
      <c r="C818" s="3" t="n"/>
      <c r="D818" s="4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5">
        <f>IF(Q818&lt;&gt;"是","排除",IF(OR(L818="",M818=""),"",IF(OR(L818="未知",M818="未知"),"未知",IF(AND(L818="真",M818="真"),"TP",IF(AND(L818="真",M818="假"),"FP",IF(AND(L818="假",M818="真"),"FN","TN"))))))</f>
        <v/>
      </c>
      <c r="S818" s="3" t="n"/>
      <c r="T818" s="3" t="n"/>
      <c r="U818" s="3" t="n"/>
      <c r="V818" s="3" t="n"/>
    </row>
    <row r="819">
      <c r="A819" s="3" t="n"/>
      <c r="B819" s="3" t="n"/>
      <c r="C819" s="3" t="n"/>
      <c r="D819" s="4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5">
        <f>IF(Q819&lt;&gt;"是","排除",IF(OR(L819="",M819=""),"",IF(OR(L819="未知",M819="未知"),"未知",IF(AND(L819="真",M819="真"),"TP",IF(AND(L819="真",M819="假"),"FP",IF(AND(L819="假",M819="真"),"FN","TN"))))))</f>
        <v/>
      </c>
      <c r="S819" s="3" t="n"/>
      <c r="T819" s="3" t="n"/>
      <c r="U819" s="3" t="n"/>
      <c r="V819" s="3" t="n"/>
    </row>
    <row r="820">
      <c r="A820" s="3" t="n"/>
      <c r="B820" s="3" t="n"/>
      <c r="C820" s="3" t="n"/>
      <c r="D820" s="4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5">
        <f>IF(Q820&lt;&gt;"是","排除",IF(OR(L820="",M820=""),"",IF(OR(L820="未知",M820="未知"),"未知",IF(AND(L820="真",M820="真"),"TP",IF(AND(L820="真",M820="假"),"FP",IF(AND(L820="假",M820="真"),"FN","TN"))))))</f>
        <v/>
      </c>
      <c r="S820" s="3" t="n"/>
      <c r="T820" s="3" t="n"/>
      <c r="U820" s="3" t="n"/>
      <c r="V820" s="3" t="n"/>
    </row>
    <row r="821">
      <c r="A821" s="3" t="n"/>
      <c r="B821" s="3" t="n"/>
      <c r="C821" s="3" t="n"/>
      <c r="D821" s="4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5">
        <f>IF(Q821&lt;&gt;"是","排除",IF(OR(L821="",M821=""),"",IF(OR(L821="未知",M821="未知"),"未知",IF(AND(L821="真",M821="真"),"TP",IF(AND(L821="真",M821="假"),"FP",IF(AND(L821="假",M821="真"),"FN","TN"))))))</f>
        <v/>
      </c>
      <c r="S821" s="3" t="n"/>
      <c r="T821" s="3" t="n"/>
      <c r="U821" s="3" t="n"/>
      <c r="V821" s="3" t="n"/>
    </row>
    <row r="822">
      <c r="A822" s="3" t="n"/>
      <c r="B822" s="3" t="n"/>
      <c r="C822" s="3" t="n"/>
      <c r="D822" s="4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5">
        <f>IF(Q822&lt;&gt;"是","排除",IF(OR(L822="",M822=""),"",IF(OR(L822="未知",M822="未知"),"未知",IF(AND(L822="真",M822="真"),"TP",IF(AND(L822="真",M822="假"),"FP",IF(AND(L822="假",M822="真"),"FN","TN"))))))</f>
        <v/>
      </c>
      <c r="S822" s="3" t="n"/>
      <c r="T822" s="3" t="n"/>
      <c r="U822" s="3" t="n"/>
      <c r="V822" s="3" t="n"/>
    </row>
    <row r="823">
      <c r="A823" s="3" t="n"/>
      <c r="B823" s="3" t="n"/>
      <c r="C823" s="3" t="n"/>
      <c r="D823" s="4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5">
        <f>IF(Q823&lt;&gt;"是","排除",IF(OR(L823="",M823=""),"",IF(OR(L823="未知",M823="未知"),"未知",IF(AND(L823="真",M823="真"),"TP",IF(AND(L823="真",M823="假"),"FP",IF(AND(L823="假",M823="真"),"FN","TN"))))))</f>
        <v/>
      </c>
      <c r="S823" s="3" t="n"/>
      <c r="T823" s="3" t="n"/>
      <c r="U823" s="3" t="n"/>
      <c r="V823" s="3" t="n"/>
    </row>
    <row r="824">
      <c r="A824" s="3" t="n"/>
      <c r="B824" s="3" t="n"/>
      <c r="C824" s="3" t="n"/>
      <c r="D824" s="4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5">
        <f>IF(Q824&lt;&gt;"是","排除",IF(OR(L824="",M824=""),"",IF(OR(L824="未知",M824="未知"),"未知",IF(AND(L824="真",M824="真"),"TP",IF(AND(L824="真",M824="假"),"FP",IF(AND(L824="假",M824="真"),"FN","TN"))))))</f>
        <v/>
      </c>
      <c r="S824" s="3" t="n"/>
      <c r="T824" s="3" t="n"/>
      <c r="U824" s="3" t="n"/>
      <c r="V824" s="3" t="n"/>
    </row>
    <row r="825">
      <c r="A825" s="3" t="n"/>
      <c r="B825" s="3" t="n"/>
      <c r="C825" s="3" t="n"/>
      <c r="D825" s="4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5">
        <f>IF(Q825&lt;&gt;"是","排除",IF(OR(L825="",M825=""),"",IF(OR(L825="未知",M825="未知"),"未知",IF(AND(L825="真",M825="真"),"TP",IF(AND(L825="真",M825="假"),"FP",IF(AND(L825="假",M825="真"),"FN","TN"))))))</f>
        <v/>
      </c>
      <c r="S825" s="3" t="n"/>
      <c r="T825" s="3" t="n"/>
      <c r="U825" s="3" t="n"/>
      <c r="V825" s="3" t="n"/>
    </row>
    <row r="826">
      <c r="A826" s="3" t="n"/>
      <c r="B826" s="3" t="n"/>
      <c r="C826" s="3" t="n"/>
      <c r="D826" s="4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5">
        <f>IF(Q826&lt;&gt;"是","排除",IF(OR(L826="",M826=""),"",IF(OR(L826="未知",M826="未知"),"未知",IF(AND(L826="真",M826="真"),"TP",IF(AND(L826="真",M826="假"),"FP",IF(AND(L826="假",M826="真"),"FN","TN"))))))</f>
        <v/>
      </c>
      <c r="S826" s="3" t="n"/>
      <c r="T826" s="3" t="n"/>
      <c r="U826" s="3" t="n"/>
      <c r="V826" s="3" t="n"/>
    </row>
    <row r="827">
      <c r="A827" s="3" t="n"/>
      <c r="B827" s="3" t="n"/>
      <c r="C827" s="3" t="n"/>
      <c r="D827" s="4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5">
        <f>IF(Q827&lt;&gt;"是","排除",IF(OR(L827="",M827=""),"",IF(OR(L827="未知",M827="未知"),"未知",IF(AND(L827="真",M827="真"),"TP",IF(AND(L827="真",M827="假"),"FP",IF(AND(L827="假",M827="真"),"FN","TN"))))))</f>
        <v/>
      </c>
      <c r="S827" s="3" t="n"/>
      <c r="T827" s="3" t="n"/>
      <c r="U827" s="3" t="n"/>
      <c r="V827" s="3" t="n"/>
    </row>
    <row r="828">
      <c r="A828" s="3" t="n"/>
      <c r="B828" s="3" t="n"/>
      <c r="C828" s="3" t="n"/>
      <c r="D828" s="4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5">
        <f>IF(Q828&lt;&gt;"是","排除",IF(OR(L828="",M828=""),"",IF(OR(L828="未知",M828="未知"),"未知",IF(AND(L828="真",M828="真"),"TP",IF(AND(L828="真",M828="假"),"FP",IF(AND(L828="假",M828="真"),"FN","TN"))))))</f>
        <v/>
      </c>
      <c r="S828" s="3" t="n"/>
      <c r="T828" s="3" t="n"/>
      <c r="U828" s="3" t="n"/>
      <c r="V828" s="3" t="n"/>
    </row>
    <row r="829">
      <c r="A829" s="3" t="n"/>
      <c r="B829" s="3" t="n"/>
      <c r="C829" s="3" t="n"/>
      <c r="D829" s="4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5">
        <f>IF(Q829&lt;&gt;"是","排除",IF(OR(L829="",M829=""),"",IF(OR(L829="未知",M829="未知"),"未知",IF(AND(L829="真",M829="真"),"TP",IF(AND(L829="真",M829="假"),"FP",IF(AND(L829="假",M829="真"),"FN","TN"))))))</f>
        <v/>
      </c>
      <c r="S829" s="3" t="n"/>
      <c r="T829" s="3" t="n"/>
      <c r="U829" s="3" t="n"/>
      <c r="V829" s="3" t="n"/>
    </row>
    <row r="830">
      <c r="A830" s="3" t="n"/>
      <c r="B830" s="3" t="n"/>
      <c r="C830" s="3" t="n"/>
      <c r="D830" s="4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5">
        <f>IF(Q830&lt;&gt;"是","排除",IF(OR(L830="",M830=""),"",IF(OR(L830="未知",M830="未知"),"未知",IF(AND(L830="真",M830="真"),"TP",IF(AND(L830="真",M830="假"),"FP",IF(AND(L830="假",M830="真"),"FN","TN"))))))</f>
        <v/>
      </c>
      <c r="S830" s="3" t="n"/>
      <c r="T830" s="3" t="n"/>
      <c r="U830" s="3" t="n"/>
      <c r="V830" s="3" t="n"/>
    </row>
    <row r="831">
      <c r="A831" s="3" t="n"/>
      <c r="B831" s="3" t="n"/>
      <c r="C831" s="3" t="n"/>
      <c r="D831" s="4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5">
        <f>IF(Q831&lt;&gt;"是","排除",IF(OR(L831="",M831=""),"",IF(OR(L831="未知",M831="未知"),"未知",IF(AND(L831="真",M831="真"),"TP",IF(AND(L831="真",M831="假"),"FP",IF(AND(L831="假",M831="真"),"FN","TN"))))))</f>
        <v/>
      </c>
      <c r="S831" s="3" t="n"/>
      <c r="T831" s="3" t="n"/>
      <c r="U831" s="3" t="n"/>
      <c r="V831" s="3" t="n"/>
    </row>
    <row r="832">
      <c r="A832" s="3" t="n"/>
      <c r="B832" s="3" t="n"/>
      <c r="C832" s="3" t="n"/>
      <c r="D832" s="4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5">
        <f>IF(Q832&lt;&gt;"是","排除",IF(OR(L832="",M832=""),"",IF(OR(L832="未知",M832="未知"),"未知",IF(AND(L832="真",M832="真"),"TP",IF(AND(L832="真",M832="假"),"FP",IF(AND(L832="假",M832="真"),"FN","TN"))))))</f>
        <v/>
      </c>
      <c r="S832" s="3" t="n"/>
      <c r="T832" s="3" t="n"/>
      <c r="U832" s="3" t="n"/>
      <c r="V832" s="3" t="n"/>
    </row>
    <row r="833">
      <c r="A833" s="3" t="n"/>
      <c r="B833" s="3" t="n"/>
      <c r="C833" s="3" t="n"/>
      <c r="D833" s="4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5">
        <f>IF(Q833&lt;&gt;"是","排除",IF(OR(L833="",M833=""),"",IF(OR(L833="未知",M833="未知"),"未知",IF(AND(L833="真",M833="真"),"TP",IF(AND(L833="真",M833="假"),"FP",IF(AND(L833="假",M833="真"),"FN","TN"))))))</f>
        <v/>
      </c>
      <c r="S833" s="3" t="n"/>
      <c r="T833" s="3" t="n"/>
      <c r="U833" s="3" t="n"/>
      <c r="V833" s="3" t="n"/>
    </row>
    <row r="834">
      <c r="A834" s="3" t="n"/>
      <c r="B834" s="3" t="n"/>
      <c r="C834" s="3" t="n"/>
      <c r="D834" s="4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5">
        <f>IF(Q834&lt;&gt;"是","排除",IF(OR(L834="",M834=""),"",IF(OR(L834="未知",M834="未知"),"未知",IF(AND(L834="真",M834="真"),"TP",IF(AND(L834="真",M834="假"),"FP",IF(AND(L834="假",M834="真"),"FN","TN"))))))</f>
        <v/>
      </c>
      <c r="S834" s="3" t="n"/>
      <c r="T834" s="3" t="n"/>
      <c r="U834" s="3" t="n"/>
      <c r="V834" s="3" t="n"/>
    </row>
    <row r="835">
      <c r="A835" s="3" t="n"/>
      <c r="B835" s="3" t="n"/>
      <c r="C835" s="3" t="n"/>
      <c r="D835" s="4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5">
        <f>IF(Q835&lt;&gt;"是","排除",IF(OR(L835="",M835=""),"",IF(OR(L835="未知",M835="未知"),"未知",IF(AND(L835="真",M835="真"),"TP",IF(AND(L835="真",M835="假"),"FP",IF(AND(L835="假",M835="真"),"FN","TN"))))))</f>
        <v/>
      </c>
      <c r="S835" s="3" t="n"/>
      <c r="T835" s="3" t="n"/>
      <c r="U835" s="3" t="n"/>
      <c r="V835" s="3" t="n"/>
    </row>
    <row r="836">
      <c r="A836" s="3" t="n"/>
      <c r="B836" s="3" t="n"/>
      <c r="C836" s="3" t="n"/>
      <c r="D836" s="4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5">
        <f>IF(Q836&lt;&gt;"是","排除",IF(OR(L836="",M836=""),"",IF(OR(L836="未知",M836="未知"),"未知",IF(AND(L836="真",M836="真"),"TP",IF(AND(L836="真",M836="假"),"FP",IF(AND(L836="假",M836="真"),"FN","TN"))))))</f>
        <v/>
      </c>
      <c r="S836" s="3" t="n"/>
      <c r="T836" s="3" t="n"/>
      <c r="U836" s="3" t="n"/>
      <c r="V836" s="3" t="n"/>
    </row>
    <row r="837">
      <c r="A837" s="3" t="n"/>
      <c r="B837" s="3" t="n"/>
      <c r="C837" s="3" t="n"/>
      <c r="D837" s="4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5">
        <f>IF(Q837&lt;&gt;"是","排除",IF(OR(L837="",M837=""),"",IF(OR(L837="未知",M837="未知"),"未知",IF(AND(L837="真",M837="真"),"TP",IF(AND(L837="真",M837="假"),"FP",IF(AND(L837="假",M837="真"),"FN","TN"))))))</f>
        <v/>
      </c>
      <c r="S837" s="3" t="n"/>
      <c r="T837" s="3" t="n"/>
      <c r="U837" s="3" t="n"/>
      <c r="V837" s="3" t="n"/>
    </row>
    <row r="838">
      <c r="A838" s="3" t="n"/>
      <c r="B838" s="3" t="n"/>
      <c r="C838" s="3" t="n"/>
      <c r="D838" s="4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5">
        <f>IF(Q838&lt;&gt;"是","排除",IF(OR(L838="",M838=""),"",IF(OR(L838="未知",M838="未知"),"未知",IF(AND(L838="真",M838="真"),"TP",IF(AND(L838="真",M838="假"),"FP",IF(AND(L838="假",M838="真"),"FN","TN"))))))</f>
        <v/>
      </c>
      <c r="S838" s="3" t="n"/>
      <c r="T838" s="3" t="n"/>
      <c r="U838" s="3" t="n"/>
      <c r="V838" s="3" t="n"/>
    </row>
    <row r="839">
      <c r="A839" s="3" t="n"/>
      <c r="B839" s="3" t="n"/>
      <c r="C839" s="3" t="n"/>
      <c r="D839" s="4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5">
        <f>IF(Q839&lt;&gt;"是","排除",IF(OR(L839="",M839=""),"",IF(OR(L839="未知",M839="未知"),"未知",IF(AND(L839="真",M839="真"),"TP",IF(AND(L839="真",M839="假"),"FP",IF(AND(L839="假",M839="真"),"FN","TN"))))))</f>
        <v/>
      </c>
      <c r="S839" s="3" t="n"/>
      <c r="T839" s="3" t="n"/>
      <c r="U839" s="3" t="n"/>
      <c r="V839" s="3" t="n"/>
    </row>
    <row r="840">
      <c r="A840" s="3" t="n"/>
      <c r="B840" s="3" t="n"/>
      <c r="C840" s="3" t="n"/>
      <c r="D840" s="4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5">
        <f>IF(Q840&lt;&gt;"是","排除",IF(OR(L840="",M840=""),"",IF(OR(L840="未知",M840="未知"),"未知",IF(AND(L840="真",M840="真"),"TP",IF(AND(L840="真",M840="假"),"FP",IF(AND(L840="假",M840="真"),"FN","TN"))))))</f>
        <v/>
      </c>
      <c r="S840" s="3" t="n"/>
      <c r="T840" s="3" t="n"/>
      <c r="U840" s="3" t="n"/>
      <c r="V840" s="3" t="n"/>
    </row>
    <row r="841">
      <c r="A841" s="3" t="n"/>
      <c r="B841" s="3" t="n"/>
      <c r="C841" s="3" t="n"/>
      <c r="D841" s="4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5">
        <f>IF(Q841&lt;&gt;"是","排除",IF(OR(L841="",M841=""),"",IF(OR(L841="未知",M841="未知"),"未知",IF(AND(L841="真",M841="真"),"TP",IF(AND(L841="真",M841="假"),"FP",IF(AND(L841="假",M841="真"),"FN","TN"))))))</f>
        <v/>
      </c>
      <c r="S841" s="3" t="n"/>
      <c r="T841" s="3" t="n"/>
      <c r="U841" s="3" t="n"/>
      <c r="V841" s="3" t="n"/>
    </row>
    <row r="842">
      <c r="A842" s="3" t="n"/>
      <c r="B842" s="3" t="n"/>
      <c r="C842" s="3" t="n"/>
      <c r="D842" s="4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5">
        <f>IF(Q842&lt;&gt;"是","排除",IF(OR(L842="",M842=""),"",IF(OR(L842="未知",M842="未知"),"未知",IF(AND(L842="真",M842="真"),"TP",IF(AND(L842="真",M842="假"),"FP",IF(AND(L842="假",M842="真"),"FN","TN"))))))</f>
        <v/>
      </c>
      <c r="S842" s="3" t="n"/>
      <c r="T842" s="3" t="n"/>
      <c r="U842" s="3" t="n"/>
      <c r="V842" s="3" t="n"/>
    </row>
    <row r="843">
      <c r="A843" s="3" t="n"/>
      <c r="B843" s="3" t="n"/>
      <c r="C843" s="3" t="n"/>
      <c r="D843" s="4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5">
        <f>IF(Q843&lt;&gt;"是","排除",IF(OR(L843="",M843=""),"",IF(OR(L843="未知",M843="未知"),"未知",IF(AND(L843="真",M843="真"),"TP",IF(AND(L843="真",M843="假"),"FP",IF(AND(L843="假",M843="真"),"FN","TN"))))))</f>
        <v/>
      </c>
      <c r="S843" s="3" t="n"/>
      <c r="T843" s="3" t="n"/>
      <c r="U843" s="3" t="n"/>
      <c r="V843" s="3" t="n"/>
    </row>
    <row r="844">
      <c r="A844" s="3" t="n"/>
      <c r="B844" s="3" t="n"/>
      <c r="C844" s="3" t="n"/>
      <c r="D844" s="4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5">
        <f>IF(Q844&lt;&gt;"是","排除",IF(OR(L844="",M844=""),"",IF(OR(L844="未知",M844="未知"),"未知",IF(AND(L844="真",M844="真"),"TP",IF(AND(L844="真",M844="假"),"FP",IF(AND(L844="假",M844="真"),"FN","TN"))))))</f>
        <v/>
      </c>
      <c r="S844" s="3" t="n"/>
      <c r="T844" s="3" t="n"/>
      <c r="U844" s="3" t="n"/>
      <c r="V844" s="3" t="n"/>
    </row>
    <row r="845">
      <c r="A845" s="3" t="n"/>
      <c r="B845" s="3" t="n"/>
      <c r="C845" s="3" t="n"/>
      <c r="D845" s="4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5">
        <f>IF(Q845&lt;&gt;"是","排除",IF(OR(L845="",M845=""),"",IF(OR(L845="未知",M845="未知"),"未知",IF(AND(L845="真",M845="真"),"TP",IF(AND(L845="真",M845="假"),"FP",IF(AND(L845="假",M845="真"),"FN","TN"))))))</f>
        <v/>
      </c>
      <c r="S845" s="3" t="n"/>
      <c r="T845" s="3" t="n"/>
      <c r="U845" s="3" t="n"/>
      <c r="V845" s="3" t="n"/>
    </row>
    <row r="846">
      <c r="A846" s="3" t="n"/>
      <c r="B846" s="3" t="n"/>
      <c r="C846" s="3" t="n"/>
      <c r="D846" s="4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5">
        <f>IF(Q846&lt;&gt;"是","排除",IF(OR(L846="",M846=""),"",IF(OR(L846="未知",M846="未知"),"未知",IF(AND(L846="真",M846="真"),"TP",IF(AND(L846="真",M846="假"),"FP",IF(AND(L846="假",M846="真"),"FN","TN"))))))</f>
        <v/>
      </c>
      <c r="S846" s="3" t="n"/>
      <c r="T846" s="3" t="n"/>
      <c r="U846" s="3" t="n"/>
      <c r="V846" s="3" t="n"/>
    </row>
    <row r="847">
      <c r="A847" s="3" t="n"/>
      <c r="B847" s="3" t="n"/>
      <c r="C847" s="3" t="n"/>
      <c r="D847" s="4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5">
        <f>IF(Q847&lt;&gt;"是","排除",IF(OR(L847="",M847=""),"",IF(OR(L847="未知",M847="未知"),"未知",IF(AND(L847="真",M847="真"),"TP",IF(AND(L847="真",M847="假"),"FP",IF(AND(L847="假",M847="真"),"FN","TN"))))))</f>
        <v/>
      </c>
      <c r="S847" s="3" t="n"/>
      <c r="T847" s="3" t="n"/>
      <c r="U847" s="3" t="n"/>
      <c r="V847" s="3" t="n"/>
    </row>
    <row r="848">
      <c r="A848" s="3" t="n"/>
      <c r="B848" s="3" t="n"/>
      <c r="C848" s="3" t="n"/>
      <c r="D848" s="4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5">
        <f>IF(Q848&lt;&gt;"是","排除",IF(OR(L848="",M848=""),"",IF(OR(L848="未知",M848="未知"),"未知",IF(AND(L848="真",M848="真"),"TP",IF(AND(L848="真",M848="假"),"FP",IF(AND(L848="假",M848="真"),"FN","TN"))))))</f>
        <v/>
      </c>
      <c r="S848" s="3" t="n"/>
      <c r="T848" s="3" t="n"/>
      <c r="U848" s="3" t="n"/>
      <c r="V848" s="3" t="n"/>
    </row>
    <row r="849">
      <c r="A849" s="3" t="n"/>
      <c r="B849" s="3" t="n"/>
      <c r="C849" s="3" t="n"/>
      <c r="D849" s="4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5">
        <f>IF(Q849&lt;&gt;"是","排除",IF(OR(L849="",M849=""),"",IF(OR(L849="未知",M849="未知"),"未知",IF(AND(L849="真",M849="真"),"TP",IF(AND(L849="真",M849="假"),"FP",IF(AND(L849="假",M849="真"),"FN","TN"))))))</f>
        <v/>
      </c>
      <c r="S849" s="3" t="n"/>
      <c r="T849" s="3" t="n"/>
      <c r="U849" s="3" t="n"/>
      <c r="V849" s="3" t="n"/>
    </row>
    <row r="850">
      <c r="A850" s="3" t="n"/>
      <c r="B850" s="3" t="n"/>
      <c r="C850" s="3" t="n"/>
      <c r="D850" s="4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5">
        <f>IF(Q850&lt;&gt;"是","排除",IF(OR(L850="",M850=""),"",IF(OR(L850="未知",M850="未知"),"未知",IF(AND(L850="真",M850="真"),"TP",IF(AND(L850="真",M850="假"),"FP",IF(AND(L850="假",M850="真"),"FN","TN"))))))</f>
        <v/>
      </c>
      <c r="S850" s="3" t="n"/>
      <c r="T850" s="3" t="n"/>
      <c r="U850" s="3" t="n"/>
      <c r="V850" s="3" t="n"/>
    </row>
    <row r="851">
      <c r="A851" s="3" t="n"/>
      <c r="B851" s="3" t="n"/>
      <c r="C851" s="3" t="n"/>
      <c r="D851" s="4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5">
        <f>IF(Q851&lt;&gt;"是","排除",IF(OR(L851="",M851=""),"",IF(OR(L851="未知",M851="未知"),"未知",IF(AND(L851="真",M851="真"),"TP",IF(AND(L851="真",M851="假"),"FP",IF(AND(L851="假",M851="真"),"FN","TN"))))))</f>
        <v/>
      </c>
      <c r="S851" s="3" t="n"/>
      <c r="T851" s="3" t="n"/>
      <c r="U851" s="3" t="n"/>
      <c r="V851" s="3" t="n"/>
    </row>
    <row r="852">
      <c r="A852" s="3" t="n"/>
      <c r="B852" s="3" t="n"/>
      <c r="C852" s="3" t="n"/>
      <c r="D852" s="4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5">
        <f>IF(Q852&lt;&gt;"是","排除",IF(OR(L852="",M852=""),"",IF(OR(L852="未知",M852="未知"),"未知",IF(AND(L852="真",M852="真"),"TP",IF(AND(L852="真",M852="假"),"FP",IF(AND(L852="假",M852="真"),"FN","TN"))))))</f>
        <v/>
      </c>
      <c r="S852" s="3" t="n"/>
      <c r="T852" s="3" t="n"/>
      <c r="U852" s="3" t="n"/>
      <c r="V852" s="3" t="n"/>
    </row>
    <row r="853">
      <c r="A853" s="3" t="n"/>
      <c r="B853" s="3" t="n"/>
      <c r="C853" s="3" t="n"/>
      <c r="D853" s="4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5">
        <f>IF(Q853&lt;&gt;"是","排除",IF(OR(L853="",M853=""),"",IF(OR(L853="未知",M853="未知"),"未知",IF(AND(L853="真",M853="真"),"TP",IF(AND(L853="真",M853="假"),"FP",IF(AND(L853="假",M853="真"),"FN","TN"))))))</f>
        <v/>
      </c>
      <c r="S853" s="3" t="n"/>
      <c r="T853" s="3" t="n"/>
      <c r="U853" s="3" t="n"/>
      <c r="V853" s="3" t="n"/>
    </row>
    <row r="854">
      <c r="A854" s="3" t="n"/>
      <c r="B854" s="3" t="n"/>
      <c r="C854" s="3" t="n"/>
      <c r="D854" s="4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5">
        <f>IF(Q854&lt;&gt;"是","排除",IF(OR(L854="",M854=""),"",IF(OR(L854="未知",M854="未知"),"未知",IF(AND(L854="真",M854="真"),"TP",IF(AND(L854="真",M854="假"),"FP",IF(AND(L854="假",M854="真"),"FN","TN"))))))</f>
        <v/>
      </c>
      <c r="S854" s="3" t="n"/>
      <c r="T854" s="3" t="n"/>
      <c r="U854" s="3" t="n"/>
      <c r="V854" s="3" t="n"/>
    </row>
    <row r="855">
      <c r="A855" s="3" t="n"/>
      <c r="B855" s="3" t="n"/>
      <c r="C855" s="3" t="n"/>
      <c r="D855" s="4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5">
        <f>IF(Q855&lt;&gt;"是","排除",IF(OR(L855="",M855=""),"",IF(OR(L855="未知",M855="未知"),"未知",IF(AND(L855="真",M855="真"),"TP",IF(AND(L855="真",M855="假"),"FP",IF(AND(L855="假",M855="真"),"FN","TN"))))))</f>
        <v/>
      </c>
      <c r="S855" s="3" t="n"/>
      <c r="T855" s="3" t="n"/>
      <c r="U855" s="3" t="n"/>
      <c r="V855" s="3" t="n"/>
    </row>
    <row r="856">
      <c r="A856" s="3" t="n"/>
      <c r="B856" s="3" t="n"/>
      <c r="C856" s="3" t="n"/>
      <c r="D856" s="4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5">
        <f>IF(Q856&lt;&gt;"是","排除",IF(OR(L856="",M856=""),"",IF(OR(L856="未知",M856="未知"),"未知",IF(AND(L856="真",M856="真"),"TP",IF(AND(L856="真",M856="假"),"FP",IF(AND(L856="假",M856="真"),"FN","TN"))))))</f>
        <v/>
      </c>
      <c r="S856" s="3" t="n"/>
      <c r="T856" s="3" t="n"/>
      <c r="U856" s="3" t="n"/>
      <c r="V856" s="3" t="n"/>
    </row>
    <row r="857">
      <c r="A857" s="3" t="n"/>
      <c r="B857" s="3" t="n"/>
      <c r="C857" s="3" t="n"/>
      <c r="D857" s="4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5">
        <f>IF(Q857&lt;&gt;"是","排除",IF(OR(L857="",M857=""),"",IF(OR(L857="未知",M857="未知"),"未知",IF(AND(L857="真",M857="真"),"TP",IF(AND(L857="真",M857="假"),"FP",IF(AND(L857="假",M857="真"),"FN","TN"))))))</f>
        <v/>
      </c>
      <c r="S857" s="3" t="n"/>
      <c r="T857" s="3" t="n"/>
      <c r="U857" s="3" t="n"/>
      <c r="V857" s="3" t="n"/>
    </row>
    <row r="858">
      <c r="A858" s="3" t="n"/>
      <c r="B858" s="3" t="n"/>
      <c r="C858" s="3" t="n"/>
      <c r="D858" s="4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5">
        <f>IF(Q858&lt;&gt;"是","排除",IF(OR(L858="",M858=""),"",IF(OR(L858="未知",M858="未知"),"未知",IF(AND(L858="真",M858="真"),"TP",IF(AND(L858="真",M858="假"),"FP",IF(AND(L858="假",M858="真"),"FN","TN"))))))</f>
        <v/>
      </c>
      <c r="S858" s="3" t="n"/>
      <c r="T858" s="3" t="n"/>
      <c r="U858" s="3" t="n"/>
      <c r="V858" s="3" t="n"/>
    </row>
    <row r="859">
      <c r="A859" s="3" t="n"/>
      <c r="B859" s="3" t="n"/>
      <c r="C859" s="3" t="n"/>
      <c r="D859" s="4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5">
        <f>IF(Q859&lt;&gt;"是","排除",IF(OR(L859="",M859=""),"",IF(OR(L859="未知",M859="未知"),"未知",IF(AND(L859="真",M859="真"),"TP",IF(AND(L859="真",M859="假"),"FP",IF(AND(L859="假",M859="真"),"FN","TN"))))))</f>
        <v/>
      </c>
      <c r="S859" s="3" t="n"/>
      <c r="T859" s="3" t="n"/>
      <c r="U859" s="3" t="n"/>
      <c r="V859" s="3" t="n"/>
    </row>
    <row r="860">
      <c r="A860" s="3" t="n"/>
      <c r="B860" s="3" t="n"/>
      <c r="C860" s="3" t="n"/>
      <c r="D860" s="4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5">
        <f>IF(Q860&lt;&gt;"是","排除",IF(OR(L860="",M860=""),"",IF(OR(L860="未知",M860="未知"),"未知",IF(AND(L860="真",M860="真"),"TP",IF(AND(L860="真",M860="假"),"FP",IF(AND(L860="假",M860="真"),"FN","TN"))))))</f>
        <v/>
      </c>
      <c r="S860" s="3" t="n"/>
      <c r="T860" s="3" t="n"/>
      <c r="U860" s="3" t="n"/>
      <c r="V860" s="3" t="n"/>
    </row>
    <row r="861">
      <c r="A861" s="3" t="n"/>
      <c r="B861" s="3" t="n"/>
      <c r="C861" s="3" t="n"/>
      <c r="D861" s="4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5">
        <f>IF(Q861&lt;&gt;"是","排除",IF(OR(L861="",M861=""),"",IF(OR(L861="未知",M861="未知"),"未知",IF(AND(L861="真",M861="真"),"TP",IF(AND(L861="真",M861="假"),"FP",IF(AND(L861="假",M861="真"),"FN","TN"))))))</f>
        <v/>
      </c>
      <c r="S861" s="3" t="n"/>
      <c r="T861" s="3" t="n"/>
      <c r="U861" s="3" t="n"/>
      <c r="V861" s="3" t="n"/>
    </row>
    <row r="862">
      <c r="A862" s="3" t="n"/>
      <c r="B862" s="3" t="n"/>
      <c r="C862" s="3" t="n"/>
      <c r="D862" s="4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5">
        <f>IF(Q862&lt;&gt;"是","排除",IF(OR(L862="",M862=""),"",IF(OR(L862="未知",M862="未知"),"未知",IF(AND(L862="真",M862="真"),"TP",IF(AND(L862="真",M862="假"),"FP",IF(AND(L862="假",M862="真"),"FN","TN"))))))</f>
        <v/>
      </c>
      <c r="S862" s="3" t="n"/>
      <c r="T862" s="3" t="n"/>
      <c r="U862" s="3" t="n"/>
      <c r="V862" s="3" t="n"/>
    </row>
    <row r="863">
      <c r="A863" s="3" t="n"/>
      <c r="B863" s="3" t="n"/>
      <c r="C863" s="3" t="n"/>
      <c r="D863" s="4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5">
        <f>IF(Q863&lt;&gt;"是","排除",IF(OR(L863="",M863=""),"",IF(OR(L863="未知",M863="未知"),"未知",IF(AND(L863="真",M863="真"),"TP",IF(AND(L863="真",M863="假"),"FP",IF(AND(L863="假",M863="真"),"FN","TN"))))))</f>
        <v/>
      </c>
      <c r="S863" s="3" t="n"/>
      <c r="T863" s="3" t="n"/>
      <c r="U863" s="3" t="n"/>
      <c r="V863" s="3" t="n"/>
    </row>
    <row r="864">
      <c r="A864" s="3" t="n"/>
      <c r="B864" s="3" t="n"/>
      <c r="C864" s="3" t="n"/>
      <c r="D864" s="4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5">
        <f>IF(Q864&lt;&gt;"是","排除",IF(OR(L864="",M864=""),"",IF(OR(L864="未知",M864="未知"),"未知",IF(AND(L864="真",M864="真"),"TP",IF(AND(L864="真",M864="假"),"FP",IF(AND(L864="假",M864="真"),"FN","TN"))))))</f>
        <v/>
      </c>
      <c r="S864" s="3" t="n"/>
      <c r="T864" s="3" t="n"/>
      <c r="U864" s="3" t="n"/>
      <c r="V864" s="3" t="n"/>
    </row>
    <row r="865">
      <c r="A865" s="3" t="n"/>
      <c r="B865" s="3" t="n"/>
      <c r="C865" s="3" t="n"/>
      <c r="D865" s="4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5">
        <f>IF(Q865&lt;&gt;"是","排除",IF(OR(L865="",M865=""),"",IF(OR(L865="未知",M865="未知"),"未知",IF(AND(L865="真",M865="真"),"TP",IF(AND(L865="真",M865="假"),"FP",IF(AND(L865="假",M865="真"),"FN","TN"))))))</f>
        <v/>
      </c>
      <c r="S865" s="3" t="n"/>
      <c r="T865" s="3" t="n"/>
      <c r="U865" s="3" t="n"/>
      <c r="V865" s="3" t="n"/>
    </row>
    <row r="866">
      <c r="A866" s="3" t="n"/>
      <c r="B866" s="3" t="n"/>
      <c r="C866" s="3" t="n"/>
      <c r="D866" s="4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5">
        <f>IF(Q866&lt;&gt;"是","排除",IF(OR(L866="",M866=""),"",IF(OR(L866="未知",M866="未知"),"未知",IF(AND(L866="真",M866="真"),"TP",IF(AND(L866="真",M866="假"),"FP",IF(AND(L866="假",M866="真"),"FN","TN"))))))</f>
        <v/>
      </c>
      <c r="S866" s="3" t="n"/>
      <c r="T866" s="3" t="n"/>
      <c r="U866" s="3" t="n"/>
      <c r="V866" s="3" t="n"/>
    </row>
    <row r="867">
      <c r="A867" s="3" t="n"/>
      <c r="B867" s="3" t="n"/>
      <c r="C867" s="3" t="n"/>
      <c r="D867" s="4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5">
        <f>IF(Q867&lt;&gt;"是","排除",IF(OR(L867="",M867=""),"",IF(OR(L867="未知",M867="未知"),"未知",IF(AND(L867="真",M867="真"),"TP",IF(AND(L867="真",M867="假"),"FP",IF(AND(L867="假",M867="真"),"FN","TN"))))))</f>
        <v/>
      </c>
      <c r="S867" s="3" t="n"/>
      <c r="T867" s="3" t="n"/>
      <c r="U867" s="3" t="n"/>
      <c r="V867" s="3" t="n"/>
    </row>
    <row r="868">
      <c r="A868" s="3" t="n"/>
      <c r="B868" s="3" t="n"/>
      <c r="C868" s="3" t="n"/>
      <c r="D868" s="4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5">
        <f>IF(Q868&lt;&gt;"是","排除",IF(OR(L868="",M868=""),"",IF(OR(L868="未知",M868="未知"),"未知",IF(AND(L868="真",M868="真"),"TP",IF(AND(L868="真",M868="假"),"FP",IF(AND(L868="假",M868="真"),"FN","TN"))))))</f>
        <v/>
      </c>
      <c r="S868" s="3" t="n"/>
      <c r="T868" s="3" t="n"/>
      <c r="U868" s="3" t="n"/>
      <c r="V868" s="3" t="n"/>
    </row>
    <row r="869">
      <c r="A869" s="3" t="n"/>
      <c r="B869" s="3" t="n"/>
      <c r="C869" s="3" t="n"/>
      <c r="D869" s="4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5">
        <f>IF(Q869&lt;&gt;"是","排除",IF(OR(L869="",M869=""),"",IF(OR(L869="未知",M869="未知"),"未知",IF(AND(L869="真",M869="真"),"TP",IF(AND(L869="真",M869="假"),"FP",IF(AND(L869="假",M869="真"),"FN","TN"))))))</f>
        <v/>
      </c>
      <c r="S869" s="3" t="n"/>
      <c r="T869" s="3" t="n"/>
      <c r="U869" s="3" t="n"/>
      <c r="V869" s="3" t="n"/>
    </row>
    <row r="870">
      <c r="A870" s="3" t="n"/>
      <c r="B870" s="3" t="n"/>
      <c r="C870" s="3" t="n"/>
      <c r="D870" s="4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5">
        <f>IF(Q870&lt;&gt;"是","排除",IF(OR(L870="",M870=""),"",IF(OR(L870="未知",M870="未知"),"未知",IF(AND(L870="真",M870="真"),"TP",IF(AND(L870="真",M870="假"),"FP",IF(AND(L870="假",M870="真"),"FN","TN"))))))</f>
        <v/>
      </c>
      <c r="S870" s="3" t="n"/>
      <c r="T870" s="3" t="n"/>
      <c r="U870" s="3" t="n"/>
      <c r="V870" s="3" t="n"/>
    </row>
    <row r="871">
      <c r="A871" s="3" t="n"/>
      <c r="B871" s="3" t="n"/>
      <c r="C871" s="3" t="n"/>
      <c r="D871" s="4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5">
        <f>IF(Q871&lt;&gt;"是","排除",IF(OR(L871="",M871=""),"",IF(OR(L871="未知",M871="未知"),"未知",IF(AND(L871="真",M871="真"),"TP",IF(AND(L871="真",M871="假"),"FP",IF(AND(L871="假",M871="真"),"FN","TN"))))))</f>
        <v/>
      </c>
      <c r="S871" s="3" t="n"/>
      <c r="T871" s="3" t="n"/>
      <c r="U871" s="3" t="n"/>
      <c r="V871" s="3" t="n"/>
    </row>
    <row r="872">
      <c r="A872" s="3" t="n"/>
      <c r="B872" s="3" t="n"/>
      <c r="C872" s="3" t="n"/>
      <c r="D872" s="4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5">
        <f>IF(Q872&lt;&gt;"是","排除",IF(OR(L872="",M872=""),"",IF(OR(L872="未知",M872="未知"),"未知",IF(AND(L872="真",M872="真"),"TP",IF(AND(L872="真",M872="假"),"FP",IF(AND(L872="假",M872="真"),"FN","TN"))))))</f>
        <v/>
      </c>
      <c r="S872" s="3" t="n"/>
      <c r="T872" s="3" t="n"/>
      <c r="U872" s="3" t="n"/>
      <c r="V872" s="3" t="n"/>
    </row>
    <row r="873">
      <c r="A873" s="3" t="n"/>
      <c r="B873" s="3" t="n"/>
      <c r="C873" s="3" t="n"/>
      <c r="D873" s="4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5">
        <f>IF(Q873&lt;&gt;"是","排除",IF(OR(L873="",M873=""),"",IF(OR(L873="未知",M873="未知"),"未知",IF(AND(L873="真",M873="真"),"TP",IF(AND(L873="真",M873="假"),"FP",IF(AND(L873="假",M873="真"),"FN","TN"))))))</f>
        <v/>
      </c>
      <c r="S873" s="3" t="n"/>
      <c r="T873" s="3" t="n"/>
      <c r="U873" s="3" t="n"/>
      <c r="V873" s="3" t="n"/>
    </row>
    <row r="874">
      <c r="A874" s="3" t="n"/>
      <c r="B874" s="3" t="n"/>
      <c r="C874" s="3" t="n"/>
      <c r="D874" s="4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5">
        <f>IF(Q874&lt;&gt;"是","排除",IF(OR(L874="",M874=""),"",IF(OR(L874="未知",M874="未知"),"未知",IF(AND(L874="真",M874="真"),"TP",IF(AND(L874="真",M874="假"),"FP",IF(AND(L874="假",M874="真"),"FN","TN"))))))</f>
        <v/>
      </c>
      <c r="S874" s="3" t="n"/>
      <c r="T874" s="3" t="n"/>
      <c r="U874" s="3" t="n"/>
      <c r="V874" s="3" t="n"/>
    </row>
    <row r="875">
      <c r="A875" s="3" t="n"/>
      <c r="B875" s="3" t="n"/>
      <c r="C875" s="3" t="n"/>
      <c r="D875" s="4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5">
        <f>IF(Q875&lt;&gt;"是","排除",IF(OR(L875="",M875=""),"",IF(OR(L875="未知",M875="未知"),"未知",IF(AND(L875="真",M875="真"),"TP",IF(AND(L875="真",M875="假"),"FP",IF(AND(L875="假",M875="真"),"FN","TN"))))))</f>
        <v/>
      </c>
      <c r="S875" s="3" t="n"/>
      <c r="T875" s="3" t="n"/>
      <c r="U875" s="3" t="n"/>
      <c r="V875" s="3" t="n"/>
    </row>
    <row r="876">
      <c r="A876" s="3" t="n"/>
      <c r="B876" s="3" t="n"/>
      <c r="C876" s="3" t="n"/>
      <c r="D876" s="4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5">
        <f>IF(Q876&lt;&gt;"是","排除",IF(OR(L876="",M876=""),"",IF(OR(L876="未知",M876="未知"),"未知",IF(AND(L876="真",M876="真"),"TP",IF(AND(L876="真",M876="假"),"FP",IF(AND(L876="假",M876="真"),"FN","TN"))))))</f>
        <v/>
      </c>
      <c r="S876" s="3" t="n"/>
      <c r="T876" s="3" t="n"/>
      <c r="U876" s="3" t="n"/>
      <c r="V876" s="3" t="n"/>
    </row>
    <row r="877">
      <c r="A877" s="3" t="n"/>
      <c r="B877" s="3" t="n"/>
      <c r="C877" s="3" t="n"/>
      <c r="D877" s="4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5">
        <f>IF(Q877&lt;&gt;"是","排除",IF(OR(L877="",M877=""),"",IF(OR(L877="未知",M877="未知"),"未知",IF(AND(L877="真",M877="真"),"TP",IF(AND(L877="真",M877="假"),"FP",IF(AND(L877="假",M877="真"),"FN","TN"))))))</f>
        <v/>
      </c>
      <c r="S877" s="3" t="n"/>
      <c r="T877" s="3" t="n"/>
      <c r="U877" s="3" t="n"/>
      <c r="V877" s="3" t="n"/>
    </row>
    <row r="878">
      <c r="A878" s="3" t="n"/>
      <c r="B878" s="3" t="n"/>
      <c r="C878" s="3" t="n"/>
      <c r="D878" s="4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5">
        <f>IF(Q878&lt;&gt;"是","排除",IF(OR(L878="",M878=""),"",IF(OR(L878="未知",M878="未知"),"未知",IF(AND(L878="真",M878="真"),"TP",IF(AND(L878="真",M878="假"),"FP",IF(AND(L878="假",M878="真"),"FN","TN"))))))</f>
        <v/>
      </c>
      <c r="S878" s="3" t="n"/>
      <c r="T878" s="3" t="n"/>
      <c r="U878" s="3" t="n"/>
      <c r="V878" s="3" t="n"/>
    </row>
    <row r="879">
      <c r="A879" s="3" t="n"/>
      <c r="B879" s="3" t="n"/>
      <c r="C879" s="3" t="n"/>
      <c r="D879" s="4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5">
        <f>IF(Q879&lt;&gt;"是","排除",IF(OR(L879="",M879=""),"",IF(OR(L879="未知",M879="未知"),"未知",IF(AND(L879="真",M879="真"),"TP",IF(AND(L879="真",M879="假"),"FP",IF(AND(L879="假",M879="真"),"FN","TN"))))))</f>
        <v/>
      </c>
      <c r="S879" s="3" t="n"/>
      <c r="T879" s="3" t="n"/>
      <c r="U879" s="3" t="n"/>
      <c r="V879" s="3" t="n"/>
    </row>
    <row r="880">
      <c r="A880" s="3" t="n"/>
      <c r="B880" s="3" t="n"/>
      <c r="C880" s="3" t="n"/>
      <c r="D880" s="4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5">
        <f>IF(Q880&lt;&gt;"是","排除",IF(OR(L880="",M880=""),"",IF(OR(L880="未知",M880="未知"),"未知",IF(AND(L880="真",M880="真"),"TP",IF(AND(L880="真",M880="假"),"FP",IF(AND(L880="假",M880="真"),"FN","TN"))))))</f>
        <v/>
      </c>
      <c r="S880" s="3" t="n"/>
      <c r="T880" s="3" t="n"/>
      <c r="U880" s="3" t="n"/>
      <c r="V880" s="3" t="n"/>
    </row>
    <row r="881">
      <c r="A881" s="3" t="n"/>
      <c r="B881" s="3" t="n"/>
      <c r="C881" s="3" t="n"/>
      <c r="D881" s="4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5">
        <f>IF(Q881&lt;&gt;"是","排除",IF(OR(L881="",M881=""),"",IF(OR(L881="未知",M881="未知"),"未知",IF(AND(L881="真",M881="真"),"TP",IF(AND(L881="真",M881="假"),"FP",IF(AND(L881="假",M881="真"),"FN","TN"))))))</f>
        <v/>
      </c>
      <c r="S881" s="3" t="n"/>
      <c r="T881" s="3" t="n"/>
      <c r="U881" s="3" t="n"/>
      <c r="V881" s="3" t="n"/>
    </row>
    <row r="882">
      <c r="A882" s="3" t="n"/>
      <c r="B882" s="3" t="n"/>
      <c r="C882" s="3" t="n"/>
      <c r="D882" s="4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5">
        <f>IF(Q882&lt;&gt;"是","排除",IF(OR(L882="",M882=""),"",IF(OR(L882="未知",M882="未知"),"未知",IF(AND(L882="真",M882="真"),"TP",IF(AND(L882="真",M882="假"),"FP",IF(AND(L882="假",M882="真"),"FN","TN"))))))</f>
        <v/>
      </c>
      <c r="S882" s="3" t="n"/>
      <c r="T882" s="3" t="n"/>
      <c r="U882" s="3" t="n"/>
      <c r="V882" s="3" t="n"/>
    </row>
    <row r="883">
      <c r="A883" s="3" t="n"/>
      <c r="B883" s="3" t="n"/>
      <c r="C883" s="3" t="n"/>
      <c r="D883" s="4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5">
        <f>IF(Q883&lt;&gt;"是","排除",IF(OR(L883="",M883=""),"",IF(OR(L883="未知",M883="未知"),"未知",IF(AND(L883="真",M883="真"),"TP",IF(AND(L883="真",M883="假"),"FP",IF(AND(L883="假",M883="真"),"FN","TN"))))))</f>
        <v/>
      </c>
      <c r="S883" s="3" t="n"/>
      <c r="T883" s="3" t="n"/>
      <c r="U883" s="3" t="n"/>
      <c r="V883" s="3" t="n"/>
    </row>
    <row r="884">
      <c r="A884" s="3" t="n"/>
      <c r="B884" s="3" t="n"/>
      <c r="C884" s="3" t="n"/>
      <c r="D884" s="4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5">
        <f>IF(Q884&lt;&gt;"是","排除",IF(OR(L884="",M884=""),"",IF(OR(L884="未知",M884="未知"),"未知",IF(AND(L884="真",M884="真"),"TP",IF(AND(L884="真",M884="假"),"FP",IF(AND(L884="假",M884="真"),"FN","TN"))))))</f>
        <v/>
      </c>
      <c r="S884" s="3" t="n"/>
      <c r="T884" s="3" t="n"/>
      <c r="U884" s="3" t="n"/>
      <c r="V884" s="3" t="n"/>
    </row>
    <row r="885">
      <c r="A885" s="3" t="n"/>
      <c r="B885" s="3" t="n"/>
      <c r="C885" s="3" t="n"/>
      <c r="D885" s="4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5">
        <f>IF(Q885&lt;&gt;"是","排除",IF(OR(L885="",M885=""),"",IF(OR(L885="未知",M885="未知"),"未知",IF(AND(L885="真",M885="真"),"TP",IF(AND(L885="真",M885="假"),"FP",IF(AND(L885="假",M885="真"),"FN","TN"))))))</f>
        <v/>
      </c>
      <c r="S885" s="3" t="n"/>
      <c r="T885" s="3" t="n"/>
      <c r="U885" s="3" t="n"/>
      <c r="V885" s="3" t="n"/>
    </row>
    <row r="886">
      <c r="A886" s="3" t="n"/>
      <c r="B886" s="3" t="n"/>
      <c r="C886" s="3" t="n"/>
      <c r="D886" s="4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5">
        <f>IF(Q886&lt;&gt;"是","排除",IF(OR(L886="",M886=""),"",IF(OR(L886="未知",M886="未知"),"未知",IF(AND(L886="真",M886="真"),"TP",IF(AND(L886="真",M886="假"),"FP",IF(AND(L886="假",M886="真"),"FN","TN"))))))</f>
        <v/>
      </c>
      <c r="S886" s="3" t="n"/>
      <c r="T886" s="3" t="n"/>
      <c r="U886" s="3" t="n"/>
      <c r="V886" s="3" t="n"/>
    </row>
    <row r="887">
      <c r="A887" s="3" t="n"/>
      <c r="B887" s="3" t="n"/>
      <c r="C887" s="3" t="n"/>
      <c r="D887" s="4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5">
        <f>IF(Q887&lt;&gt;"是","排除",IF(OR(L887="",M887=""),"",IF(OR(L887="未知",M887="未知"),"未知",IF(AND(L887="真",M887="真"),"TP",IF(AND(L887="真",M887="假"),"FP",IF(AND(L887="假",M887="真"),"FN","TN"))))))</f>
        <v/>
      </c>
      <c r="S887" s="3" t="n"/>
      <c r="T887" s="3" t="n"/>
      <c r="U887" s="3" t="n"/>
      <c r="V887" s="3" t="n"/>
    </row>
    <row r="888">
      <c r="A888" s="3" t="n"/>
      <c r="B888" s="3" t="n"/>
      <c r="C888" s="3" t="n"/>
      <c r="D888" s="4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5">
        <f>IF(Q888&lt;&gt;"是","排除",IF(OR(L888="",M888=""),"",IF(OR(L888="未知",M888="未知"),"未知",IF(AND(L888="真",M888="真"),"TP",IF(AND(L888="真",M888="假"),"FP",IF(AND(L888="假",M888="真"),"FN","TN"))))))</f>
        <v/>
      </c>
      <c r="S888" s="3" t="n"/>
      <c r="T888" s="3" t="n"/>
      <c r="U888" s="3" t="n"/>
      <c r="V888" s="3" t="n"/>
    </row>
    <row r="889">
      <c r="A889" s="3" t="n"/>
      <c r="B889" s="3" t="n"/>
      <c r="C889" s="3" t="n"/>
      <c r="D889" s="4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5">
        <f>IF(Q889&lt;&gt;"是","排除",IF(OR(L889="",M889=""),"",IF(OR(L889="未知",M889="未知"),"未知",IF(AND(L889="真",M889="真"),"TP",IF(AND(L889="真",M889="假"),"FP",IF(AND(L889="假",M889="真"),"FN","TN"))))))</f>
        <v/>
      </c>
      <c r="S889" s="3" t="n"/>
      <c r="T889" s="3" t="n"/>
      <c r="U889" s="3" t="n"/>
      <c r="V889" s="3" t="n"/>
    </row>
    <row r="890">
      <c r="A890" s="3" t="n"/>
      <c r="B890" s="3" t="n"/>
      <c r="C890" s="3" t="n"/>
      <c r="D890" s="4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5">
        <f>IF(Q890&lt;&gt;"是","排除",IF(OR(L890="",M890=""),"",IF(OR(L890="未知",M890="未知"),"未知",IF(AND(L890="真",M890="真"),"TP",IF(AND(L890="真",M890="假"),"FP",IF(AND(L890="假",M890="真"),"FN","TN"))))))</f>
        <v/>
      </c>
      <c r="S890" s="3" t="n"/>
      <c r="T890" s="3" t="n"/>
      <c r="U890" s="3" t="n"/>
      <c r="V890" s="3" t="n"/>
    </row>
    <row r="891">
      <c r="A891" s="3" t="n"/>
      <c r="B891" s="3" t="n"/>
      <c r="C891" s="3" t="n"/>
      <c r="D891" s="4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5">
        <f>IF(Q891&lt;&gt;"是","排除",IF(OR(L891="",M891=""),"",IF(OR(L891="未知",M891="未知"),"未知",IF(AND(L891="真",M891="真"),"TP",IF(AND(L891="真",M891="假"),"FP",IF(AND(L891="假",M891="真"),"FN","TN"))))))</f>
        <v/>
      </c>
      <c r="S891" s="3" t="n"/>
      <c r="T891" s="3" t="n"/>
      <c r="U891" s="3" t="n"/>
      <c r="V891" s="3" t="n"/>
    </row>
    <row r="892">
      <c r="A892" s="3" t="n"/>
      <c r="B892" s="3" t="n"/>
      <c r="C892" s="3" t="n"/>
      <c r="D892" s="4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5">
        <f>IF(Q892&lt;&gt;"是","排除",IF(OR(L892="",M892=""),"",IF(OR(L892="未知",M892="未知"),"未知",IF(AND(L892="真",M892="真"),"TP",IF(AND(L892="真",M892="假"),"FP",IF(AND(L892="假",M892="真"),"FN","TN"))))))</f>
        <v/>
      </c>
      <c r="S892" s="3" t="n"/>
      <c r="T892" s="3" t="n"/>
      <c r="U892" s="3" t="n"/>
      <c r="V892" s="3" t="n"/>
    </row>
    <row r="893">
      <c r="A893" s="3" t="n"/>
      <c r="B893" s="3" t="n"/>
      <c r="C893" s="3" t="n"/>
      <c r="D893" s="4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5">
        <f>IF(Q893&lt;&gt;"是","排除",IF(OR(L893="",M893=""),"",IF(OR(L893="未知",M893="未知"),"未知",IF(AND(L893="真",M893="真"),"TP",IF(AND(L893="真",M893="假"),"FP",IF(AND(L893="假",M893="真"),"FN","TN"))))))</f>
        <v/>
      </c>
      <c r="S893" s="3" t="n"/>
      <c r="T893" s="3" t="n"/>
      <c r="U893" s="3" t="n"/>
      <c r="V893" s="3" t="n"/>
    </row>
    <row r="894">
      <c r="A894" s="3" t="n"/>
      <c r="B894" s="3" t="n"/>
      <c r="C894" s="3" t="n"/>
      <c r="D894" s="4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5">
        <f>IF(Q894&lt;&gt;"是","排除",IF(OR(L894="",M894=""),"",IF(OR(L894="未知",M894="未知"),"未知",IF(AND(L894="真",M894="真"),"TP",IF(AND(L894="真",M894="假"),"FP",IF(AND(L894="假",M894="真"),"FN","TN"))))))</f>
        <v/>
      </c>
      <c r="S894" s="3" t="n"/>
      <c r="T894" s="3" t="n"/>
      <c r="U894" s="3" t="n"/>
      <c r="V894" s="3" t="n"/>
    </row>
    <row r="895">
      <c r="A895" s="3" t="n"/>
      <c r="B895" s="3" t="n"/>
      <c r="C895" s="3" t="n"/>
      <c r="D895" s="4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5">
        <f>IF(Q895&lt;&gt;"是","排除",IF(OR(L895="",M895=""),"",IF(OR(L895="未知",M895="未知"),"未知",IF(AND(L895="真",M895="真"),"TP",IF(AND(L895="真",M895="假"),"FP",IF(AND(L895="假",M895="真"),"FN","TN"))))))</f>
        <v/>
      </c>
      <c r="S895" s="3" t="n"/>
      <c r="T895" s="3" t="n"/>
      <c r="U895" s="3" t="n"/>
      <c r="V895" s="3" t="n"/>
    </row>
    <row r="896">
      <c r="A896" s="3" t="n"/>
      <c r="B896" s="3" t="n"/>
      <c r="C896" s="3" t="n"/>
      <c r="D896" s="4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5">
        <f>IF(Q896&lt;&gt;"是","排除",IF(OR(L896="",M896=""),"",IF(OR(L896="未知",M896="未知"),"未知",IF(AND(L896="真",M896="真"),"TP",IF(AND(L896="真",M896="假"),"FP",IF(AND(L896="假",M896="真"),"FN","TN"))))))</f>
        <v/>
      </c>
      <c r="S896" s="3" t="n"/>
      <c r="T896" s="3" t="n"/>
      <c r="U896" s="3" t="n"/>
      <c r="V896" s="3" t="n"/>
    </row>
    <row r="897">
      <c r="A897" s="3" t="n"/>
      <c r="B897" s="3" t="n"/>
      <c r="C897" s="3" t="n"/>
      <c r="D897" s="4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5">
        <f>IF(Q897&lt;&gt;"是","排除",IF(OR(L897="",M897=""),"",IF(OR(L897="未知",M897="未知"),"未知",IF(AND(L897="真",M897="真"),"TP",IF(AND(L897="真",M897="假"),"FP",IF(AND(L897="假",M897="真"),"FN","TN"))))))</f>
        <v/>
      </c>
      <c r="S897" s="3" t="n"/>
      <c r="T897" s="3" t="n"/>
      <c r="U897" s="3" t="n"/>
      <c r="V897" s="3" t="n"/>
    </row>
    <row r="898">
      <c r="A898" s="3" t="n"/>
      <c r="B898" s="3" t="n"/>
      <c r="C898" s="3" t="n"/>
      <c r="D898" s="4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5">
        <f>IF(Q898&lt;&gt;"是","排除",IF(OR(L898="",M898=""),"",IF(OR(L898="未知",M898="未知"),"未知",IF(AND(L898="真",M898="真"),"TP",IF(AND(L898="真",M898="假"),"FP",IF(AND(L898="假",M898="真"),"FN","TN"))))))</f>
        <v/>
      </c>
      <c r="S898" s="3" t="n"/>
      <c r="T898" s="3" t="n"/>
      <c r="U898" s="3" t="n"/>
      <c r="V898" s="3" t="n"/>
    </row>
    <row r="899">
      <c r="A899" s="3" t="n"/>
      <c r="B899" s="3" t="n"/>
      <c r="C899" s="3" t="n"/>
      <c r="D899" s="4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5">
        <f>IF(Q899&lt;&gt;"是","排除",IF(OR(L899="",M899=""),"",IF(OR(L899="未知",M899="未知"),"未知",IF(AND(L899="真",M899="真"),"TP",IF(AND(L899="真",M899="假"),"FP",IF(AND(L899="假",M899="真"),"FN","TN"))))))</f>
        <v/>
      </c>
      <c r="S899" s="3" t="n"/>
      <c r="T899" s="3" t="n"/>
      <c r="U899" s="3" t="n"/>
      <c r="V899" s="3" t="n"/>
    </row>
    <row r="900">
      <c r="A900" s="3" t="n"/>
      <c r="B900" s="3" t="n"/>
      <c r="C900" s="3" t="n"/>
      <c r="D900" s="4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5">
        <f>IF(Q900&lt;&gt;"是","排除",IF(OR(L900="",M900=""),"",IF(OR(L900="未知",M900="未知"),"未知",IF(AND(L900="真",M900="真"),"TP",IF(AND(L900="真",M900="假"),"FP",IF(AND(L900="假",M900="真"),"FN","TN"))))))</f>
        <v/>
      </c>
      <c r="S900" s="3" t="n"/>
      <c r="T900" s="3" t="n"/>
      <c r="U900" s="3" t="n"/>
      <c r="V900" s="3" t="n"/>
    </row>
    <row r="901">
      <c r="A901" s="3" t="n"/>
      <c r="B901" s="3" t="n"/>
      <c r="C901" s="3" t="n"/>
      <c r="D901" s="4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5">
        <f>IF(Q901&lt;&gt;"是","排除",IF(OR(L901="",M901=""),"",IF(OR(L901="未知",M901="未知"),"未知",IF(AND(L901="真",M901="真"),"TP",IF(AND(L901="真",M901="假"),"FP",IF(AND(L901="假",M901="真"),"FN","TN"))))))</f>
        <v/>
      </c>
      <c r="S901" s="3" t="n"/>
      <c r="T901" s="3" t="n"/>
      <c r="U901" s="3" t="n"/>
      <c r="V901" s="3" t="n"/>
    </row>
    <row r="902">
      <c r="A902" s="3" t="n"/>
      <c r="B902" s="3" t="n"/>
      <c r="C902" s="3" t="n"/>
      <c r="D902" s="4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5">
        <f>IF(Q902&lt;&gt;"是","排除",IF(OR(L902="",M902=""),"",IF(OR(L902="未知",M902="未知"),"未知",IF(AND(L902="真",M902="真"),"TP",IF(AND(L902="真",M902="假"),"FP",IF(AND(L902="假",M902="真"),"FN","TN"))))))</f>
        <v/>
      </c>
      <c r="S902" s="3" t="n"/>
      <c r="T902" s="3" t="n"/>
      <c r="U902" s="3" t="n"/>
      <c r="V902" s="3" t="n"/>
    </row>
    <row r="903">
      <c r="A903" s="3" t="n"/>
      <c r="B903" s="3" t="n"/>
      <c r="C903" s="3" t="n"/>
      <c r="D903" s="4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5">
        <f>IF(Q903&lt;&gt;"是","排除",IF(OR(L903="",M903=""),"",IF(OR(L903="未知",M903="未知"),"未知",IF(AND(L903="真",M903="真"),"TP",IF(AND(L903="真",M903="假"),"FP",IF(AND(L903="假",M903="真"),"FN","TN"))))))</f>
        <v/>
      </c>
      <c r="S903" s="3" t="n"/>
      <c r="T903" s="3" t="n"/>
      <c r="U903" s="3" t="n"/>
      <c r="V903" s="3" t="n"/>
    </row>
    <row r="904">
      <c r="A904" s="3" t="n"/>
      <c r="B904" s="3" t="n"/>
      <c r="C904" s="3" t="n"/>
      <c r="D904" s="4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5">
        <f>IF(Q904&lt;&gt;"是","排除",IF(OR(L904="",M904=""),"",IF(OR(L904="未知",M904="未知"),"未知",IF(AND(L904="真",M904="真"),"TP",IF(AND(L904="真",M904="假"),"FP",IF(AND(L904="假",M904="真"),"FN","TN"))))))</f>
        <v/>
      </c>
      <c r="S904" s="3" t="n"/>
      <c r="T904" s="3" t="n"/>
      <c r="U904" s="3" t="n"/>
      <c r="V904" s="3" t="n"/>
    </row>
    <row r="905">
      <c r="A905" s="3" t="n"/>
      <c r="B905" s="3" t="n"/>
      <c r="C905" s="3" t="n"/>
      <c r="D905" s="4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5">
        <f>IF(Q905&lt;&gt;"是","排除",IF(OR(L905="",M905=""),"",IF(OR(L905="未知",M905="未知"),"未知",IF(AND(L905="真",M905="真"),"TP",IF(AND(L905="真",M905="假"),"FP",IF(AND(L905="假",M905="真"),"FN","TN"))))))</f>
        <v/>
      </c>
      <c r="S905" s="3" t="n"/>
      <c r="T905" s="3" t="n"/>
      <c r="U905" s="3" t="n"/>
      <c r="V905" s="3" t="n"/>
    </row>
    <row r="906">
      <c r="A906" s="3" t="n"/>
      <c r="B906" s="3" t="n"/>
      <c r="C906" s="3" t="n"/>
      <c r="D906" s="4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5">
        <f>IF(Q906&lt;&gt;"是","排除",IF(OR(L906="",M906=""),"",IF(OR(L906="未知",M906="未知"),"未知",IF(AND(L906="真",M906="真"),"TP",IF(AND(L906="真",M906="假"),"FP",IF(AND(L906="假",M906="真"),"FN","TN"))))))</f>
        <v/>
      </c>
      <c r="S906" s="3" t="n"/>
      <c r="T906" s="3" t="n"/>
      <c r="U906" s="3" t="n"/>
      <c r="V906" s="3" t="n"/>
    </row>
    <row r="907">
      <c r="A907" s="3" t="n"/>
      <c r="B907" s="3" t="n"/>
      <c r="C907" s="3" t="n"/>
      <c r="D907" s="4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5">
        <f>IF(Q907&lt;&gt;"是","排除",IF(OR(L907="",M907=""),"",IF(OR(L907="未知",M907="未知"),"未知",IF(AND(L907="真",M907="真"),"TP",IF(AND(L907="真",M907="假"),"FP",IF(AND(L907="假",M907="真"),"FN","TN"))))))</f>
        <v/>
      </c>
      <c r="S907" s="3" t="n"/>
      <c r="T907" s="3" t="n"/>
      <c r="U907" s="3" t="n"/>
      <c r="V907" s="3" t="n"/>
    </row>
    <row r="908">
      <c r="A908" s="3" t="n"/>
      <c r="B908" s="3" t="n"/>
      <c r="C908" s="3" t="n"/>
      <c r="D908" s="4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5">
        <f>IF(Q908&lt;&gt;"是","排除",IF(OR(L908="",M908=""),"",IF(OR(L908="未知",M908="未知"),"未知",IF(AND(L908="真",M908="真"),"TP",IF(AND(L908="真",M908="假"),"FP",IF(AND(L908="假",M908="真"),"FN","TN"))))))</f>
        <v/>
      </c>
      <c r="S908" s="3" t="n"/>
      <c r="T908" s="3" t="n"/>
      <c r="U908" s="3" t="n"/>
      <c r="V908" s="3" t="n"/>
    </row>
    <row r="909">
      <c r="A909" s="3" t="n"/>
      <c r="B909" s="3" t="n"/>
      <c r="C909" s="3" t="n"/>
      <c r="D909" s="4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5">
        <f>IF(Q909&lt;&gt;"是","排除",IF(OR(L909="",M909=""),"",IF(OR(L909="未知",M909="未知"),"未知",IF(AND(L909="真",M909="真"),"TP",IF(AND(L909="真",M909="假"),"FP",IF(AND(L909="假",M909="真"),"FN","TN"))))))</f>
        <v/>
      </c>
      <c r="S909" s="3" t="n"/>
      <c r="T909" s="3" t="n"/>
      <c r="U909" s="3" t="n"/>
      <c r="V909" s="3" t="n"/>
    </row>
    <row r="910">
      <c r="A910" s="3" t="n"/>
      <c r="B910" s="3" t="n"/>
      <c r="C910" s="3" t="n"/>
      <c r="D910" s="4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5">
        <f>IF(Q910&lt;&gt;"是","排除",IF(OR(L910="",M910=""),"",IF(OR(L910="未知",M910="未知"),"未知",IF(AND(L910="真",M910="真"),"TP",IF(AND(L910="真",M910="假"),"FP",IF(AND(L910="假",M910="真"),"FN","TN"))))))</f>
        <v/>
      </c>
      <c r="S910" s="3" t="n"/>
      <c r="T910" s="3" t="n"/>
      <c r="U910" s="3" t="n"/>
      <c r="V910" s="3" t="n"/>
    </row>
    <row r="911">
      <c r="A911" s="3" t="n"/>
      <c r="B911" s="3" t="n"/>
      <c r="C911" s="3" t="n"/>
      <c r="D911" s="4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5">
        <f>IF(Q911&lt;&gt;"是","排除",IF(OR(L911="",M911=""),"",IF(OR(L911="未知",M911="未知"),"未知",IF(AND(L911="真",M911="真"),"TP",IF(AND(L911="真",M911="假"),"FP",IF(AND(L911="假",M911="真"),"FN","TN"))))))</f>
        <v/>
      </c>
      <c r="S911" s="3" t="n"/>
      <c r="T911" s="3" t="n"/>
      <c r="U911" s="3" t="n"/>
      <c r="V911" s="3" t="n"/>
    </row>
    <row r="912">
      <c r="A912" s="3" t="n"/>
      <c r="B912" s="3" t="n"/>
      <c r="C912" s="3" t="n"/>
      <c r="D912" s="4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5">
        <f>IF(Q912&lt;&gt;"是","排除",IF(OR(L912="",M912=""),"",IF(OR(L912="未知",M912="未知"),"未知",IF(AND(L912="真",M912="真"),"TP",IF(AND(L912="真",M912="假"),"FP",IF(AND(L912="假",M912="真"),"FN","TN"))))))</f>
        <v/>
      </c>
      <c r="S912" s="3" t="n"/>
      <c r="T912" s="3" t="n"/>
      <c r="U912" s="3" t="n"/>
      <c r="V912" s="3" t="n"/>
    </row>
    <row r="913">
      <c r="A913" s="3" t="n"/>
      <c r="B913" s="3" t="n"/>
      <c r="C913" s="3" t="n"/>
      <c r="D913" s="4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5">
        <f>IF(Q913&lt;&gt;"是","排除",IF(OR(L913="",M913=""),"",IF(OR(L913="未知",M913="未知"),"未知",IF(AND(L913="真",M913="真"),"TP",IF(AND(L913="真",M913="假"),"FP",IF(AND(L913="假",M913="真"),"FN","TN"))))))</f>
        <v/>
      </c>
      <c r="S913" s="3" t="n"/>
      <c r="T913" s="3" t="n"/>
      <c r="U913" s="3" t="n"/>
      <c r="V913" s="3" t="n"/>
    </row>
    <row r="914">
      <c r="A914" s="3" t="n"/>
      <c r="B914" s="3" t="n"/>
      <c r="C914" s="3" t="n"/>
      <c r="D914" s="4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5">
        <f>IF(Q914&lt;&gt;"是","排除",IF(OR(L914="",M914=""),"",IF(OR(L914="未知",M914="未知"),"未知",IF(AND(L914="真",M914="真"),"TP",IF(AND(L914="真",M914="假"),"FP",IF(AND(L914="假",M914="真"),"FN","TN"))))))</f>
        <v/>
      </c>
      <c r="S914" s="3" t="n"/>
      <c r="T914" s="3" t="n"/>
      <c r="U914" s="3" t="n"/>
      <c r="V914" s="3" t="n"/>
    </row>
    <row r="915">
      <c r="A915" s="3" t="n"/>
      <c r="B915" s="3" t="n"/>
      <c r="C915" s="3" t="n"/>
      <c r="D915" s="4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5">
        <f>IF(Q915&lt;&gt;"是","排除",IF(OR(L915="",M915=""),"",IF(OR(L915="未知",M915="未知"),"未知",IF(AND(L915="真",M915="真"),"TP",IF(AND(L915="真",M915="假"),"FP",IF(AND(L915="假",M915="真"),"FN","TN"))))))</f>
        <v/>
      </c>
      <c r="S915" s="3" t="n"/>
      <c r="T915" s="3" t="n"/>
      <c r="U915" s="3" t="n"/>
      <c r="V915" s="3" t="n"/>
    </row>
    <row r="916">
      <c r="A916" s="3" t="n"/>
      <c r="B916" s="3" t="n"/>
      <c r="C916" s="3" t="n"/>
      <c r="D916" s="4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5">
        <f>IF(Q916&lt;&gt;"是","排除",IF(OR(L916="",M916=""),"",IF(OR(L916="未知",M916="未知"),"未知",IF(AND(L916="真",M916="真"),"TP",IF(AND(L916="真",M916="假"),"FP",IF(AND(L916="假",M916="真"),"FN","TN"))))))</f>
        <v/>
      </c>
      <c r="S916" s="3" t="n"/>
      <c r="T916" s="3" t="n"/>
      <c r="U916" s="3" t="n"/>
      <c r="V916" s="3" t="n"/>
    </row>
    <row r="917">
      <c r="A917" s="3" t="n"/>
      <c r="B917" s="3" t="n"/>
      <c r="C917" s="3" t="n"/>
      <c r="D917" s="4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5">
        <f>IF(Q917&lt;&gt;"是","排除",IF(OR(L917="",M917=""),"",IF(OR(L917="未知",M917="未知"),"未知",IF(AND(L917="真",M917="真"),"TP",IF(AND(L917="真",M917="假"),"FP",IF(AND(L917="假",M917="真"),"FN","TN"))))))</f>
        <v/>
      </c>
      <c r="S917" s="3" t="n"/>
      <c r="T917" s="3" t="n"/>
      <c r="U917" s="3" t="n"/>
      <c r="V917" s="3" t="n"/>
    </row>
    <row r="918">
      <c r="A918" s="3" t="n"/>
      <c r="B918" s="3" t="n"/>
      <c r="C918" s="3" t="n"/>
      <c r="D918" s="4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5">
        <f>IF(Q918&lt;&gt;"是","排除",IF(OR(L918="",M918=""),"",IF(OR(L918="未知",M918="未知"),"未知",IF(AND(L918="真",M918="真"),"TP",IF(AND(L918="真",M918="假"),"FP",IF(AND(L918="假",M918="真"),"FN","TN"))))))</f>
        <v/>
      </c>
      <c r="S918" s="3" t="n"/>
      <c r="T918" s="3" t="n"/>
      <c r="U918" s="3" t="n"/>
      <c r="V918" s="3" t="n"/>
    </row>
    <row r="919">
      <c r="A919" s="3" t="n"/>
      <c r="B919" s="3" t="n"/>
      <c r="C919" s="3" t="n"/>
      <c r="D919" s="4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5">
        <f>IF(Q919&lt;&gt;"是","排除",IF(OR(L919="",M919=""),"",IF(OR(L919="未知",M919="未知"),"未知",IF(AND(L919="真",M919="真"),"TP",IF(AND(L919="真",M919="假"),"FP",IF(AND(L919="假",M919="真"),"FN","TN"))))))</f>
        <v/>
      </c>
      <c r="S919" s="3" t="n"/>
      <c r="T919" s="3" t="n"/>
      <c r="U919" s="3" t="n"/>
      <c r="V919" s="3" t="n"/>
    </row>
    <row r="920">
      <c r="A920" s="3" t="n"/>
      <c r="B920" s="3" t="n"/>
      <c r="C920" s="3" t="n"/>
      <c r="D920" s="4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5">
        <f>IF(Q920&lt;&gt;"是","排除",IF(OR(L920="",M920=""),"",IF(OR(L920="未知",M920="未知"),"未知",IF(AND(L920="真",M920="真"),"TP",IF(AND(L920="真",M920="假"),"FP",IF(AND(L920="假",M920="真"),"FN","TN"))))))</f>
        <v/>
      </c>
      <c r="S920" s="3" t="n"/>
      <c r="T920" s="3" t="n"/>
      <c r="U920" s="3" t="n"/>
      <c r="V920" s="3" t="n"/>
    </row>
    <row r="921">
      <c r="A921" s="3" t="n"/>
      <c r="B921" s="3" t="n"/>
      <c r="C921" s="3" t="n"/>
      <c r="D921" s="4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5">
        <f>IF(Q921&lt;&gt;"是","排除",IF(OR(L921="",M921=""),"",IF(OR(L921="未知",M921="未知"),"未知",IF(AND(L921="真",M921="真"),"TP",IF(AND(L921="真",M921="假"),"FP",IF(AND(L921="假",M921="真"),"FN","TN"))))))</f>
        <v/>
      </c>
      <c r="S921" s="3" t="n"/>
      <c r="T921" s="3" t="n"/>
      <c r="U921" s="3" t="n"/>
      <c r="V921" s="3" t="n"/>
    </row>
    <row r="922">
      <c r="A922" s="3" t="n"/>
      <c r="B922" s="3" t="n"/>
      <c r="C922" s="3" t="n"/>
      <c r="D922" s="4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5">
        <f>IF(Q922&lt;&gt;"是","排除",IF(OR(L922="",M922=""),"",IF(OR(L922="未知",M922="未知"),"未知",IF(AND(L922="真",M922="真"),"TP",IF(AND(L922="真",M922="假"),"FP",IF(AND(L922="假",M922="真"),"FN","TN"))))))</f>
        <v/>
      </c>
      <c r="S922" s="3" t="n"/>
      <c r="T922" s="3" t="n"/>
      <c r="U922" s="3" t="n"/>
      <c r="V922" s="3" t="n"/>
    </row>
    <row r="923">
      <c r="A923" s="3" t="n"/>
      <c r="B923" s="3" t="n"/>
      <c r="C923" s="3" t="n"/>
      <c r="D923" s="4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5">
        <f>IF(Q923&lt;&gt;"是","排除",IF(OR(L923="",M923=""),"",IF(OR(L923="未知",M923="未知"),"未知",IF(AND(L923="真",M923="真"),"TP",IF(AND(L923="真",M923="假"),"FP",IF(AND(L923="假",M923="真"),"FN","TN"))))))</f>
        <v/>
      </c>
      <c r="S923" s="3" t="n"/>
      <c r="T923" s="3" t="n"/>
      <c r="U923" s="3" t="n"/>
      <c r="V923" s="3" t="n"/>
    </row>
    <row r="924">
      <c r="A924" s="3" t="n"/>
      <c r="B924" s="3" t="n"/>
      <c r="C924" s="3" t="n"/>
      <c r="D924" s="4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5">
        <f>IF(Q924&lt;&gt;"是","排除",IF(OR(L924="",M924=""),"",IF(OR(L924="未知",M924="未知"),"未知",IF(AND(L924="真",M924="真"),"TP",IF(AND(L924="真",M924="假"),"FP",IF(AND(L924="假",M924="真"),"FN","TN"))))))</f>
        <v/>
      </c>
      <c r="S924" s="3" t="n"/>
      <c r="T924" s="3" t="n"/>
      <c r="U924" s="3" t="n"/>
      <c r="V924" s="3" t="n"/>
    </row>
    <row r="925">
      <c r="A925" s="3" t="n"/>
      <c r="B925" s="3" t="n"/>
      <c r="C925" s="3" t="n"/>
      <c r="D925" s="4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5">
        <f>IF(Q925&lt;&gt;"是","排除",IF(OR(L925="",M925=""),"",IF(OR(L925="未知",M925="未知"),"未知",IF(AND(L925="真",M925="真"),"TP",IF(AND(L925="真",M925="假"),"FP",IF(AND(L925="假",M925="真"),"FN","TN"))))))</f>
        <v/>
      </c>
      <c r="S925" s="3" t="n"/>
      <c r="T925" s="3" t="n"/>
      <c r="U925" s="3" t="n"/>
      <c r="V925" s="3" t="n"/>
    </row>
    <row r="926">
      <c r="A926" s="3" t="n"/>
      <c r="B926" s="3" t="n"/>
      <c r="C926" s="3" t="n"/>
      <c r="D926" s="4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5">
        <f>IF(Q926&lt;&gt;"是","排除",IF(OR(L926="",M926=""),"",IF(OR(L926="未知",M926="未知"),"未知",IF(AND(L926="真",M926="真"),"TP",IF(AND(L926="真",M926="假"),"FP",IF(AND(L926="假",M926="真"),"FN","TN"))))))</f>
        <v/>
      </c>
      <c r="S926" s="3" t="n"/>
      <c r="T926" s="3" t="n"/>
      <c r="U926" s="3" t="n"/>
      <c r="V926" s="3" t="n"/>
    </row>
    <row r="927">
      <c r="A927" s="3" t="n"/>
      <c r="B927" s="3" t="n"/>
      <c r="C927" s="3" t="n"/>
      <c r="D927" s="4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5">
        <f>IF(Q927&lt;&gt;"是","排除",IF(OR(L927="",M927=""),"",IF(OR(L927="未知",M927="未知"),"未知",IF(AND(L927="真",M927="真"),"TP",IF(AND(L927="真",M927="假"),"FP",IF(AND(L927="假",M927="真"),"FN","TN"))))))</f>
        <v/>
      </c>
      <c r="S927" s="3" t="n"/>
      <c r="T927" s="3" t="n"/>
      <c r="U927" s="3" t="n"/>
      <c r="V927" s="3" t="n"/>
    </row>
    <row r="928">
      <c r="A928" s="3" t="n"/>
      <c r="B928" s="3" t="n"/>
      <c r="C928" s="3" t="n"/>
      <c r="D928" s="4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5">
        <f>IF(Q928&lt;&gt;"是","排除",IF(OR(L928="",M928=""),"",IF(OR(L928="未知",M928="未知"),"未知",IF(AND(L928="真",M928="真"),"TP",IF(AND(L928="真",M928="假"),"FP",IF(AND(L928="假",M928="真"),"FN","TN"))))))</f>
        <v/>
      </c>
      <c r="S928" s="3" t="n"/>
      <c r="T928" s="3" t="n"/>
      <c r="U928" s="3" t="n"/>
      <c r="V928" s="3" t="n"/>
    </row>
    <row r="929">
      <c r="A929" s="3" t="n"/>
      <c r="B929" s="3" t="n"/>
      <c r="C929" s="3" t="n"/>
      <c r="D929" s="4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5">
        <f>IF(Q929&lt;&gt;"是","排除",IF(OR(L929="",M929=""),"",IF(OR(L929="未知",M929="未知"),"未知",IF(AND(L929="真",M929="真"),"TP",IF(AND(L929="真",M929="假"),"FP",IF(AND(L929="假",M929="真"),"FN","TN"))))))</f>
        <v/>
      </c>
      <c r="S929" s="3" t="n"/>
      <c r="T929" s="3" t="n"/>
      <c r="U929" s="3" t="n"/>
      <c r="V929" s="3" t="n"/>
    </row>
    <row r="930">
      <c r="A930" s="3" t="n"/>
      <c r="B930" s="3" t="n"/>
      <c r="C930" s="3" t="n"/>
      <c r="D930" s="4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5">
        <f>IF(Q930&lt;&gt;"是","排除",IF(OR(L930="",M930=""),"",IF(OR(L930="未知",M930="未知"),"未知",IF(AND(L930="真",M930="真"),"TP",IF(AND(L930="真",M930="假"),"FP",IF(AND(L930="假",M930="真"),"FN","TN"))))))</f>
        <v/>
      </c>
      <c r="S930" s="3" t="n"/>
      <c r="T930" s="3" t="n"/>
      <c r="U930" s="3" t="n"/>
      <c r="V930" s="3" t="n"/>
    </row>
    <row r="931">
      <c r="A931" s="3" t="n"/>
      <c r="B931" s="3" t="n"/>
      <c r="C931" s="3" t="n"/>
      <c r="D931" s="4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5">
        <f>IF(Q931&lt;&gt;"是","排除",IF(OR(L931="",M931=""),"",IF(OR(L931="未知",M931="未知"),"未知",IF(AND(L931="真",M931="真"),"TP",IF(AND(L931="真",M931="假"),"FP",IF(AND(L931="假",M931="真"),"FN","TN"))))))</f>
        <v/>
      </c>
      <c r="S931" s="3" t="n"/>
      <c r="T931" s="3" t="n"/>
      <c r="U931" s="3" t="n"/>
      <c r="V931" s="3" t="n"/>
    </row>
    <row r="932">
      <c r="A932" s="3" t="n"/>
      <c r="B932" s="3" t="n"/>
      <c r="C932" s="3" t="n"/>
      <c r="D932" s="4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5">
        <f>IF(Q932&lt;&gt;"是","排除",IF(OR(L932="",M932=""),"",IF(OR(L932="未知",M932="未知"),"未知",IF(AND(L932="真",M932="真"),"TP",IF(AND(L932="真",M932="假"),"FP",IF(AND(L932="假",M932="真"),"FN","TN"))))))</f>
        <v/>
      </c>
      <c r="S932" s="3" t="n"/>
      <c r="T932" s="3" t="n"/>
      <c r="U932" s="3" t="n"/>
      <c r="V932" s="3" t="n"/>
    </row>
    <row r="933">
      <c r="A933" s="3" t="n"/>
      <c r="B933" s="3" t="n"/>
      <c r="C933" s="3" t="n"/>
      <c r="D933" s="4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5">
        <f>IF(Q933&lt;&gt;"是","排除",IF(OR(L933="",M933=""),"",IF(OR(L933="未知",M933="未知"),"未知",IF(AND(L933="真",M933="真"),"TP",IF(AND(L933="真",M933="假"),"FP",IF(AND(L933="假",M933="真"),"FN","TN"))))))</f>
        <v/>
      </c>
      <c r="S933" s="3" t="n"/>
      <c r="T933" s="3" t="n"/>
      <c r="U933" s="3" t="n"/>
      <c r="V933" s="3" t="n"/>
    </row>
    <row r="934">
      <c r="A934" s="3" t="n"/>
      <c r="B934" s="3" t="n"/>
      <c r="C934" s="3" t="n"/>
      <c r="D934" s="4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5">
        <f>IF(Q934&lt;&gt;"是","排除",IF(OR(L934="",M934=""),"",IF(OR(L934="未知",M934="未知"),"未知",IF(AND(L934="真",M934="真"),"TP",IF(AND(L934="真",M934="假"),"FP",IF(AND(L934="假",M934="真"),"FN","TN"))))))</f>
        <v/>
      </c>
      <c r="S934" s="3" t="n"/>
      <c r="T934" s="3" t="n"/>
      <c r="U934" s="3" t="n"/>
      <c r="V934" s="3" t="n"/>
    </row>
    <row r="935">
      <c r="A935" s="3" t="n"/>
      <c r="B935" s="3" t="n"/>
      <c r="C935" s="3" t="n"/>
      <c r="D935" s="4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5">
        <f>IF(Q935&lt;&gt;"是","排除",IF(OR(L935="",M935=""),"",IF(OR(L935="未知",M935="未知"),"未知",IF(AND(L935="真",M935="真"),"TP",IF(AND(L935="真",M935="假"),"FP",IF(AND(L935="假",M935="真"),"FN","TN"))))))</f>
        <v/>
      </c>
      <c r="S935" s="3" t="n"/>
      <c r="T935" s="3" t="n"/>
      <c r="U935" s="3" t="n"/>
      <c r="V935" s="3" t="n"/>
    </row>
    <row r="936">
      <c r="A936" s="3" t="n"/>
      <c r="B936" s="3" t="n"/>
      <c r="C936" s="3" t="n"/>
      <c r="D936" s="4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5">
        <f>IF(Q936&lt;&gt;"是","排除",IF(OR(L936="",M936=""),"",IF(OR(L936="未知",M936="未知"),"未知",IF(AND(L936="真",M936="真"),"TP",IF(AND(L936="真",M936="假"),"FP",IF(AND(L936="假",M936="真"),"FN","TN"))))))</f>
        <v/>
      </c>
      <c r="S936" s="3" t="n"/>
      <c r="T936" s="3" t="n"/>
      <c r="U936" s="3" t="n"/>
      <c r="V936" s="3" t="n"/>
    </row>
    <row r="937">
      <c r="A937" s="3" t="n"/>
      <c r="B937" s="3" t="n"/>
      <c r="C937" s="3" t="n"/>
      <c r="D937" s="4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5">
        <f>IF(Q937&lt;&gt;"是","排除",IF(OR(L937="",M937=""),"",IF(OR(L937="未知",M937="未知"),"未知",IF(AND(L937="真",M937="真"),"TP",IF(AND(L937="真",M937="假"),"FP",IF(AND(L937="假",M937="真"),"FN","TN"))))))</f>
        <v/>
      </c>
      <c r="S937" s="3" t="n"/>
      <c r="T937" s="3" t="n"/>
      <c r="U937" s="3" t="n"/>
      <c r="V937" s="3" t="n"/>
    </row>
    <row r="938">
      <c r="A938" s="3" t="n"/>
      <c r="B938" s="3" t="n"/>
      <c r="C938" s="3" t="n"/>
      <c r="D938" s="4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5">
        <f>IF(Q938&lt;&gt;"是","排除",IF(OR(L938="",M938=""),"",IF(OR(L938="未知",M938="未知"),"未知",IF(AND(L938="真",M938="真"),"TP",IF(AND(L938="真",M938="假"),"FP",IF(AND(L938="假",M938="真"),"FN","TN"))))))</f>
        <v/>
      </c>
      <c r="S938" s="3" t="n"/>
      <c r="T938" s="3" t="n"/>
      <c r="U938" s="3" t="n"/>
      <c r="V938" s="3" t="n"/>
    </row>
    <row r="939">
      <c r="A939" s="3" t="n"/>
      <c r="B939" s="3" t="n"/>
      <c r="C939" s="3" t="n"/>
      <c r="D939" s="4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5">
        <f>IF(Q939&lt;&gt;"是","排除",IF(OR(L939="",M939=""),"",IF(OR(L939="未知",M939="未知"),"未知",IF(AND(L939="真",M939="真"),"TP",IF(AND(L939="真",M939="假"),"FP",IF(AND(L939="假",M939="真"),"FN","TN"))))))</f>
        <v/>
      </c>
      <c r="S939" s="3" t="n"/>
      <c r="T939" s="3" t="n"/>
      <c r="U939" s="3" t="n"/>
      <c r="V939" s="3" t="n"/>
    </row>
    <row r="940">
      <c r="A940" s="3" t="n"/>
      <c r="B940" s="3" t="n"/>
      <c r="C940" s="3" t="n"/>
      <c r="D940" s="4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5">
        <f>IF(Q940&lt;&gt;"是","排除",IF(OR(L940="",M940=""),"",IF(OR(L940="未知",M940="未知"),"未知",IF(AND(L940="真",M940="真"),"TP",IF(AND(L940="真",M940="假"),"FP",IF(AND(L940="假",M940="真"),"FN","TN"))))))</f>
        <v/>
      </c>
      <c r="S940" s="3" t="n"/>
      <c r="T940" s="3" t="n"/>
      <c r="U940" s="3" t="n"/>
      <c r="V940" s="3" t="n"/>
    </row>
    <row r="941">
      <c r="A941" s="3" t="n"/>
      <c r="B941" s="3" t="n"/>
      <c r="C941" s="3" t="n"/>
      <c r="D941" s="4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5">
        <f>IF(Q941&lt;&gt;"是","排除",IF(OR(L941="",M941=""),"",IF(OR(L941="未知",M941="未知"),"未知",IF(AND(L941="真",M941="真"),"TP",IF(AND(L941="真",M941="假"),"FP",IF(AND(L941="假",M941="真"),"FN","TN"))))))</f>
        <v/>
      </c>
      <c r="S941" s="3" t="n"/>
      <c r="T941" s="3" t="n"/>
      <c r="U941" s="3" t="n"/>
      <c r="V941" s="3" t="n"/>
    </row>
    <row r="942">
      <c r="A942" s="3" t="n"/>
      <c r="B942" s="3" t="n"/>
      <c r="C942" s="3" t="n"/>
      <c r="D942" s="4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5">
        <f>IF(Q942&lt;&gt;"是","排除",IF(OR(L942="",M942=""),"",IF(OR(L942="未知",M942="未知"),"未知",IF(AND(L942="真",M942="真"),"TP",IF(AND(L942="真",M942="假"),"FP",IF(AND(L942="假",M942="真"),"FN","TN"))))))</f>
        <v/>
      </c>
      <c r="S942" s="3" t="n"/>
      <c r="T942" s="3" t="n"/>
      <c r="U942" s="3" t="n"/>
      <c r="V942" s="3" t="n"/>
    </row>
    <row r="943">
      <c r="A943" s="3" t="n"/>
      <c r="B943" s="3" t="n"/>
      <c r="C943" s="3" t="n"/>
      <c r="D943" s="4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5">
        <f>IF(Q943&lt;&gt;"是","排除",IF(OR(L943="",M943=""),"",IF(OR(L943="未知",M943="未知"),"未知",IF(AND(L943="真",M943="真"),"TP",IF(AND(L943="真",M943="假"),"FP",IF(AND(L943="假",M943="真"),"FN","TN"))))))</f>
        <v/>
      </c>
      <c r="S943" s="3" t="n"/>
      <c r="T943" s="3" t="n"/>
      <c r="U943" s="3" t="n"/>
      <c r="V943" s="3" t="n"/>
    </row>
    <row r="944">
      <c r="A944" s="3" t="n"/>
      <c r="B944" s="3" t="n"/>
      <c r="C944" s="3" t="n"/>
      <c r="D944" s="4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5">
        <f>IF(Q944&lt;&gt;"是","排除",IF(OR(L944="",M944=""),"",IF(OR(L944="未知",M944="未知"),"未知",IF(AND(L944="真",M944="真"),"TP",IF(AND(L944="真",M944="假"),"FP",IF(AND(L944="假",M944="真"),"FN","TN"))))))</f>
        <v/>
      </c>
      <c r="S944" s="3" t="n"/>
      <c r="T944" s="3" t="n"/>
      <c r="U944" s="3" t="n"/>
      <c r="V944" s="3" t="n"/>
    </row>
    <row r="945">
      <c r="A945" s="3" t="n"/>
      <c r="B945" s="3" t="n"/>
      <c r="C945" s="3" t="n"/>
      <c r="D945" s="4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5">
        <f>IF(Q945&lt;&gt;"是","排除",IF(OR(L945="",M945=""),"",IF(OR(L945="未知",M945="未知"),"未知",IF(AND(L945="真",M945="真"),"TP",IF(AND(L945="真",M945="假"),"FP",IF(AND(L945="假",M945="真"),"FN","TN"))))))</f>
        <v/>
      </c>
      <c r="S945" s="3" t="n"/>
      <c r="T945" s="3" t="n"/>
      <c r="U945" s="3" t="n"/>
      <c r="V945" s="3" t="n"/>
    </row>
    <row r="946">
      <c r="A946" s="3" t="n"/>
      <c r="B946" s="3" t="n"/>
      <c r="C946" s="3" t="n"/>
      <c r="D946" s="4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5">
        <f>IF(Q946&lt;&gt;"是","排除",IF(OR(L946="",M946=""),"",IF(OR(L946="未知",M946="未知"),"未知",IF(AND(L946="真",M946="真"),"TP",IF(AND(L946="真",M946="假"),"FP",IF(AND(L946="假",M946="真"),"FN","TN"))))))</f>
        <v/>
      </c>
      <c r="S946" s="3" t="n"/>
      <c r="T946" s="3" t="n"/>
      <c r="U946" s="3" t="n"/>
      <c r="V946" s="3" t="n"/>
    </row>
    <row r="947">
      <c r="A947" s="3" t="n"/>
      <c r="B947" s="3" t="n"/>
      <c r="C947" s="3" t="n"/>
      <c r="D947" s="4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5">
        <f>IF(Q947&lt;&gt;"是","排除",IF(OR(L947="",M947=""),"",IF(OR(L947="未知",M947="未知"),"未知",IF(AND(L947="真",M947="真"),"TP",IF(AND(L947="真",M947="假"),"FP",IF(AND(L947="假",M947="真"),"FN","TN"))))))</f>
        <v/>
      </c>
      <c r="S947" s="3" t="n"/>
      <c r="T947" s="3" t="n"/>
      <c r="U947" s="3" t="n"/>
      <c r="V947" s="3" t="n"/>
    </row>
    <row r="948">
      <c r="A948" s="3" t="n"/>
      <c r="B948" s="3" t="n"/>
      <c r="C948" s="3" t="n"/>
      <c r="D948" s="4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5">
        <f>IF(Q948&lt;&gt;"是","排除",IF(OR(L948="",M948=""),"",IF(OR(L948="未知",M948="未知"),"未知",IF(AND(L948="真",M948="真"),"TP",IF(AND(L948="真",M948="假"),"FP",IF(AND(L948="假",M948="真"),"FN","TN"))))))</f>
        <v/>
      </c>
      <c r="S948" s="3" t="n"/>
      <c r="T948" s="3" t="n"/>
      <c r="U948" s="3" t="n"/>
      <c r="V948" s="3" t="n"/>
    </row>
    <row r="949">
      <c r="A949" s="3" t="n"/>
      <c r="B949" s="3" t="n"/>
      <c r="C949" s="3" t="n"/>
      <c r="D949" s="4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5">
        <f>IF(Q949&lt;&gt;"是","排除",IF(OR(L949="",M949=""),"",IF(OR(L949="未知",M949="未知"),"未知",IF(AND(L949="真",M949="真"),"TP",IF(AND(L949="真",M949="假"),"FP",IF(AND(L949="假",M949="真"),"FN","TN"))))))</f>
        <v/>
      </c>
      <c r="S949" s="3" t="n"/>
      <c r="T949" s="3" t="n"/>
      <c r="U949" s="3" t="n"/>
      <c r="V949" s="3" t="n"/>
    </row>
    <row r="950">
      <c r="A950" s="3" t="n"/>
      <c r="B950" s="3" t="n"/>
      <c r="C950" s="3" t="n"/>
      <c r="D950" s="4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5">
        <f>IF(Q950&lt;&gt;"是","排除",IF(OR(L950="",M950=""),"",IF(OR(L950="未知",M950="未知"),"未知",IF(AND(L950="真",M950="真"),"TP",IF(AND(L950="真",M950="假"),"FP",IF(AND(L950="假",M950="真"),"FN","TN"))))))</f>
        <v/>
      </c>
      <c r="S950" s="3" t="n"/>
      <c r="T950" s="3" t="n"/>
      <c r="U950" s="3" t="n"/>
      <c r="V950" s="3" t="n"/>
    </row>
    <row r="951">
      <c r="A951" s="3" t="n"/>
      <c r="B951" s="3" t="n"/>
      <c r="C951" s="3" t="n"/>
      <c r="D951" s="4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5">
        <f>IF(Q951&lt;&gt;"是","排除",IF(OR(L951="",M951=""),"",IF(OR(L951="未知",M951="未知"),"未知",IF(AND(L951="真",M951="真"),"TP",IF(AND(L951="真",M951="假"),"FP",IF(AND(L951="假",M951="真"),"FN","TN"))))))</f>
        <v/>
      </c>
      <c r="S951" s="3" t="n"/>
      <c r="T951" s="3" t="n"/>
      <c r="U951" s="3" t="n"/>
      <c r="V951" s="3" t="n"/>
    </row>
    <row r="952">
      <c r="A952" s="3" t="n"/>
      <c r="B952" s="3" t="n"/>
      <c r="C952" s="3" t="n"/>
      <c r="D952" s="4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5">
        <f>IF(Q952&lt;&gt;"是","排除",IF(OR(L952="",M952=""),"",IF(OR(L952="未知",M952="未知"),"未知",IF(AND(L952="真",M952="真"),"TP",IF(AND(L952="真",M952="假"),"FP",IF(AND(L952="假",M952="真"),"FN","TN"))))))</f>
        <v/>
      </c>
      <c r="S952" s="3" t="n"/>
      <c r="T952" s="3" t="n"/>
      <c r="U952" s="3" t="n"/>
      <c r="V952" s="3" t="n"/>
    </row>
    <row r="953">
      <c r="A953" s="3" t="n"/>
      <c r="B953" s="3" t="n"/>
      <c r="C953" s="3" t="n"/>
      <c r="D953" s="4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5">
        <f>IF(Q953&lt;&gt;"是","排除",IF(OR(L953="",M953=""),"",IF(OR(L953="未知",M953="未知"),"未知",IF(AND(L953="真",M953="真"),"TP",IF(AND(L953="真",M953="假"),"FP",IF(AND(L953="假",M953="真"),"FN","TN"))))))</f>
        <v/>
      </c>
      <c r="S953" s="3" t="n"/>
      <c r="T953" s="3" t="n"/>
      <c r="U953" s="3" t="n"/>
      <c r="V953" s="3" t="n"/>
    </row>
    <row r="954">
      <c r="A954" s="3" t="n"/>
      <c r="B954" s="3" t="n"/>
      <c r="C954" s="3" t="n"/>
      <c r="D954" s="4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5">
        <f>IF(Q954&lt;&gt;"是","排除",IF(OR(L954="",M954=""),"",IF(OR(L954="未知",M954="未知"),"未知",IF(AND(L954="真",M954="真"),"TP",IF(AND(L954="真",M954="假"),"FP",IF(AND(L954="假",M954="真"),"FN","TN"))))))</f>
        <v/>
      </c>
      <c r="S954" s="3" t="n"/>
      <c r="T954" s="3" t="n"/>
      <c r="U954" s="3" t="n"/>
      <c r="V954" s="3" t="n"/>
    </row>
    <row r="955">
      <c r="A955" s="3" t="n"/>
      <c r="B955" s="3" t="n"/>
      <c r="C955" s="3" t="n"/>
      <c r="D955" s="4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5">
        <f>IF(Q955&lt;&gt;"是","排除",IF(OR(L955="",M955=""),"",IF(OR(L955="未知",M955="未知"),"未知",IF(AND(L955="真",M955="真"),"TP",IF(AND(L955="真",M955="假"),"FP",IF(AND(L955="假",M955="真"),"FN","TN"))))))</f>
        <v/>
      </c>
      <c r="S955" s="3" t="n"/>
      <c r="T955" s="3" t="n"/>
      <c r="U955" s="3" t="n"/>
      <c r="V955" s="3" t="n"/>
    </row>
    <row r="956">
      <c r="A956" s="3" t="n"/>
      <c r="B956" s="3" t="n"/>
      <c r="C956" s="3" t="n"/>
      <c r="D956" s="4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5">
        <f>IF(Q956&lt;&gt;"是","排除",IF(OR(L956="",M956=""),"",IF(OR(L956="未知",M956="未知"),"未知",IF(AND(L956="真",M956="真"),"TP",IF(AND(L956="真",M956="假"),"FP",IF(AND(L956="假",M956="真"),"FN","TN"))))))</f>
        <v/>
      </c>
      <c r="S956" s="3" t="n"/>
      <c r="T956" s="3" t="n"/>
      <c r="U956" s="3" t="n"/>
      <c r="V956" s="3" t="n"/>
    </row>
    <row r="957">
      <c r="A957" s="3" t="n"/>
      <c r="B957" s="3" t="n"/>
      <c r="C957" s="3" t="n"/>
      <c r="D957" s="4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5">
        <f>IF(Q957&lt;&gt;"是","排除",IF(OR(L957="",M957=""),"",IF(OR(L957="未知",M957="未知"),"未知",IF(AND(L957="真",M957="真"),"TP",IF(AND(L957="真",M957="假"),"FP",IF(AND(L957="假",M957="真"),"FN","TN"))))))</f>
        <v/>
      </c>
      <c r="S957" s="3" t="n"/>
      <c r="T957" s="3" t="n"/>
      <c r="U957" s="3" t="n"/>
      <c r="V957" s="3" t="n"/>
    </row>
    <row r="958">
      <c r="A958" s="3" t="n"/>
      <c r="B958" s="3" t="n"/>
      <c r="C958" s="3" t="n"/>
      <c r="D958" s="4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5">
        <f>IF(Q958&lt;&gt;"是","排除",IF(OR(L958="",M958=""),"",IF(OR(L958="未知",M958="未知"),"未知",IF(AND(L958="真",M958="真"),"TP",IF(AND(L958="真",M958="假"),"FP",IF(AND(L958="假",M958="真"),"FN","TN"))))))</f>
        <v/>
      </c>
      <c r="S958" s="3" t="n"/>
      <c r="T958" s="3" t="n"/>
      <c r="U958" s="3" t="n"/>
      <c r="V958" s="3" t="n"/>
    </row>
    <row r="959">
      <c r="A959" s="3" t="n"/>
      <c r="B959" s="3" t="n"/>
      <c r="C959" s="3" t="n"/>
      <c r="D959" s="4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5">
        <f>IF(Q959&lt;&gt;"是","排除",IF(OR(L959="",M959=""),"",IF(OR(L959="未知",M959="未知"),"未知",IF(AND(L959="真",M959="真"),"TP",IF(AND(L959="真",M959="假"),"FP",IF(AND(L959="假",M959="真"),"FN","TN"))))))</f>
        <v/>
      </c>
      <c r="S959" s="3" t="n"/>
      <c r="T959" s="3" t="n"/>
      <c r="U959" s="3" t="n"/>
      <c r="V959" s="3" t="n"/>
    </row>
    <row r="960">
      <c r="A960" s="3" t="n"/>
      <c r="B960" s="3" t="n"/>
      <c r="C960" s="3" t="n"/>
      <c r="D960" s="4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5">
        <f>IF(Q960&lt;&gt;"是","排除",IF(OR(L960="",M960=""),"",IF(OR(L960="未知",M960="未知"),"未知",IF(AND(L960="真",M960="真"),"TP",IF(AND(L960="真",M960="假"),"FP",IF(AND(L960="假",M960="真"),"FN","TN"))))))</f>
        <v/>
      </c>
      <c r="S960" s="3" t="n"/>
      <c r="T960" s="3" t="n"/>
      <c r="U960" s="3" t="n"/>
      <c r="V960" s="3" t="n"/>
    </row>
    <row r="961">
      <c r="A961" s="3" t="n"/>
      <c r="B961" s="3" t="n"/>
      <c r="C961" s="3" t="n"/>
      <c r="D961" s="4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5">
        <f>IF(Q961&lt;&gt;"是","排除",IF(OR(L961="",M961=""),"",IF(OR(L961="未知",M961="未知"),"未知",IF(AND(L961="真",M961="真"),"TP",IF(AND(L961="真",M961="假"),"FP",IF(AND(L961="假",M961="真"),"FN","TN"))))))</f>
        <v/>
      </c>
      <c r="S961" s="3" t="n"/>
      <c r="T961" s="3" t="n"/>
      <c r="U961" s="3" t="n"/>
      <c r="V961" s="3" t="n"/>
    </row>
    <row r="962">
      <c r="A962" s="3" t="n"/>
      <c r="B962" s="3" t="n"/>
      <c r="C962" s="3" t="n"/>
      <c r="D962" s="4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5">
        <f>IF(Q962&lt;&gt;"是","排除",IF(OR(L962="",M962=""),"",IF(OR(L962="未知",M962="未知"),"未知",IF(AND(L962="真",M962="真"),"TP",IF(AND(L962="真",M962="假"),"FP",IF(AND(L962="假",M962="真"),"FN","TN"))))))</f>
        <v/>
      </c>
      <c r="S962" s="3" t="n"/>
      <c r="T962" s="3" t="n"/>
      <c r="U962" s="3" t="n"/>
      <c r="V962" s="3" t="n"/>
    </row>
    <row r="963">
      <c r="A963" s="3" t="n"/>
      <c r="B963" s="3" t="n"/>
      <c r="C963" s="3" t="n"/>
      <c r="D963" s="4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5">
        <f>IF(Q963&lt;&gt;"是","排除",IF(OR(L963="",M963=""),"",IF(OR(L963="未知",M963="未知"),"未知",IF(AND(L963="真",M963="真"),"TP",IF(AND(L963="真",M963="假"),"FP",IF(AND(L963="假",M963="真"),"FN","TN"))))))</f>
        <v/>
      </c>
      <c r="S963" s="3" t="n"/>
      <c r="T963" s="3" t="n"/>
      <c r="U963" s="3" t="n"/>
      <c r="V963" s="3" t="n"/>
    </row>
    <row r="964">
      <c r="A964" s="3" t="n"/>
      <c r="B964" s="3" t="n"/>
      <c r="C964" s="3" t="n"/>
      <c r="D964" s="4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5">
        <f>IF(Q964&lt;&gt;"是","排除",IF(OR(L964="",M964=""),"",IF(OR(L964="未知",M964="未知"),"未知",IF(AND(L964="真",M964="真"),"TP",IF(AND(L964="真",M964="假"),"FP",IF(AND(L964="假",M964="真"),"FN","TN"))))))</f>
        <v/>
      </c>
      <c r="S964" s="3" t="n"/>
      <c r="T964" s="3" t="n"/>
      <c r="U964" s="3" t="n"/>
      <c r="V964" s="3" t="n"/>
    </row>
    <row r="965">
      <c r="A965" s="3" t="n"/>
      <c r="B965" s="3" t="n"/>
      <c r="C965" s="3" t="n"/>
      <c r="D965" s="4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5">
        <f>IF(Q965&lt;&gt;"是","排除",IF(OR(L965="",M965=""),"",IF(OR(L965="未知",M965="未知"),"未知",IF(AND(L965="真",M965="真"),"TP",IF(AND(L965="真",M965="假"),"FP",IF(AND(L965="假",M965="真"),"FN","TN"))))))</f>
        <v/>
      </c>
      <c r="S965" s="3" t="n"/>
      <c r="T965" s="3" t="n"/>
      <c r="U965" s="3" t="n"/>
      <c r="V965" s="3" t="n"/>
    </row>
    <row r="966">
      <c r="A966" s="3" t="n"/>
      <c r="B966" s="3" t="n"/>
      <c r="C966" s="3" t="n"/>
      <c r="D966" s="4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5">
        <f>IF(Q966&lt;&gt;"是","排除",IF(OR(L966="",M966=""),"",IF(OR(L966="未知",M966="未知"),"未知",IF(AND(L966="真",M966="真"),"TP",IF(AND(L966="真",M966="假"),"FP",IF(AND(L966="假",M966="真"),"FN","TN"))))))</f>
        <v/>
      </c>
      <c r="S966" s="3" t="n"/>
      <c r="T966" s="3" t="n"/>
      <c r="U966" s="3" t="n"/>
      <c r="V966" s="3" t="n"/>
    </row>
    <row r="967">
      <c r="A967" s="3" t="n"/>
      <c r="B967" s="3" t="n"/>
      <c r="C967" s="3" t="n"/>
      <c r="D967" s="4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5">
        <f>IF(Q967&lt;&gt;"是","排除",IF(OR(L967="",M967=""),"",IF(OR(L967="未知",M967="未知"),"未知",IF(AND(L967="真",M967="真"),"TP",IF(AND(L967="真",M967="假"),"FP",IF(AND(L967="假",M967="真"),"FN","TN"))))))</f>
        <v/>
      </c>
      <c r="S967" s="3" t="n"/>
      <c r="T967" s="3" t="n"/>
      <c r="U967" s="3" t="n"/>
      <c r="V967" s="3" t="n"/>
    </row>
    <row r="968">
      <c r="A968" s="3" t="n"/>
      <c r="B968" s="3" t="n"/>
      <c r="C968" s="3" t="n"/>
      <c r="D968" s="4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5">
        <f>IF(Q968&lt;&gt;"是","排除",IF(OR(L968="",M968=""),"",IF(OR(L968="未知",M968="未知"),"未知",IF(AND(L968="真",M968="真"),"TP",IF(AND(L968="真",M968="假"),"FP",IF(AND(L968="假",M968="真"),"FN","TN"))))))</f>
        <v/>
      </c>
      <c r="S968" s="3" t="n"/>
      <c r="T968" s="3" t="n"/>
      <c r="U968" s="3" t="n"/>
      <c r="V968" s="3" t="n"/>
    </row>
    <row r="969">
      <c r="A969" s="3" t="n"/>
      <c r="B969" s="3" t="n"/>
      <c r="C969" s="3" t="n"/>
      <c r="D969" s="4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5">
        <f>IF(Q969&lt;&gt;"是","排除",IF(OR(L969="",M969=""),"",IF(OR(L969="未知",M969="未知"),"未知",IF(AND(L969="真",M969="真"),"TP",IF(AND(L969="真",M969="假"),"FP",IF(AND(L969="假",M969="真"),"FN","TN"))))))</f>
        <v/>
      </c>
      <c r="S969" s="3" t="n"/>
      <c r="T969" s="3" t="n"/>
      <c r="U969" s="3" t="n"/>
      <c r="V969" s="3" t="n"/>
    </row>
    <row r="970">
      <c r="A970" s="3" t="n"/>
      <c r="B970" s="3" t="n"/>
      <c r="C970" s="3" t="n"/>
      <c r="D970" s="4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5">
        <f>IF(Q970&lt;&gt;"是","排除",IF(OR(L970="",M970=""),"",IF(OR(L970="未知",M970="未知"),"未知",IF(AND(L970="真",M970="真"),"TP",IF(AND(L970="真",M970="假"),"FP",IF(AND(L970="假",M970="真"),"FN","TN"))))))</f>
        <v/>
      </c>
      <c r="S970" s="3" t="n"/>
      <c r="T970" s="3" t="n"/>
      <c r="U970" s="3" t="n"/>
      <c r="V970" s="3" t="n"/>
    </row>
    <row r="971">
      <c r="A971" s="3" t="n"/>
      <c r="B971" s="3" t="n"/>
      <c r="C971" s="3" t="n"/>
      <c r="D971" s="4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5">
        <f>IF(Q971&lt;&gt;"是","排除",IF(OR(L971="",M971=""),"",IF(OR(L971="未知",M971="未知"),"未知",IF(AND(L971="真",M971="真"),"TP",IF(AND(L971="真",M971="假"),"FP",IF(AND(L971="假",M971="真"),"FN","TN"))))))</f>
        <v/>
      </c>
      <c r="S971" s="3" t="n"/>
      <c r="T971" s="3" t="n"/>
      <c r="U971" s="3" t="n"/>
      <c r="V971" s="3" t="n"/>
    </row>
    <row r="972">
      <c r="A972" s="3" t="n"/>
      <c r="B972" s="3" t="n"/>
      <c r="C972" s="3" t="n"/>
      <c r="D972" s="4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5">
        <f>IF(Q972&lt;&gt;"是","排除",IF(OR(L972="",M972=""),"",IF(OR(L972="未知",M972="未知"),"未知",IF(AND(L972="真",M972="真"),"TP",IF(AND(L972="真",M972="假"),"FP",IF(AND(L972="假",M972="真"),"FN","TN"))))))</f>
        <v/>
      </c>
      <c r="S972" s="3" t="n"/>
      <c r="T972" s="3" t="n"/>
      <c r="U972" s="3" t="n"/>
      <c r="V972" s="3" t="n"/>
    </row>
    <row r="973">
      <c r="A973" s="3" t="n"/>
      <c r="B973" s="3" t="n"/>
      <c r="C973" s="3" t="n"/>
      <c r="D973" s="4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5">
        <f>IF(Q973&lt;&gt;"是","排除",IF(OR(L973="",M973=""),"",IF(OR(L973="未知",M973="未知"),"未知",IF(AND(L973="真",M973="真"),"TP",IF(AND(L973="真",M973="假"),"FP",IF(AND(L973="假",M973="真"),"FN","TN"))))))</f>
        <v/>
      </c>
      <c r="S973" s="3" t="n"/>
      <c r="T973" s="3" t="n"/>
      <c r="U973" s="3" t="n"/>
      <c r="V973" s="3" t="n"/>
    </row>
    <row r="974">
      <c r="A974" s="3" t="n"/>
      <c r="B974" s="3" t="n"/>
      <c r="C974" s="3" t="n"/>
      <c r="D974" s="4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5">
        <f>IF(Q974&lt;&gt;"是","排除",IF(OR(L974="",M974=""),"",IF(OR(L974="未知",M974="未知"),"未知",IF(AND(L974="真",M974="真"),"TP",IF(AND(L974="真",M974="假"),"FP",IF(AND(L974="假",M974="真"),"FN","TN"))))))</f>
        <v/>
      </c>
      <c r="S974" s="3" t="n"/>
      <c r="T974" s="3" t="n"/>
      <c r="U974" s="3" t="n"/>
      <c r="V974" s="3" t="n"/>
    </row>
    <row r="975">
      <c r="A975" s="3" t="n"/>
      <c r="B975" s="3" t="n"/>
      <c r="C975" s="3" t="n"/>
      <c r="D975" s="4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5">
        <f>IF(Q975&lt;&gt;"是","排除",IF(OR(L975="",M975=""),"",IF(OR(L975="未知",M975="未知"),"未知",IF(AND(L975="真",M975="真"),"TP",IF(AND(L975="真",M975="假"),"FP",IF(AND(L975="假",M975="真"),"FN","TN"))))))</f>
        <v/>
      </c>
      <c r="S975" s="3" t="n"/>
      <c r="T975" s="3" t="n"/>
      <c r="U975" s="3" t="n"/>
      <c r="V975" s="3" t="n"/>
    </row>
    <row r="976">
      <c r="A976" s="3" t="n"/>
      <c r="B976" s="3" t="n"/>
      <c r="C976" s="3" t="n"/>
      <c r="D976" s="4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5">
        <f>IF(Q976&lt;&gt;"是","排除",IF(OR(L976="",M976=""),"",IF(OR(L976="未知",M976="未知"),"未知",IF(AND(L976="真",M976="真"),"TP",IF(AND(L976="真",M976="假"),"FP",IF(AND(L976="假",M976="真"),"FN","TN"))))))</f>
        <v/>
      </c>
      <c r="S976" s="3" t="n"/>
      <c r="T976" s="3" t="n"/>
      <c r="U976" s="3" t="n"/>
      <c r="V976" s="3" t="n"/>
    </row>
    <row r="977">
      <c r="A977" s="3" t="n"/>
      <c r="B977" s="3" t="n"/>
      <c r="C977" s="3" t="n"/>
      <c r="D977" s="4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5">
        <f>IF(Q977&lt;&gt;"是","排除",IF(OR(L977="",M977=""),"",IF(OR(L977="未知",M977="未知"),"未知",IF(AND(L977="真",M977="真"),"TP",IF(AND(L977="真",M977="假"),"FP",IF(AND(L977="假",M977="真"),"FN","TN"))))))</f>
        <v/>
      </c>
      <c r="S977" s="3" t="n"/>
      <c r="T977" s="3" t="n"/>
      <c r="U977" s="3" t="n"/>
      <c r="V977" s="3" t="n"/>
    </row>
    <row r="978">
      <c r="A978" s="3" t="n"/>
      <c r="B978" s="3" t="n"/>
      <c r="C978" s="3" t="n"/>
      <c r="D978" s="4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5">
        <f>IF(Q978&lt;&gt;"是","排除",IF(OR(L978="",M978=""),"",IF(OR(L978="未知",M978="未知"),"未知",IF(AND(L978="真",M978="真"),"TP",IF(AND(L978="真",M978="假"),"FP",IF(AND(L978="假",M978="真"),"FN","TN"))))))</f>
        <v/>
      </c>
      <c r="S978" s="3" t="n"/>
      <c r="T978" s="3" t="n"/>
      <c r="U978" s="3" t="n"/>
      <c r="V978" s="3" t="n"/>
    </row>
    <row r="979">
      <c r="A979" s="3" t="n"/>
      <c r="B979" s="3" t="n"/>
      <c r="C979" s="3" t="n"/>
      <c r="D979" s="4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5">
        <f>IF(Q979&lt;&gt;"是","排除",IF(OR(L979="",M979=""),"",IF(OR(L979="未知",M979="未知"),"未知",IF(AND(L979="真",M979="真"),"TP",IF(AND(L979="真",M979="假"),"FP",IF(AND(L979="假",M979="真"),"FN","TN"))))))</f>
        <v/>
      </c>
      <c r="S979" s="3" t="n"/>
      <c r="T979" s="3" t="n"/>
      <c r="U979" s="3" t="n"/>
      <c r="V979" s="3" t="n"/>
    </row>
    <row r="980">
      <c r="A980" s="3" t="n"/>
      <c r="B980" s="3" t="n"/>
      <c r="C980" s="3" t="n"/>
      <c r="D980" s="4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5">
        <f>IF(Q980&lt;&gt;"是","排除",IF(OR(L980="",M980=""),"",IF(OR(L980="未知",M980="未知"),"未知",IF(AND(L980="真",M980="真"),"TP",IF(AND(L980="真",M980="假"),"FP",IF(AND(L980="假",M980="真"),"FN","TN"))))))</f>
        <v/>
      </c>
      <c r="S980" s="3" t="n"/>
      <c r="T980" s="3" t="n"/>
      <c r="U980" s="3" t="n"/>
      <c r="V980" s="3" t="n"/>
    </row>
    <row r="981">
      <c r="A981" s="3" t="n"/>
      <c r="B981" s="3" t="n"/>
      <c r="C981" s="3" t="n"/>
      <c r="D981" s="4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5">
        <f>IF(Q981&lt;&gt;"是","排除",IF(OR(L981="",M981=""),"",IF(OR(L981="未知",M981="未知"),"未知",IF(AND(L981="真",M981="真"),"TP",IF(AND(L981="真",M981="假"),"FP",IF(AND(L981="假",M981="真"),"FN","TN"))))))</f>
        <v/>
      </c>
      <c r="S981" s="3" t="n"/>
      <c r="T981" s="3" t="n"/>
      <c r="U981" s="3" t="n"/>
      <c r="V981" s="3" t="n"/>
    </row>
    <row r="982">
      <c r="A982" s="3" t="n"/>
      <c r="B982" s="3" t="n"/>
      <c r="C982" s="3" t="n"/>
      <c r="D982" s="4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5">
        <f>IF(Q982&lt;&gt;"是","排除",IF(OR(L982="",M982=""),"",IF(OR(L982="未知",M982="未知"),"未知",IF(AND(L982="真",M982="真"),"TP",IF(AND(L982="真",M982="假"),"FP",IF(AND(L982="假",M982="真"),"FN","TN"))))))</f>
        <v/>
      </c>
      <c r="S982" s="3" t="n"/>
      <c r="T982" s="3" t="n"/>
      <c r="U982" s="3" t="n"/>
      <c r="V982" s="3" t="n"/>
    </row>
    <row r="983">
      <c r="A983" s="3" t="n"/>
      <c r="B983" s="3" t="n"/>
      <c r="C983" s="3" t="n"/>
      <c r="D983" s="4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5">
        <f>IF(Q983&lt;&gt;"是","排除",IF(OR(L983="",M983=""),"",IF(OR(L983="未知",M983="未知"),"未知",IF(AND(L983="真",M983="真"),"TP",IF(AND(L983="真",M983="假"),"FP",IF(AND(L983="假",M983="真"),"FN","TN"))))))</f>
        <v/>
      </c>
      <c r="S983" s="3" t="n"/>
      <c r="T983" s="3" t="n"/>
      <c r="U983" s="3" t="n"/>
      <c r="V983" s="3" t="n"/>
    </row>
    <row r="984">
      <c r="A984" s="3" t="n"/>
      <c r="B984" s="3" t="n"/>
      <c r="C984" s="3" t="n"/>
      <c r="D984" s="4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5">
        <f>IF(Q984&lt;&gt;"是","排除",IF(OR(L984="",M984=""),"",IF(OR(L984="未知",M984="未知"),"未知",IF(AND(L984="真",M984="真"),"TP",IF(AND(L984="真",M984="假"),"FP",IF(AND(L984="假",M984="真"),"FN","TN"))))))</f>
        <v/>
      </c>
      <c r="S984" s="3" t="n"/>
      <c r="T984" s="3" t="n"/>
      <c r="U984" s="3" t="n"/>
      <c r="V984" s="3" t="n"/>
    </row>
    <row r="985">
      <c r="A985" s="3" t="n"/>
      <c r="B985" s="3" t="n"/>
      <c r="C985" s="3" t="n"/>
      <c r="D985" s="4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5">
        <f>IF(Q985&lt;&gt;"是","排除",IF(OR(L985="",M985=""),"",IF(OR(L985="未知",M985="未知"),"未知",IF(AND(L985="真",M985="真"),"TP",IF(AND(L985="真",M985="假"),"FP",IF(AND(L985="假",M985="真"),"FN","TN"))))))</f>
        <v/>
      </c>
      <c r="S985" s="3" t="n"/>
      <c r="T985" s="3" t="n"/>
      <c r="U985" s="3" t="n"/>
      <c r="V985" s="3" t="n"/>
    </row>
    <row r="986">
      <c r="A986" s="3" t="n"/>
      <c r="B986" s="3" t="n"/>
      <c r="C986" s="3" t="n"/>
      <c r="D986" s="4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5">
        <f>IF(Q986&lt;&gt;"是","排除",IF(OR(L986="",M986=""),"",IF(OR(L986="未知",M986="未知"),"未知",IF(AND(L986="真",M986="真"),"TP",IF(AND(L986="真",M986="假"),"FP",IF(AND(L986="假",M986="真"),"FN","TN"))))))</f>
        <v/>
      </c>
      <c r="S986" s="3" t="n"/>
      <c r="T986" s="3" t="n"/>
      <c r="U986" s="3" t="n"/>
      <c r="V986" s="3" t="n"/>
    </row>
    <row r="987">
      <c r="A987" s="3" t="n"/>
      <c r="B987" s="3" t="n"/>
      <c r="C987" s="3" t="n"/>
      <c r="D987" s="4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5">
        <f>IF(Q987&lt;&gt;"是","排除",IF(OR(L987="",M987=""),"",IF(OR(L987="未知",M987="未知"),"未知",IF(AND(L987="真",M987="真"),"TP",IF(AND(L987="真",M987="假"),"FP",IF(AND(L987="假",M987="真"),"FN","TN"))))))</f>
        <v/>
      </c>
      <c r="S987" s="3" t="n"/>
      <c r="T987" s="3" t="n"/>
      <c r="U987" s="3" t="n"/>
      <c r="V987" s="3" t="n"/>
    </row>
    <row r="988">
      <c r="A988" s="3" t="n"/>
      <c r="B988" s="3" t="n"/>
      <c r="C988" s="3" t="n"/>
      <c r="D988" s="4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5">
        <f>IF(Q988&lt;&gt;"是","排除",IF(OR(L988="",M988=""),"",IF(OR(L988="未知",M988="未知"),"未知",IF(AND(L988="真",M988="真"),"TP",IF(AND(L988="真",M988="假"),"FP",IF(AND(L988="假",M988="真"),"FN","TN"))))))</f>
        <v/>
      </c>
      <c r="S988" s="3" t="n"/>
      <c r="T988" s="3" t="n"/>
      <c r="U988" s="3" t="n"/>
      <c r="V988" s="3" t="n"/>
    </row>
    <row r="989">
      <c r="A989" s="3" t="n"/>
      <c r="B989" s="3" t="n"/>
      <c r="C989" s="3" t="n"/>
      <c r="D989" s="4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5">
        <f>IF(Q989&lt;&gt;"是","排除",IF(OR(L989="",M989=""),"",IF(OR(L989="未知",M989="未知"),"未知",IF(AND(L989="真",M989="真"),"TP",IF(AND(L989="真",M989="假"),"FP",IF(AND(L989="假",M989="真"),"FN","TN"))))))</f>
        <v/>
      </c>
      <c r="S989" s="3" t="n"/>
      <c r="T989" s="3" t="n"/>
      <c r="U989" s="3" t="n"/>
      <c r="V989" s="3" t="n"/>
    </row>
    <row r="990">
      <c r="A990" s="3" t="n"/>
      <c r="B990" s="3" t="n"/>
      <c r="C990" s="3" t="n"/>
      <c r="D990" s="4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5">
        <f>IF(Q990&lt;&gt;"是","排除",IF(OR(L990="",M990=""),"",IF(OR(L990="未知",M990="未知"),"未知",IF(AND(L990="真",M990="真"),"TP",IF(AND(L990="真",M990="假"),"FP",IF(AND(L990="假",M990="真"),"FN","TN"))))))</f>
        <v/>
      </c>
      <c r="S990" s="3" t="n"/>
      <c r="T990" s="3" t="n"/>
      <c r="U990" s="3" t="n"/>
      <c r="V990" s="3" t="n"/>
    </row>
    <row r="991">
      <c r="A991" s="3" t="n"/>
      <c r="B991" s="3" t="n"/>
      <c r="C991" s="3" t="n"/>
      <c r="D991" s="4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5">
        <f>IF(Q991&lt;&gt;"是","排除",IF(OR(L991="",M991=""),"",IF(OR(L991="未知",M991="未知"),"未知",IF(AND(L991="真",M991="真"),"TP",IF(AND(L991="真",M991="假"),"FP",IF(AND(L991="假",M991="真"),"FN","TN"))))))</f>
        <v/>
      </c>
      <c r="S991" s="3" t="n"/>
      <c r="T991" s="3" t="n"/>
      <c r="U991" s="3" t="n"/>
      <c r="V991" s="3" t="n"/>
    </row>
    <row r="992">
      <c r="A992" s="3" t="n"/>
      <c r="B992" s="3" t="n"/>
      <c r="C992" s="3" t="n"/>
      <c r="D992" s="4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5">
        <f>IF(Q992&lt;&gt;"是","排除",IF(OR(L992="",M992=""),"",IF(OR(L992="未知",M992="未知"),"未知",IF(AND(L992="真",M992="真"),"TP",IF(AND(L992="真",M992="假"),"FP",IF(AND(L992="假",M992="真"),"FN","TN"))))))</f>
        <v/>
      </c>
      <c r="S992" s="3" t="n"/>
      <c r="T992" s="3" t="n"/>
      <c r="U992" s="3" t="n"/>
      <c r="V992" s="3" t="n"/>
    </row>
    <row r="993">
      <c r="A993" s="3" t="n"/>
      <c r="B993" s="3" t="n"/>
      <c r="C993" s="3" t="n"/>
      <c r="D993" s="4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5">
        <f>IF(Q993&lt;&gt;"是","排除",IF(OR(L993="",M993=""),"",IF(OR(L993="未知",M993="未知"),"未知",IF(AND(L993="真",M993="真"),"TP",IF(AND(L993="真",M993="假"),"FP",IF(AND(L993="假",M993="真"),"FN","TN"))))))</f>
        <v/>
      </c>
      <c r="S993" s="3" t="n"/>
      <c r="T993" s="3" t="n"/>
      <c r="U993" s="3" t="n"/>
      <c r="V993" s="3" t="n"/>
    </row>
    <row r="994">
      <c r="A994" s="3" t="n"/>
      <c r="B994" s="3" t="n"/>
      <c r="C994" s="3" t="n"/>
      <c r="D994" s="4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5">
        <f>IF(Q994&lt;&gt;"是","排除",IF(OR(L994="",M994=""),"",IF(OR(L994="未知",M994="未知"),"未知",IF(AND(L994="真",M994="真"),"TP",IF(AND(L994="真",M994="假"),"FP",IF(AND(L994="假",M994="真"),"FN","TN"))))))</f>
        <v/>
      </c>
      <c r="S994" s="3" t="n"/>
      <c r="T994" s="3" t="n"/>
      <c r="U994" s="3" t="n"/>
      <c r="V994" s="3" t="n"/>
    </row>
    <row r="995">
      <c r="A995" s="3" t="n"/>
      <c r="B995" s="3" t="n"/>
      <c r="C995" s="3" t="n"/>
      <c r="D995" s="4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5">
        <f>IF(Q995&lt;&gt;"是","排除",IF(OR(L995="",M995=""),"",IF(OR(L995="未知",M995="未知"),"未知",IF(AND(L995="真",M995="真"),"TP",IF(AND(L995="真",M995="假"),"FP",IF(AND(L995="假",M995="真"),"FN","TN"))))))</f>
        <v/>
      </c>
      <c r="S995" s="3" t="n"/>
      <c r="T995" s="3" t="n"/>
      <c r="U995" s="3" t="n"/>
      <c r="V995" s="3" t="n"/>
    </row>
    <row r="996">
      <c r="A996" s="3" t="n"/>
      <c r="B996" s="3" t="n"/>
      <c r="C996" s="3" t="n"/>
      <c r="D996" s="4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5">
        <f>IF(Q996&lt;&gt;"是","排除",IF(OR(L996="",M996=""),"",IF(OR(L996="未知",M996="未知"),"未知",IF(AND(L996="真",M996="真"),"TP",IF(AND(L996="真",M996="假"),"FP",IF(AND(L996="假",M996="真"),"FN","TN"))))))</f>
        <v/>
      </c>
      <c r="S996" s="3" t="n"/>
      <c r="T996" s="3" t="n"/>
      <c r="U996" s="3" t="n"/>
      <c r="V996" s="3" t="n"/>
    </row>
    <row r="997">
      <c r="A997" s="3" t="n"/>
      <c r="B997" s="3" t="n"/>
      <c r="C997" s="3" t="n"/>
      <c r="D997" s="4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5">
        <f>IF(Q997&lt;&gt;"是","排除",IF(OR(L997="",M997=""),"",IF(OR(L997="未知",M997="未知"),"未知",IF(AND(L997="真",M997="真"),"TP",IF(AND(L997="真",M997="假"),"FP",IF(AND(L997="假",M997="真"),"FN","TN"))))))</f>
        <v/>
      </c>
      <c r="S997" s="3" t="n"/>
      <c r="T997" s="3" t="n"/>
      <c r="U997" s="3" t="n"/>
      <c r="V997" s="3" t="n"/>
    </row>
    <row r="998">
      <c r="A998" s="3" t="n"/>
      <c r="B998" s="3" t="n"/>
      <c r="C998" s="3" t="n"/>
      <c r="D998" s="4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5">
        <f>IF(Q998&lt;&gt;"是","排除",IF(OR(L998="",M998=""),"",IF(OR(L998="未知",M998="未知"),"未知",IF(AND(L998="真",M998="真"),"TP",IF(AND(L998="真",M998="假"),"FP",IF(AND(L998="假",M998="真"),"FN","TN"))))))</f>
        <v/>
      </c>
      <c r="S998" s="3" t="n"/>
      <c r="T998" s="3" t="n"/>
      <c r="U998" s="3" t="n"/>
      <c r="V998" s="3" t="n"/>
    </row>
    <row r="999">
      <c r="A999" s="3" t="n"/>
      <c r="B999" s="3" t="n"/>
      <c r="C999" s="3" t="n"/>
      <c r="D999" s="4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5">
        <f>IF(Q999&lt;&gt;"是","排除",IF(OR(L999="",M999=""),"",IF(OR(L999="未知",M999="未知"),"未知",IF(AND(L999="真",M999="真"),"TP",IF(AND(L999="真",M999="假"),"FP",IF(AND(L999="假",M999="真"),"FN","TN"))))))</f>
        <v/>
      </c>
      <c r="S999" s="3" t="n"/>
      <c r="T999" s="3" t="n"/>
      <c r="U999" s="3" t="n"/>
      <c r="V999" s="3" t="n"/>
    </row>
    <row r="1000">
      <c r="A1000" s="3" t="n"/>
      <c r="B1000" s="3" t="n"/>
      <c r="C1000" s="3" t="n"/>
      <c r="D1000" s="4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5">
        <f>IF(Q1000&lt;&gt;"是","排除",IF(OR(L1000="",M1000=""),"",IF(OR(L1000="未知",M1000="未知"),"未知",IF(AND(L1000="真",M1000="真"),"TP",IF(AND(L1000="真",M1000="假"),"FP",IF(AND(L1000="假",M1000="真"),"FN","TN"))))))</f>
        <v/>
      </c>
      <c r="S1000" s="3" t="n"/>
      <c r="T1000" s="3" t="n"/>
      <c r="U1000" s="3" t="n"/>
      <c r="V1000" s="3" t="n"/>
    </row>
    <row r="1001">
      <c r="A1001" s="3" t="n"/>
      <c r="B1001" s="3" t="n"/>
      <c r="C1001" s="3" t="n"/>
      <c r="D1001" s="4" t="n"/>
      <c r="E1001" s="3" t="n"/>
      <c r="F1001" s="3" t="n"/>
      <c r="G1001" s="3" t="n"/>
      <c r="H1001" s="3" t="n"/>
      <c r="I1001" s="3" t="n"/>
      <c r="J1001" s="3" t="n"/>
      <c r="K1001" s="3" t="n"/>
      <c r="L1001" s="3" t="n"/>
      <c r="M1001" s="3" t="n"/>
      <c r="N1001" s="3" t="n"/>
      <c r="O1001" s="3" t="n"/>
      <c r="P1001" s="3" t="n"/>
      <c r="Q1001" s="3" t="n"/>
      <c r="R1001" s="5">
        <f>IF(Q1001&lt;&gt;"是","排除",IF(OR(L1001="",M1001=""),"",IF(OR(L1001="未知",M1001="未知"),"未知",IF(AND(L1001="真",M1001="真"),"TP",IF(AND(L1001="真",M1001="假"),"FP",IF(AND(L1001="假",M1001="真"),"FN","TN"))))))</f>
        <v/>
      </c>
      <c r="S1001" s="3" t="n"/>
      <c r="T1001" s="3" t="n"/>
      <c r="U1001" s="3" t="n"/>
      <c r="V1001" s="3" t="n"/>
    </row>
    <row r="1002">
      <c r="A1002" s="3" t="n"/>
      <c r="B1002" s="3" t="n"/>
      <c r="C1002" s="3" t="n"/>
      <c r="D1002" s="4" t="n"/>
      <c r="E1002" s="3" t="n"/>
      <c r="F1002" s="3" t="n"/>
      <c r="G1002" s="3" t="n"/>
      <c r="H1002" s="3" t="n"/>
      <c r="I1002" s="3" t="n"/>
      <c r="J1002" s="3" t="n"/>
      <c r="K1002" s="3" t="n"/>
      <c r="L1002" s="3" t="n"/>
      <c r="M1002" s="3" t="n"/>
      <c r="N1002" s="3" t="n"/>
      <c r="O1002" s="3" t="n"/>
      <c r="P1002" s="3" t="n"/>
      <c r="Q1002" s="3" t="n"/>
      <c r="R1002" s="5">
        <f>IF(Q1002&lt;&gt;"是","排除",IF(OR(L1002="",M1002=""),"",IF(OR(L1002="未知",M1002="未知"),"未知",IF(AND(L1002="真",M1002="真"),"TP",IF(AND(L1002="真",M1002="假"),"FP",IF(AND(L1002="假",M1002="真"),"FN","TN"))))))</f>
        <v/>
      </c>
      <c r="S1002" s="3" t="n"/>
      <c r="T1002" s="3" t="n"/>
      <c r="U1002" s="3" t="n"/>
      <c r="V1002" s="3" t="n"/>
    </row>
    <row r="1003">
      <c r="A1003" s="3" t="n"/>
      <c r="B1003" s="3" t="n"/>
      <c r="C1003" s="3" t="n"/>
      <c r="D1003" s="4" t="n"/>
      <c r="E1003" s="3" t="n"/>
      <c r="F1003" s="3" t="n"/>
      <c r="G1003" s="3" t="n"/>
      <c r="H1003" s="3" t="n"/>
      <c r="I1003" s="3" t="n"/>
      <c r="J1003" s="3" t="n"/>
      <c r="K1003" s="3" t="n"/>
      <c r="L1003" s="3" t="n"/>
      <c r="M1003" s="3" t="n"/>
      <c r="N1003" s="3" t="n"/>
      <c r="O1003" s="3" t="n"/>
      <c r="P1003" s="3" t="n"/>
      <c r="Q1003" s="3" t="n"/>
      <c r="R1003" s="5">
        <f>IF(Q1003&lt;&gt;"是","排除",IF(OR(L1003="",M1003=""),"",IF(OR(L1003="未知",M1003="未知"),"未知",IF(AND(L1003="真",M1003="真"),"TP",IF(AND(L1003="真",M1003="假"),"FP",IF(AND(L1003="假",M1003="真"),"FN","TN"))))))</f>
        <v/>
      </c>
      <c r="S1003" s="3" t="n"/>
      <c r="T1003" s="3" t="n"/>
      <c r="U1003" s="3" t="n"/>
      <c r="V1003" s="3" t="n"/>
    </row>
    <row r="1004">
      <c r="A1004" s="3" t="n"/>
      <c r="B1004" s="3" t="n"/>
      <c r="C1004" s="3" t="n"/>
      <c r="D1004" s="4" t="n"/>
      <c r="E1004" s="3" t="n"/>
      <c r="F1004" s="3" t="n"/>
      <c r="G1004" s="3" t="n"/>
      <c r="H1004" s="3" t="n"/>
      <c r="I1004" s="3" t="n"/>
      <c r="J1004" s="3" t="n"/>
      <c r="K1004" s="3" t="n"/>
      <c r="L1004" s="3" t="n"/>
      <c r="M1004" s="3" t="n"/>
      <c r="N1004" s="3" t="n"/>
      <c r="O1004" s="3" t="n"/>
      <c r="P1004" s="3" t="n"/>
      <c r="Q1004" s="3" t="n"/>
      <c r="R1004" s="5">
        <f>IF(Q1004&lt;&gt;"是","排除",IF(OR(L1004="",M1004=""),"",IF(OR(L1004="未知",M1004="未知"),"未知",IF(AND(L1004="真",M1004="真"),"TP",IF(AND(L1004="真",M1004="假"),"FP",IF(AND(L1004="假",M1004="真"),"FN","TN"))))))</f>
        <v/>
      </c>
      <c r="S1004" s="3" t="n"/>
      <c r="T1004" s="3" t="n"/>
      <c r="U1004" s="3" t="n"/>
      <c r="V1004" s="3" t="n"/>
    </row>
    <row r="1005">
      <c r="A1005" s="3" t="n"/>
      <c r="B1005" s="3" t="n"/>
      <c r="C1005" s="3" t="n"/>
      <c r="D1005" s="4" t="n"/>
      <c r="E1005" s="3" t="n"/>
      <c r="F1005" s="3" t="n"/>
      <c r="G1005" s="3" t="n"/>
      <c r="H1005" s="3" t="n"/>
      <c r="I1005" s="3" t="n"/>
      <c r="J1005" s="3" t="n"/>
      <c r="K1005" s="3" t="n"/>
      <c r="L1005" s="3" t="n"/>
      <c r="M1005" s="3" t="n"/>
      <c r="N1005" s="3" t="n"/>
      <c r="O1005" s="3" t="n"/>
      <c r="P1005" s="3" t="n"/>
      <c r="Q1005" s="3" t="n"/>
      <c r="R1005" s="5">
        <f>IF(Q1005&lt;&gt;"是","排除",IF(OR(L1005="",M1005=""),"",IF(OR(L1005="未知",M1005="未知"),"未知",IF(AND(L1005="真",M1005="真"),"TP",IF(AND(L1005="真",M1005="假"),"FP",IF(AND(L1005="假",M1005="真"),"FN","TN"))))))</f>
        <v/>
      </c>
      <c r="S1005" s="3" t="n"/>
      <c r="T1005" s="3" t="n"/>
      <c r="U1005" s="3" t="n"/>
      <c r="V1005" s="3" t="n"/>
    </row>
    <row r="1006">
      <c r="A1006" s="3" t="n"/>
      <c r="B1006" s="3" t="n"/>
      <c r="C1006" s="3" t="n"/>
      <c r="D1006" s="4" t="n"/>
      <c r="E1006" s="3" t="n"/>
      <c r="F1006" s="3" t="n"/>
      <c r="G1006" s="3" t="n"/>
      <c r="H1006" s="3" t="n"/>
      <c r="I1006" s="3" t="n"/>
      <c r="J1006" s="3" t="n"/>
      <c r="K1006" s="3" t="n"/>
      <c r="L1006" s="3" t="n"/>
      <c r="M1006" s="3" t="n"/>
      <c r="N1006" s="3" t="n"/>
      <c r="O1006" s="3" t="n"/>
      <c r="P1006" s="3" t="n"/>
      <c r="Q1006" s="3" t="n"/>
      <c r="R1006" s="5">
        <f>IF(Q1006&lt;&gt;"是","排除",IF(OR(L1006="",M1006=""),"",IF(OR(L1006="未知",M1006="未知"),"未知",IF(AND(L1006="真",M1006="真"),"TP",IF(AND(L1006="真",M1006="假"),"FP",IF(AND(L1006="假",M1006="真"),"FN","TN"))))))</f>
        <v/>
      </c>
      <c r="S1006" s="3" t="n"/>
      <c r="T1006" s="3" t="n"/>
      <c r="U1006" s="3" t="n"/>
      <c r="V1006" s="3" t="n"/>
    </row>
    <row r="1007">
      <c r="A1007" s="3" t="n"/>
      <c r="B1007" s="3" t="n"/>
      <c r="C1007" s="3" t="n"/>
      <c r="D1007" s="4" t="n"/>
      <c r="E1007" s="3" t="n"/>
      <c r="F1007" s="3" t="n"/>
      <c r="G1007" s="3" t="n"/>
      <c r="H1007" s="3" t="n"/>
      <c r="I1007" s="3" t="n"/>
      <c r="J1007" s="3" t="n"/>
      <c r="K1007" s="3" t="n"/>
      <c r="L1007" s="3" t="n"/>
      <c r="M1007" s="3" t="n"/>
      <c r="N1007" s="3" t="n"/>
      <c r="O1007" s="3" t="n"/>
      <c r="P1007" s="3" t="n"/>
      <c r="Q1007" s="3" t="n"/>
      <c r="R1007" s="5">
        <f>IF(Q1007&lt;&gt;"是","排除",IF(OR(L1007="",M1007=""),"",IF(OR(L1007="未知",M1007="未知"),"未知",IF(AND(L1007="真",M1007="真"),"TP",IF(AND(L1007="真",M1007="假"),"FP",IF(AND(L1007="假",M1007="真"),"FN","TN"))))))</f>
        <v/>
      </c>
      <c r="S1007" s="3" t="n"/>
      <c r="T1007" s="3" t="n"/>
      <c r="U1007" s="3" t="n"/>
      <c r="V1007" s="3" t="n"/>
    </row>
    <row r="1008">
      <c r="A1008" s="3" t="n"/>
      <c r="B1008" s="3" t="n"/>
      <c r="C1008" s="3" t="n"/>
      <c r="D1008" s="4" t="n"/>
      <c r="E1008" s="3" t="n"/>
      <c r="F1008" s="3" t="n"/>
      <c r="G1008" s="3" t="n"/>
      <c r="H1008" s="3" t="n"/>
      <c r="I1008" s="3" t="n"/>
      <c r="J1008" s="3" t="n"/>
      <c r="K1008" s="3" t="n"/>
      <c r="L1008" s="3" t="n"/>
      <c r="M1008" s="3" t="n"/>
      <c r="N1008" s="3" t="n"/>
      <c r="O1008" s="3" t="n"/>
      <c r="P1008" s="3" t="n"/>
      <c r="Q1008" s="3" t="n"/>
      <c r="R1008" s="5">
        <f>IF(Q1008&lt;&gt;"是","排除",IF(OR(L1008="",M1008=""),"",IF(OR(L1008="未知",M1008="未知"),"未知",IF(AND(L1008="真",M1008="真"),"TP",IF(AND(L1008="真",M1008="假"),"FP",IF(AND(L1008="假",M1008="真"),"FN","TN"))))))</f>
        <v/>
      </c>
      <c r="S1008" s="3" t="n"/>
      <c r="T1008" s="3" t="n"/>
      <c r="U1008" s="3" t="n"/>
      <c r="V1008" s="3" t="n"/>
    </row>
    <row r="1009">
      <c r="A1009" s="3" t="n"/>
      <c r="B1009" s="3" t="n"/>
      <c r="C1009" s="3" t="n"/>
      <c r="D1009" s="4" t="n"/>
      <c r="E1009" s="3" t="n"/>
      <c r="F1009" s="3" t="n"/>
      <c r="G1009" s="3" t="n"/>
      <c r="H1009" s="3" t="n"/>
      <c r="I1009" s="3" t="n"/>
      <c r="J1009" s="3" t="n"/>
      <c r="K1009" s="3" t="n"/>
      <c r="L1009" s="3" t="n"/>
      <c r="M1009" s="3" t="n"/>
      <c r="N1009" s="3" t="n"/>
      <c r="O1009" s="3" t="n"/>
      <c r="P1009" s="3" t="n"/>
      <c r="Q1009" s="3" t="n"/>
      <c r="R1009" s="5">
        <f>IF(Q1009&lt;&gt;"是","排除",IF(OR(L1009="",M1009=""),"",IF(OR(L1009="未知",M1009="未知"),"未知",IF(AND(L1009="真",M1009="真"),"TP",IF(AND(L1009="真",M1009="假"),"FP",IF(AND(L1009="假",M1009="真"),"FN","TN"))))))</f>
        <v/>
      </c>
      <c r="S1009" s="3" t="n"/>
      <c r="T1009" s="3" t="n"/>
      <c r="U1009" s="3" t="n"/>
      <c r="V1009" s="3" t="n"/>
    </row>
    <row r="1010">
      <c r="A1010" s="3" t="n"/>
      <c r="B1010" s="3" t="n"/>
      <c r="C1010" s="3" t="n"/>
      <c r="D1010" s="4" t="n"/>
      <c r="E1010" s="3" t="n"/>
      <c r="F1010" s="3" t="n"/>
      <c r="G1010" s="3" t="n"/>
      <c r="H1010" s="3" t="n"/>
      <c r="I1010" s="3" t="n"/>
      <c r="J1010" s="3" t="n"/>
      <c r="K1010" s="3" t="n"/>
      <c r="L1010" s="3" t="n"/>
      <c r="M1010" s="3" t="n"/>
      <c r="N1010" s="3" t="n"/>
      <c r="O1010" s="3" t="n"/>
      <c r="P1010" s="3" t="n"/>
      <c r="Q1010" s="3" t="n"/>
      <c r="R1010" s="5">
        <f>IF(Q1010&lt;&gt;"是","排除",IF(OR(L1010="",M1010=""),"",IF(OR(L1010="未知",M1010="未知"),"未知",IF(AND(L1010="真",M1010="真"),"TP",IF(AND(L1010="真",M1010="假"),"FP",IF(AND(L1010="假",M1010="真"),"FN","TN"))))))</f>
        <v/>
      </c>
      <c r="S1010" s="3" t="n"/>
      <c r="T1010" s="3" t="n"/>
      <c r="U1010" s="3" t="n"/>
      <c r="V1010" s="3" t="n"/>
    </row>
    <row r="1011">
      <c r="A1011" s="3" t="n"/>
      <c r="B1011" s="3" t="n"/>
      <c r="C1011" s="3" t="n"/>
      <c r="D1011" s="4" t="n"/>
      <c r="E1011" s="3" t="n"/>
      <c r="F1011" s="3" t="n"/>
      <c r="G1011" s="3" t="n"/>
      <c r="H1011" s="3" t="n"/>
      <c r="I1011" s="3" t="n"/>
      <c r="J1011" s="3" t="n"/>
      <c r="K1011" s="3" t="n"/>
      <c r="L1011" s="3" t="n"/>
      <c r="M1011" s="3" t="n"/>
      <c r="N1011" s="3" t="n"/>
      <c r="O1011" s="3" t="n"/>
      <c r="P1011" s="3" t="n"/>
      <c r="Q1011" s="3" t="n"/>
      <c r="R1011" s="5">
        <f>IF(Q1011&lt;&gt;"是","排除",IF(OR(L1011="",M1011=""),"",IF(OR(L1011="未知",M1011="未知"),"未知",IF(AND(L1011="真",M1011="真"),"TP",IF(AND(L1011="真",M1011="假"),"FP",IF(AND(L1011="假",M1011="真"),"FN","TN"))))))</f>
        <v/>
      </c>
      <c r="S1011" s="3" t="n"/>
      <c r="T1011" s="3" t="n"/>
      <c r="U1011" s="3" t="n"/>
      <c r="V1011" s="3" t="n"/>
    </row>
    <row r="1012">
      <c r="A1012" s="3" t="n"/>
      <c r="B1012" s="3" t="n"/>
      <c r="C1012" s="3" t="n"/>
      <c r="D1012" s="4" t="n"/>
      <c r="E1012" s="3" t="n"/>
      <c r="F1012" s="3" t="n"/>
      <c r="G1012" s="3" t="n"/>
      <c r="H1012" s="3" t="n"/>
      <c r="I1012" s="3" t="n"/>
      <c r="J1012" s="3" t="n"/>
      <c r="K1012" s="3" t="n"/>
      <c r="L1012" s="3" t="n"/>
      <c r="M1012" s="3" t="n"/>
      <c r="N1012" s="3" t="n"/>
      <c r="O1012" s="3" t="n"/>
      <c r="P1012" s="3" t="n"/>
      <c r="Q1012" s="3" t="n"/>
      <c r="R1012" s="5">
        <f>IF(Q1012&lt;&gt;"是","排除",IF(OR(L1012="",M1012=""),"",IF(OR(L1012="未知",M1012="未知"),"未知",IF(AND(L1012="真",M1012="真"),"TP",IF(AND(L1012="真",M1012="假"),"FP",IF(AND(L1012="假",M1012="真"),"FN","TN"))))))</f>
        <v/>
      </c>
      <c r="S1012" s="3" t="n"/>
      <c r="T1012" s="3" t="n"/>
      <c r="U1012" s="3" t="n"/>
      <c r="V1012" s="3" t="n"/>
    </row>
    <row r="1013">
      <c r="A1013" s="3" t="n"/>
      <c r="B1013" s="3" t="n"/>
      <c r="C1013" s="3" t="n"/>
      <c r="D1013" s="4" t="n"/>
      <c r="E1013" s="3" t="n"/>
      <c r="F1013" s="3" t="n"/>
      <c r="G1013" s="3" t="n"/>
      <c r="H1013" s="3" t="n"/>
      <c r="I1013" s="3" t="n"/>
      <c r="J1013" s="3" t="n"/>
      <c r="K1013" s="3" t="n"/>
      <c r="L1013" s="3" t="n"/>
      <c r="M1013" s="3" t="n"/>
      <c r="N1013" s="3" t="n"/>
      <c r="O1013" s="3" t="n"/>
      <c r="P1013" s="3" t="n"/>
      <c r="Q1013" s="3" t="n"/>
      <c r="R1013" s="5">
        <f>IF(Q1013&lt;&gt;"是","排除",IF(OR(L1013="",M1013=""),"",IF(OR(L1013="未知",M1013="未知"),"未知",IF(AND(L1013="真",M1013="真"),"TP",IF(AND(L1013="真",M1013="假"),"FP",IF(AND(L1013="假",M1013="真"),"FN","TN"))))))</f>
        <v/>
      </c>
      <c r="S1013" s="3" t="n"/>
      <c r="T1013" s="3" t="n"/>
      <c r="U1013" s="3" t="n"/>
      <c r="V1013" s="3" t="n"/>
    </row>
    <row r="1014">
      <c r="A1014" s="3" t="n"/>
      <c r="B1014" s="3" t="n"/>
      <c r="C1014" s="3" t="n"/>
      <c r="D1014" s="4" t="n"/>
      <c r="E1014" s="3" t="n"/>
      <c r="F1014" s="3" t="n"/>
      <c r="G1014" s="3" t="n"/>
      <c r="H1014" s="3" t="n"/>
      <c r="I1014" s="3" t="n"/>
      <c r="J1014" s="3" t="n"/>
      <c r="K1014" s="3" t="n"/>
      <c r="L1014" s="3" t="n"/>
      <c r="M1014" s="3" t="n"/>
      <c r="N1014" s="3" t="n"/>
      <c r="O1014" s="3" t="n"/>
      <c r="P1014" s="3" t="n"/>
      <c r="Q1014" s="3" t="n"/>
      <c r="R1014" s="5">
        <f>IF(Q1014&lt;&gt;"是","排除",IF(OR(L1014="",M1014=""),"",IF(OR(L1014="未知",M1014="未知"),"未知",IF(AND(L1014="真",M1014="真"),"TP",IF(AND(L1014="真",M1014="假"),"FP",IF(AND(L1014="假",M1014="真"),"FN","TN"))))))</f>
        <v/>
      </c>
      <c r="S1014" s="3" t="n"/>
      <c r="T1014" s="3" t="n"/>
      <c r="U1014" s="3" t="n"/>
      <c r="V1014" s="3" t="n"/>
    </row>
    <row r="1015">
      <c r="A1015" s="3" t="n"/>
      <c r="B1015" s="3" t="n"/>
      <c r="C1015" s="3" t="n"/>
      <c r="D1015" s="4" t="n"/>
      <c r="E1015" s="3" t="n"/>
      <c r="F1015" s="3" t="n"/>
      <c r="G1015" s="3" t="n"/>
      <c r="H1015" s="3" t="n"/>
      <c r="I1015" s="3" t="n"/>
      <c r="J1015" s="3" t="n"/>
      <c r="K1015" s="3" t="n"/>
      <c r="L1015" s="3" t="n"/>
      <c r="M1015" s="3" t="n"/>
      <c r="N1015" s="3" t="n"/>
      <c r="O1015" s="3" t="n"/>
      <c r="P1015" s="3" t="n"/>
      <c r="Q1015" s="3" t="n"/>
      <c r="R1015" s="5">
        <f>IF(Q1015&lt;&gt;"是","排除",IF(OR(L1015="",M1015=""),"",IF(OR(L1015="未知",M1015="未知"),"未知",IF(AND(L1015="真",M1015="真"),"TP",IF(AND(L1015="真",M1015="假"),"FP",IF(AND(L1015="假",M1015="真"),"FN","TN"))))))</f>
        <v/>
      </c>
      <c r="S1015" s="3" t="n"/>
      <c r="T1015" s="3" t="n"/>
      <c r="U1015" s="3" t="n"/>
      <c r="V1015" s="3" t="n"/>
    </row>
    <row r="1016">
      <c r="A1016" s="3" t="n"/>
      <c r="B1016" s="3" t="n"/>
      <c r="C1016" s="3" t="n"/>
      <c r="D1016" s="4" t="n"/>
      <c r="E1016" s="3" t="n"/>
      <c r="F1016" s="3" t="n"/>
      <c r="G1016" s="3" t="n"/>
      <c r="H1016" s="3" t="n"/>
      <c r="I1016" s="3" t="n"/>
      <c r="J1016" s="3" t="n"/>
      <c r="K1016" s="3" t="n"/>
      <c r="L1016" s="3" t="n"/>
      <c r="M1016" s="3" t="n"/>
      <c r="N1016" s="3" t="n"/>
      <c r="O1016" s="3" t="n"/>
      <c r="P1016" s="3" t="n"/>
      <c r="Q1016" s="3" t="n"/>
      <c r="R1016" s="5">
        <f>IF(Q1016&lt;&gt;"是","排除",IF(OR(L1016="",M1016=""),"",IF(OR(L1016="未知",M1016="未知"),"未知",IF(AND(L1016="真",M1016="真"),"TP",IF(AND(L1016="真",M1016="假"),"FP",IF(AND(L1016="假",M1016="真"),"FN","TN"))))))</f>
        <v/>
      </c>
      <c r="S1016" s="3" t="n"/>
      <c r="T1016" s="3" t="n"/>
      <c r="U1016" s="3" t="n"/>
      <c r="V1016" s="3" t="n"/>
    </row>
    <row r="1017">
      <c r="A1017" s="3" t="n"/>
      <c r="B1017" s="3" t="n"/>
      <c r="C1017" s="3" t="n"/>
      <c r="D1017" s="4" t="n"/>
      <c r="E1017" s="3" t="n"/>
      <c r="F1017" s="3" t="n"/>
      <c r="G1017" s="3" t="n"/>
      <c r="H1017" s="3" t="n"/>
      <c r="I1017" s="3" t="n"/>
      <c r="J1017" s="3" t="n"/>
      <c r="K1017" s="3" t="n"/>
      <c r="L1017" s="3" t="n"/>
      <c r="M1017" s="3" t="n"/>
      <c r="N1017" s="3" t="n"/>
      <c r="O1017" s="3" t="n"/>
      <c r="P1017" s="3" t="n"/>
      <c r="Q1017" s="3" t="n"/>
      <c r="R1017" s="5">
        <f>IF(Q1017&lt;&gt;"是","排除",IF(OR(L1017="",M1017=""),"",IF(OR(L1017="未知",M1017="未知"),"未知",IF(AND(L1017="真",M1017="真"),"TP",IF(AND(L1017="真",M1017="假"),"FP",IF(AND(L1017="假",M1017="真"),"FN","TN"))))))</f>
        <v/>
      </c>
      <c r="S1017" s="3" t="n"/>
      <c r="T1017" s="3" t="n"/>
      <c r="U1017" s="3" t="n"/>
      <c r="V1017" s="3" t="n"/>
    </row>
    <row r="1018">
      <c r="A1018" s="3" t="n"/>
      <c r="B1018" s="3" t="n"/>
      <c r="C1018" s="3" t="n"/>
      <c r="D1018" s="4" t="n"/>
      <c r="E1018" s="3" t="n"/>
      <c r="F1018" s="3" t="n"/>
      <c r="G1018" s="3" t="n"/>
      <c r="H1018" s="3" t="n"/>
      <c r="I1018" s="3" t="n"/>
      <c r="J1018" s="3" t="n"/>
      <c r="K1018" s="3" t="n"/>
      <c r="L1018" s="3" t="n"/>
      <c r="M1018" s="3" t="n"/>
      <c r="N1018" s="3" t="n"/>
      <c r="O1018" s="3" t="n"/>
      <c r="P1018" s="3" t="n"/>
      <c r="Q1018" s="3" t="n"/>
      <c r="R1018" s="5">
        <f>IF(Q1018&lt;&gt;"是","排除",IF(OR(L1018="",M1018=""),"",IF(OR(L1018="未知",M1018="未知"),"未知",IF(AND(L1018="真",M1018="真"),"TP",IF(AND(L1018="真",M1018="假"),"FP",IF(AND(L1018="假",M1018="真"),"FN","TN"))))))</f>
        <v/>
      </c>
      <c r="S1018" s="3" t="n"/>
      <c r="T1018" s="3" t="n"/>
      <c r="U1018" s="3" t="n"/>
      <c r="V1018" s="3" t="n"/>
    </row>
    <row r="1019">
      <c r="A1019" s="3" t="n"/>
      <c r="B1019" s="3" t="n"/>
      <c r="C1019" s="3" t="n"/>
      <c r="D1019" s="4" t="n"/>
      <c r="E1019" s="3" t="n"/>
      <c r="F1019" s="3" t="n"/>
      <c r="G1019" s="3" t="n"/>
      <c r="H1019" s="3" t="n"/>
      <c r="I1019" s="3" t="n"/>
      <c r="J1019" s="3" t="n"/>
      <c r="K1019" s="3" t="n"/>
      <c r="L1019" s="3" t="n"/>
      <c r="M1019" s="3" t="n"/>
      <c r="N1019" s="3" t="n"/>
      <c r="O1019" s="3" t="n"/>
      <c r="P1019" s="3" t="n"/>
      <c r="Q1019" s="3" t="n"/>
      <c r="R1019" s="5">
        <f>IF(Q1019&lt;&gt;"是","排除",IF(OR(L1019="",M1019=""),"",IF(OR(L1019="未知",M1019="未知"),"未知",IF(AND(L1019="真",M1019="真"),"TP",IF(AND(L1019="真",M1019="假"),"FP",IF(AND(L1019="假",M1019="真"),"FN","TN"))))))</f>
        <v/>
      </c>
      <c r="S1019" s="3" t="n"/>
      <c r="T1019" s="3" t="n"/>
      <c r="U1019" s="3" t="n"/>
      <c r="V1019" s="3" t="n"/>
    </row>
    <row r="1020">
      <c r="A1020" s="3" t="n"/>
      <c r="B1020" s="3" t="n"/>
      <c r="C1020" s="3" t="n"/>
      <c r="D1020" s="4" t="n"/>
      <c r="E1020" s="3" t="n"/>
      <c r="F1020" s="3" t="n"/>
      <c r="G1020" s="3" t="n"/>
      <c r="H1020" s="3" t="n"/>
      <c r="I1020" s="3" t="n"/>
      <c r="J1020" s="3" t="n"/>
      <c r="K1020" s="3" t="n"/>
      <c r="L1020" s="3" t="n"/>
      <c r="M1020" s="3" t="n"/>
      <c r="N1020" s="3" t="n"/>
      <c r="O1020" s="3" t="n"/>
      <c r="P1020" s="3" t="n"/>
      <c r="Q1020" s="3" t="n"/>
      <c r="R1020" s="5">
        <f>IF(Q1020&lt;&gt;"是","排除",IF(OR(L1020="",M1020=""),"",IF(OR(L1020="未知",M1020="未知"),"未知",IF(AND(L1020="真",M1020="真"),"TP",IF(AND(L1020="真",M1020="假"),"FP",IF(AND(L1020="假",M1020="真"),"FN","TN"))))))</f>
        <v/>
      </c>
      <c r="S1020" s="3" t="n"/>
      <c r="T1020" s="3" t="n"/>
      <c r="U1020" s="3" t="n"/>
      <c r="V1020" s="3" t="n"/>
    </row>
    <row r="1021">
      <c r="A1021" s="3" t="n"/>
      <c r="B1021" s="3" t="n"/>
      <c r="C1021" s="3" t="n"/>
      <c r="D1021" s="4" t="n"/>
      <c r="E1021" s="3" t="n"/>
      <c r="F1021" s="3" t="n"/>
      <c r="G1021" s="3" t="n"/>
      <c r="H1021" s="3" t="n"/>
      <c r="I1021" s="3" t="n"/>
      <c r="J1021" s="3" t="n"/>
      <c r="K1021" s="3" t="n"/>
      <c r="L1021" s="3" t="n"/>
      <c r="M1021" s="3" t="n"/>
      <c r="N1021" s="3" t="n"/>
      <c r="O1021" s="3" t="n"/>
      <c r="P1021" s="3" t="n"/>
      <c r="Q1021" s="3" t="n"/>
      <c r="R1021" s="5">
        <f>IF(Q1021&lt;&gt;"是","排除",IF(OR(L1021="",M1021=""),"",IF(OR(L1021="未知",M1021="未知"),"未知",IF(AND(L1021="真",M1021="真"),"TP",IF(AND(L1021="真",M1021="假"),"FP",IF(AND(L1021="假",M1021="真"),"FN","TN"))))))</f>
        <v/>
      </c>
      <c r="S1021" s="3" t="n"/>
      <c r="T1021" s="3" t="n"/>
      <c r="U1021" s="3" t="n"/>
      <c r="V1021" s="3" t="n"/>
    </row>
    <row r="1022">
      <c r="A1022" s="3" t="n"/>
      <c r="B1022" s="3" t="n"/>
      <c r="C1022" s="3" t="n"/>
      <c r="D1022" s="4" t="n"/>
      <c r="E1022" s="3" t="n"/>
      <c r="F1022" s="3" t="n"/>
      <c r="G1022" s="3" t="n"/>
      <c r="H1022" s="3" t="n"/>
      <c r="I1022" s="3" t="n"/>
      <c r="J1022" s="3" t="n"/>
      <c r="K1022" s="3" t="n"/>
      <c r="L1022" s="3" t="n"/>
      <c r="M1022" s="3" t="n"/>
      <c r="N1022" s="3" t="n"/>
      <c r="O1022" s="3" t="n"/>
      <c r="P1022" s="3" t="n"/>
      <c r="Q1022" s="3" t="n"/>
      <c r="R1022" s="5">
        <f>IF(Q1022&lt;&gt;"是","排除",IF(OR(L1022="",M1022=""),"",IF(OR(L1022="未知",M1022="未知"),"未知",IF(AND(L1022="真",M1022="真"),"TP",IF(AND(L1022="真",M1022="假"),"FP",IF(AND(L1022="假",M1022="真"),"FN","TN"))))))</f>
        <v/>
      </c>
      <c r="S1022" s="3" t="n"/>
      <c r="T1022" s="3" t="n"/>
      <c r="U1022" s="3" t="n"/>
      <c r="V1022" s="3" t="n"/>
    </row>
    <row r="1023">
      <c r="A1023" s="3" t="n"/>
      <c r="B1023" s="3" t="n"/>
      <c r="C1023" s="3" t="n"/>
      <c r="D1023" s="4" t="n"/>
      <c r="E1023" s="3" t="n"/>
      <c r="F1023" s="3" t="n"/>
      <c r="G1023" s="3" t="n"/>
      <c r="H1023" s="3" t="n"/>
      <c r="I1023" s="3" t="n"/>
      <c r="J1023" s="3" t="n"/>
      <c r="K1023" s="3" t="n"/>
      <c r="L1023" s="3" t="n"/>
      <c r="M1023" s="3" t="n"/>
      <c r="N1023" s="3" t="n"/>
      <c r="O1023" s="3" t="n"/>
      <c r="P1023" s="3" t="n"/>
      <c r="Q1023" s="3" t="n"/>
      <c r="R1023" s="5">
        <f>IF(Q1023&lt;&gt;"是","排除",IF(OR(L1023="",M1023=""),"",IF(OR(L1023="未知",M1023="未知"),"未知",IF(AND(L1023="真",M1023="真"),"TP",IF(AND(L1023="真",M1023="假"),"FP",IF(AND(L1023="假",M1023="真"),"FN","TN"))))))</f>
        <v/>
      </c>
      <c r="S1023" s="3" t="n"/>
      <c r="T1023" s="3" t="n"/>
      <c r="U1023" s="3" t="n"/>
      <c r="V1023" s="3" t="n"/>
    </row>
    <row r="1024">
      <c r="A1024" s="3" t="n"/>
      <c r="B1024" s="3" t="n"/>
      <c r="C1024" s="3" t="n"/>
      <c r="D1024" s="4" t="n"/>
      <c r="E1024" s="3" t="n"/>
      <c r="F1024" s="3" t="n"/>
      <c r="G1024" s="3" t="n"/>
      <c r="H1024" s="3" t="n"/>
      <c r="I1024" s="3" t="n"/>
      <c r="J1024" s="3" t="n"/>
      <c r="K1024" s="3" t="n"/>
      <c r="L1024" s="3" t="n"/>
      <c r="M1024" s="3" t="n"/>
      <c r="N1024" s="3" t="n"/>
      <c r="O1024" s="3" t="n"/>
      <c r="P1024" s="3" t="n"/>
      <c r="Q1024" s="3" t="n"/>
      <c r="R1024" s="5">
        <f>IF(Q1024&lt;&gt;"是","排除",IF(OR(L1024="",M1024=""),"",IF(OR(L1024="未知",M1024="未知"),"未知",IF(AND(L1024="真",M1024="真"),"TP",IF(AND(L1024="真",M1024="假"),"FP",IF(AND(L1024="假",M1024="真"),"FN","TN"))))))</f>
        <v/>
      </c>
      <c r="S1024" s="3" t="n"/>
      <c r="T1024" s="3" t="n"/>
      <c r="U1024" s="3" t="n"/>
      <c r="V1024" s="3" t="n"/>
    </row>
    <row r="1025">
      <c r="A1025" s="3" t="n"/>
      <c r="B1025" s="3" t="n"/>
      <c r="C1025" s="3" t="n"/>
      <c r="D1025" s="4" t="n"/>
      <c r="E1025" s="3" t="n"/>
      <c r="F1025" s="3" t="n"/>
      <c r="G1025" s="3" t="n"/>
      <c r="H1025" s="3" t="n"/>
      <c r="I1025" s="3" t="n"/>
      <c r="J1025" s="3" t="n"/>
      <c r="K1025" s="3" t="n"/>
      <c r="L1025" s="3" t="n"/>
      <c r="M1025" s="3" t="n"/>
      <c r="N1025" s="3" t="n"/>
      <c r="O1025" s="3" t="n"/>
      <c r="P1025" s="3" t="n"/>
      <c r="Q1025" s="3" t="n"/>
      <c r="R1025" s="5">
        <f>IF(Q1025&lt;&gt;"是","排除",IF(OR(L1025="",M1025=""),"",IF(OR(L1025="未知",M1025="未知"),"未知",IF(AND(L1025="真",M1025="真"),"TP",IF(AND(L1025="真",M1025="假"),"FP",IF(AND(L1025="假",M1025="真"),"FN","TN"))))))</f>
        <v/>
      </c>
      <c r="S1025" s="3" t="n"/>
      <c r="T1025" s="3" t="n"/>
      <c r="U1025" s="3" t="n"/>
      <c r="V1025" s="3" t="n"/>
    </row>
    <row r="1026">
      <c r="A1026" s="3" t="n"/>
      <c r="B1026" s="3" t="n"/>
      <c r="C1026" s="3" t="n"/>
      <c r="D1026" s="4" t="n"/>
      <c r="E1026" s="3" t="n"/>
      <c r="F1026" s="3" t="n"/>
      <c r="G1026" s="3" t="n"/>
      <c r="H1026" s="3" t="n"/>
      <c r="I1026" s="3" t="n"/>
      <c r="J1026" s="3" t="n"/>
      <c r="K1026" s="3" t="n"/>
      <c r="L1026" s="3" t="n"/>
      <c r="M1026" s="3" t="n"/>
      <c r="N1026" s="3" t="n"/>
      <c r="O1026" s="3" t="n"/>
      <c r="P1026" s="3" t="n"/>
      <c r="Q1026" s="3" t="n"/>
      <c r="R1026" s="5">
        <f>IF(Q1026&lt;&gt;"是","排除",IF(OR(L1026="",M1026=""),"",IF(OR(L1026="未知",M1026="未知"),"未知",IF(AND(L1026="真",M1026="真"),"TP",IF(AND(L1026="真",M1026="假"),"FP",IF(AND(L1026="假",M1026="真"),"FN","TN"))))))</f>
        <v/>
      </c>
      <c r="S1026" s="3" t="n"/>
      <c r="T1026" s="3" t="n"/>
      <c r="U1026" s="3" t="n"/>
      <c r="V1026" s="3" t="n"/>
    </row>
    <row r="1027">
      <c r="A1027" s="3" t="n"/>
      <c r="B1027" s="3" t="n"/>
      <c r="C1027" s="3" t="n"/>
      <c r="D1027" s="4" t="n"/>
      <c r="E1027" s="3" t="n"/>
      <c r="F1027" s="3" t="n"/>
      <c r="G1027" s="3" t="n"/>
      <c r="H1027" s="3" t="n"/>
      <c r="I1027" s="3" t="n"/>
      <c r="J1027" s="3" t="n"/>
      <c r="K1027" s="3" t="n"/>
      <c r="L1027" s="3" t="n"/>
      <c r="M1027" s="3" t="n"/>
      <c r="N1027" s="3" t="n"/>
      <c r="O1027" s="3" t="n"/>
      <c r="P1027" s="3" t="n"/>
      <c r="Q1027" s="3" t="n"/>
      <c r="R1027" s="5">
        <f>IF(Q1027&lt;&gt;"是","排除",IF(OR(L1027="",M1027=""),"",IF(OR(L1027="未知",M1027="未知"),"未知",IF(AND(L1027="真",M1027="真"),"TP",IF(AND(L1027="真",M1027="假"),"FP",IF(AND(L1027="假",M1027="真"),"FN","TN"))))))</f>
        <v/>
      </c>
      <c r="S1027" s="3" t="n"/>
      <c r="T1027" s="3" t="n"/>
      <c r="U1027" s="3" t="n"/>
      <c r="V1027" s="3" t="n"/>
    </row>
    <row r="1028">
      <c r="A1028" s="3" t="n"/>
      <c r="B1028" s="3" t="n"/>
      <c r="C1028" s="3" t="n"/>
      <c r="D1028" s="4" t="n"/>
      <c r="E1028" s="3" t="n"/>
      <c r="F1028" s="3" t="n"/>
      <c r="G1028" s="3" t="n"/>
      <c r="H1028" s="3" t="n"/>
      <c r="I1028" s="3" t="n"/>
      <c r="J1028" s="3" t="n"/>
      <c r="K1028" s="3" t="n"/>
      <c r="L1028" s="3" t="n"/>
      <c r="M1028" s="3" t="n"/>
      <c r="N1028" s="3" t="n"/>
      <c r="O1028" s="3" t="n"/>
      <c r="P1028" s="3" t="n"/>
      <c r="Q1028" s="3" t="n"/>
      <c r="R1028" s="5">
        <f>IF(Q1028&lt;&gt;"是","排除",IF(OR(L1028="",M1028=""),"",IF(OR(L1028="未知",M1028="未知"),"未知",IF(AND(L1028="真",M1028="真"),"TP",IF(AND(L1028="真",M1028="假"),"FP",IF(AND(L1028="假",M1028="真"),"FN","TN"))))))</f>
        <v/>
      </c>
      <c r="S1028" s="3" t="n"/>
      <c r="T1028" s="3" t="n"/>
      <c r="U1028" s="3" t="n"/>
      <c r="V1028" s="3" t="n"/>
    </row>
    <row r="1029">
      <c r="A1029" s="3" t="n"/>
      <c r="B1029" s="3" t="n"/>
      <c r="C1029" s="3" t="n"/>
      <c r="D1029" s="4" t="n"/>
      <c r="E1029" s="3" t="n"/>
      <c r="F1029" s="3" t="n"/>
      <c r="G1029" s="3" t="n"/>
      <c r="H1029" s="3" t="n"/>
      <c r="I1029" s="3" t="n"/>
      <c r="J1029" s="3" t="n"/>
      <c r="K1029" s="3" t="n"/>
      <c r="L1029" s="3" t="n"/>
      <c r="M1029" s="3" t="n"/>
      <c r="N1029" s="3" t="n"/>
      <c r="O1029" s="3" t="n"/>
      <c r="P1029" s="3" t="n"/>
      <c r="Q1029" s="3" t="n"/>
      <c r="R1029" s="5">
        <f>IF(Q1029&lt;&gt;"是","排除",IF(OR(L1029="",M1029=""),"",IF(OR(L1029="未知",M1029="未知"),"未知",IF(AND(L1029="真",M1029="真"),"TP",IF(AND(L1029="真",M1029="假"),"FP",IF(AND(L1029="假",M1029="真"),"FN","TN"))))))</f>
        <v/>
      </c>
      <c r="S1029" s="3" t="n"/>
      <c r="T1029" s="3" t="n"/>
      <c r="U1029" s="3" t="n"/>
      <c r="V1029" s="3" t="n"/>
    </row>
    <row r="1030">
      <c r="A1030" s="3" t="n"/>
      <c r="B1030" s="3" t="n"/>
      <c r="C1030" s="3" t="n"/>
      <c r="D1030" s="4" t="n"/>
      <c r="E1030" s="3" t="n"/>
      <c r="F1030" s="3" t="n"/>
      <c r="G1030" s="3" t="n"/>
      <c r="H1030" s="3" t="n"/>
      <c r="I1030" s="3" t="n"/>
      <c r="J1030" s="3" t="n"/>
      <c r="K1030" s="3" t="n"/>
      <c r="L1030" s="3" t="n"/>
      <c r="M1030" s="3" t="n"/>
      <c r="N1030" s="3" t="n"/>
      <c r="O1030" s="3" t="n"/>
      <c r="P1030" s="3" t="n"/>
      <c r="Q1030" s="3" t="n"/>
      <c r="R1030" s="5">
        <f>IF(Q1030&lt;&gt;"是","排除",IF(OR(L1030="",M1030=""),"",IF(OR(L1030="未知",M1030="未知"),"未知",IF(AND(L1030="真",M1030="真"),"TP",IF(AND(L1030="真",M1030="假"),"FP",IF(AND(L1030="假",M1030="真"),"FN","TN"))))))</f>
        <v/>
      </c>
      <c r="S1030" s="3" t="n"/>
      <c r="T1030" s="3" t="n"/>
      <c r="U1030" s="3" t="n"/>
      <c r="V1030" s="3" t="n"/>
    </row>
    <row r="1031">
      <c r="A1031" s="3" t="n"/>
      <c r="B1031" s="3" t="n"/>
      <c r="C1031" s="3" t="n"/>
      <c r="D1031" s="4" t="n"/>
      <c r="E1031" s="3" t="n"/>
      <c r="F1031" s="3" t="n"/>
      <c r="G1031" s="3" t="n"/>
      <c r="H1031" s="3" t="n"/>
      <c r="I1031" s="3" t="n"/>
      <c r="J1031" s="3" t="n"/>
      <c r="K1031" s="3" t="n"/>
      <c r="L1031" s="3" t="n"/>
      <c r="M1031" s="3" t="n"/>
      <c r="N1031" s="3" t="n"/>
      <c r="O1031" s="3" t="n"/>
      <c r="P1031" s="3" t="n"/>
      <c r="Q1031" s="3" t="n"/>
      <c r="R1031" s="5">
        <f>IF(Q1031&lt;&gt;"是","排除",IF(OR(L1031="",M1031=""),"",IF(OR(L1031="未知",M1031="未知"),"未知",IF(AND(L1031="真",M1031="真"),"TP",IF(AND(L1031="真",M1031="假"),"FP",IF(AND(L1031="假",M1031="真"),"FN","TN"))))))</f>
        <v/>
      </c>
      <c r="S1031" s="3" t="n"/>
      <c r="T1031" s="3" t="n"/>
      <c r="U1031" s="3" t="n"/>
      <c r="V1031" s="3" t="n"/>
    </row>
    <row r="1032">
      <c r="A1032" s="3" t="n"/>
      <c r="B1032" s="3" t="n"/>
      <c r="C1032" s="3" t="n"/>
      <c r="D1032" s="4" t="n"/>
      <c r="E1032" s="3" t="n"/>
      <c r="F1032" s="3" t="n"/>
      <c r="G1032" s="3" t="n"/>
      <c r="H1032" s="3" t="n"/>
      <c r="I1032" s="3" t="n"/>
      <c r="J1032" s="3" t="n"/>
      <c r="K1032" s="3" t="n"/>
      <c r="L1032" s="3" t="n"/>
      <c r="M1032" s="3" t="n"/>
      <c r="N1032" s="3" t="n"/>
      <c r="O1032" s="3" t="n"/>
      <c r="P1032" s="3" t="n"/>
      <c r="Q1032" s="3" t="n"/>
      <c r="R1032" s="5">
        <f>IF(Q1032&lt;&gt;"是","排除",IF(OR(L1032="",M1032=""),"",IF(OR(L1032="未知",M1032="未知"),"未知",IF(AND(L1032="真",M1032="真"),"TP",IF(AND(L1032="真",M1032="假"),"FP",IF(AND(L1032="假",M1032="真"),"FN","TN"))))))</f>
        <v/>
      </c>
      <c r="S1032" s="3" t="n"/>
      <c r="T1032" s="3" t="n"/>
      <c r="U1032" s="3" t="n"/>
      <c r="V1032" s="3" t="n"/>
    </row>
    <row r="1033">
      <c r="A1033" s="3" t="n"/>
      <c r="B1033" s="3" t="n"/>
      <c r="C1033" s="3" t="n"/>
      <c r="D1033" s="4" t="n"/>
      <c r="E1033" s="3" t="n"/>
      <c r="F1033" s="3" t="n"/>
      <c r="G1033" s="3" t="n"/>
      <c r="H1033" s="3" t="n"/>
      <c r="I1033" s="3" t="n"/>
      <c r="J1033" s="3" t="n"/>
      <c r="K1033" s="3" t="n"/>
      <c r="L1033" s="3" t="n"/>
      <c r="M1033" s="3" t="n"/>
      <c r="N1033" s="3" t="n"/>
      <c r="O1033" s="3" t="n"/>
      <c r="P1033" s="3" t="n"/>
      <c r="Q1033" s="3" t="n"/>
      <c r="R1033" s="5">
        <f>IF(Q1033&lt;&gt;"是","排除",IF(OR(L1033="",M1033=""),"",IF(OR(L1033="未知",M1033="未知"),"未知",IF(AND(L1033="真",M1033="真"),"TP",IF(AND(L1033="真",M1033="假"),"FP",IF(AND(L1033="假",M1033="真"),"FN","TN"))))))</f>
        <v/>
      </c>
      <c r="S1033" s="3" t="n"/>
      <c r="T1033" s="3" t="n"/>
      <c r="U1033" s="3" t="n"/>
      <c r="V1033" s="3" t="n"/>
    </row>
    <row r="1034">
      <c r="A1034" s="3" t="n"/>
      <c r="B1034" s="3" t="n"/>
      <c r="C1034" s="3" t="n"/>
      <c r="D1034" s="4" t="n"/>
      <c r="E1034" s="3" t="n"/>
      <c r="F1034" s="3" t="n"/>
      <c r="G1034" s="3" t="n"/>
      <c r="H1034" s="3" t="n"/>
      <c r="I1034" s="3" t="n"/>
      <c r="J1034" s="3" t="n"/>
      <c r="K1034" s="3" t="n"/>
      <c r="L1034" s="3" t="n"/>
      <c r="M1034" s="3" t="n"/>
      <c r="N1034" s="3" t="n"/>
      <c r="O1034" s="3" t="n"/>
      <c r="P1034" s="3" t="n"/>
      <c r="Q1034" s="3" t="n"/>
      <c r="R1034" s="5">
        <f>IF(Q1034&lt;&gt;"是","排除",IF(OR(L1034="",M1034=""),"",IF(OR(L1034="未知",M1034="未知"),"未知",IF(AND(L1034="真",M1034="真"),"TP",IF(AND(L1034="真",M1034="假"),"FP",IF(AND(L1034="假",M1034="真"),"FN","TN"))))))</f>
        <v/>
      </c>
      <c r="S1034" s="3" t="n"/>
      <c r="T1034" s="3" t="n"/>
      <c r="U1034" s="3" t="n"/>
      <c r="V1034" s="3" t="n"/>
    </row>
    <row r="1035">
      <c r="A1035" s="3" t="n"/>
      <c r="B1035" s="3" t="n"/>
      <c r="C1035" s="3" t="n"/>
      <c r="D1035" s="4" t="n"/>
      <c r="E1035" s="3" t="n"/>
      <c r="F1035" s="3" t="n"/>
      <c r="G1035" s="3" t="n"/>
      <c r="H1035" s="3" t="n"/>
      <c r="I1035" s="3" t="n"/>
      <c r="J1035" s="3" t="n"/>
      <c r="K1035" s="3" t="n"/>
      <c r="L1035" s="3" t="n"/>
      <c r="M1035" s="3" t="n"/>
      <c r="N1035" s="3" t="n"/>
      <c r="O1035" s="3" t="n"/>
      <c r="P1035" s="3" t="n"/>
      <c r="Q1035" s="3" t="n"/>
      <c r="R1035" s="5">
        <f>IF(Q1035&lt;&gt;"是","排除",IF(OR(L1035="",M1035=""),"",IF(OR(L1035="未知",M1035="未知"),"未知",IF(AND(L1035="真",M1035="真"),"TP",IF(AND(L1035="真",M1035="假"),"FP",IF(AND(L1035="假",M1035="真"),"FN","TN"))))))</f>
        <v/>
      </c>
      <c r="S1035" s="3" t="n"/>
      <c r="T1035" s="3" t="n"/>
      <c r="U1035" s="3" t="n"/>
      <c r="V1035" s="3" t="n"/>
    </row>
    <row r="1036">
      <c r="A1036" s="3" t="n"/>
      <c r="B1036" s="3" t="n"/>
      <c r="C1036" s="3" t="n"/>
      <c r="D1036" s="4" t="n"/>
      <c r="E1036" s="3" t="n"/>
      <c r="F1036" s="3" t="n"/>
      <c r="G1036" s="3" t="n"/>
      <c r="H1036" s="3" t="n"/>
      <c r="I1036" s="3" t="n"/>
      <c r="J1036" s="3" t="n"/>
      <c r="K1036" s="3" t="n"/>
      <c r="L1036" s="3" t="n"/>
      <c r="M1036" s="3" t="n"/>
      <c r="N1036" s="3" t="n"/>
      <c r="O1036" s="3" t="n"/>
      <c r="P1036" s="3" t="n"/>
      <c r="Q1036" s="3" t="n"/>
      <c r="R1036" s="5">
        <f>IF(Q1036&lt;&gt;"是","排除",IF(OR(L1036="",M1036=""),"",IF(OR(L1036="未知",M1036="未知"),"未知",IF(AND(L1036="真",M1036="真"),"TP",IF(AND(L1036="真",M1036="假"),"FP",IF(AND(L1036="假",M1036="真"),"FN","TN"))))))</f>
        <v/>
      </c>
      <c r="S1036" s="3" t="n"/>
      <c r="T1036" s="3" t="n"/>
      <c r="U1036" s="3" t="n"/>
      <c r="V1036" s="3" t="n"/>
    </row>
    <row r="1037">
      <c r="A1037" s="3" t="n"/>
      <c r="B1037" s="3" t="n"/>
      <c r="C1037" s="3" t="n"/>
      <c r="D1037" s="4" t="n"/>
      <c r="E1037" s="3" t="n"/>
      <c r="F1037" s="3" t="n"/>
      <c r="G1037" s="3" t="n"/>
      <c r="H1037" s="3" t="n"/>
      <c r="I1037" s="3" t="n"/>
      <c r="J1037" s="3" t="n"/>
      <c r="K1037" s="3" t="n"/>
      <c r="L1037" s="3" t="n"/>
      <c r="M1037" s="3" t="n"/>
      <c r="N1037" s="3" t="n"/>
      <c r="O1037" s="3" t="n"/>
      <c r="P1037" s="3" t="n"/>
      <c r="Q1037" s="3" t="n"/>
      <c r="R1037" s="5">
        <f>IF(Q1037&lt;&gt;"是","排除",IF(OR(L1037="",M1037=""),"",IF(OR(L1037="未知",M1037="未知"),"未知",IF(AND(L1037="真",M1037="真"),"TP",IF(AND(L1037="真",M1037="假"),"FP",IF(AND(L1037="假",M1037="真"),"FN","TN"))))))</f>
        <v/>
      </c>
      <c r="S1037" s="3" t="n"/>
      <c r="T1037" s="3" t="n"/>
      <c r="U1037" s="3" t="n"/>
      <c r="V1037" s="3" t="n"/>
    </row>
    <row r="1038">
      <c r="A1038" s="3" t="n"/>
      <c r="B1038" s="3" t="n"/>
      <c r="C1038" s="3" t="n"/>
      <c r="D1038" s="4" t="n"/>
      <c r="E1038" s="3" t="n"/>
      <c r="F1038" s="3" t="n"/>
      <c r="G1038" s="3" t="n"/>
      <c r="H1038" s="3" t="n"/>
      <c r="I1038" s="3" t="n"/>
      <c r="J1038" s="3" t="n"/>
      <c r="K1038" s="3" t="n"/>
      <c r="L1038" s="3" t="n"/>
      <c r="M1038" s="3" t="n"/>
      <c r="N1038" s="3" t="n"/>
      <c r="O1038" s="3" t="n"/>
      <c r="P1038" s="3" t="n"/>
      <c r="Q1038" s="3" t="n"/>
      <c r="R1038" s="5">
        <f>IF(Q1038&lt;&gt;"是","排除",IF(OR(L1038="",M1038=""),"",IF(OR(L1038="未知",M1038="未知"),"未知",IF(AND(L1038="真",M1038="真"),"TP",IF(AND(L1038="真",M1038="假"),"FP",IF(AND(L1038="假",M1038="真"),"FN","TN"))))))</f>
        <v/>
      </c>
      <c r="S1038" s="3" t="n"/>
      <c r="T1038" s="3" t="n"/>
      <c r="U1038" s="3" t="n"/>
      <c r="V1038" s="3" t="n"/>
    </row>
    <row r="1039">
      <c r="A1039" s="3" t="n"/>
      <c r="B1039" s="3" t="n"/>
      <c r="C1039" s="3" t="n"/>
      <c r="D1039" s="4" t="n"/>
      <c r="E1039" s="3" t="n"/>
      <c r="F1039" s="3" t="n"/>
      <c r="G1039" s="3" t="n"/>
      <c r="H1039" s="3" t="n"/>
      <c r="I1039" s="3" t="n"/>
      <c r="J1039" s="3" t="n"/>
      <c r="K1039" s="3" t="n"/>
      <c r="L1039" s="3" t="n"/>
      <c r="M1039" s="3" t="n"/>
      <c r="N1039" s="3" t="n"/>
      <c r="O1039" s="3" t="n"/>
      <c r="P1039" s="3" t="n"/>
      <c r="Q1039" s="3" t="n"/>
      <c r="R1039" s="5">
        <f>IF(Q1039&lt;&gt;"是","排除",IF(OR(L1039="",M1039=""),"",IF(OR(L1039="未知",M1039="未知"),"未知",IF(AND(L1039="真",M1039="真"),"TP",IF(AND(L1039="真",M1039="假"),"FP",IF(AND(L1039="假",M1039="真"),"FN","TN"))))))</f>
        <v/>
      </c>
      <c r="S1039" s="3" t="n"/>
      <c r="T1039" s="3" t="n"/>
      <c r="U1039" s="3" t="n"/>
      <c r="V1039" s="3" t="n"/>
    </row>
    <row r="1040">
      <c r="A1040" s="3" t="n"/>
      <c r="B1040" s="3" t="n"/>
      <c r="C1040" s="3" t="n"/>
      <c r="D1040" s="4" t="n"/>
      <c r="E1040" s="3" t="n"/>
      <c r="F1040" s="3" t="n"/>
      <c r="G1040" s="3" t="n"/>
      <c r="H1040" s="3" t="n"/>
      <c r="I1040" s="3" t="n"/>
      <c r="J1040" s="3" t="n"/>
      <c r="K1040" s="3" t="n"/>
      <c r="L1040" s="3" t="n"/>
      <c r="M1040" s="3" t="n"/>
      <c r="N1040" s="3" t="n"/>
      <c r="O1040" s="3" t="n"/>
      <c r="P1040" s="3" t="n"/>
      <c r="Q1040" s="3" t="n"/>
      <c r="R1040" s="5">
        <f>IF(Q1040&lt;&gt;"是","排除",IF(OR(L1040="",M1040=""),"",IF(OR(L1040="未知",M1040="未知"),"未知",IF(AND(L1040="真",M1040="真"),"TP",IF(AND(L1040="真",M1040="假"),"FP",IF(AND(L1040="假",M1040="真"),"FN","TN"))))))</f>
        <v/>
      </c>
      <c r="S1040" s="3" t="n"/>
      <c r="T1040" s="3" t="n"/>
      <c r="U1040" s="3" t="n"/>
      <c r="V1040" s="3" t="n"/>
    </row>
    <row r="1041">
      <c r="A1041" s="3" t="n"/>
      <c r="B1041" s="3" t="n"/>
      <c r="C1041" s="3" t="n"/>
      <c r="D1041" s="4" t="n"/>
      <c r="E1041" s="3" t="n"/>
      <c r="F1041" s="3" t="n"/>
      <c r="G1041" s="3" t="n"/>
      <c r="H1041" s="3" t="n"/>
      <c r="I1041" s="3" t="n"/>
      <c r="J1041" s="3" t="n"/>
      <c r="K1041" s="3" t="n"/>
      <c r="L1041" s="3" t="n"/>
      <c r="M1041" s="3" t="n"/>
      <c r="N1041" s="3" t="n"/>
      <c r="O1041" s="3" t="n"/>
      <c r="P1041" s="3" t="n"/>
      <c r="Q1041" s="3" t="n"/>
      <c r="R1041" s="5">
        <f>IF(Q1041&lt;&gt;"是","排除",IF(OR(L1041="",M1041=""),"",IF(OR(L1041="未知",M1041="未知"),"未知",IF(AND(L1041="真",M1041="真"),"TP",IF(AND(L1041="真",M1041="假"),"FP",IF(AND(L1041="假",M1041="真"),"FN","TN"))))))</f>
        <v/>
      </c>
      <c r="S1041" s="3" t="n"/>
      <c r="T1041" s="3" t="n"/>
      <c r="U1041" s="3" t="n"/>
      <c r="V1041" s="3" t="n"/>
    </row>
    <row r="1042">
      <c r="A1042" s="3" t="n"/>
      <c r="B1042" s="3" t="n"/>
      <c r="C1042" s="3" t="n"/>
      <c r="D1042" s="4" t="n"/>
      <c r="E1042" s="3" t="n"/>
      <c r="F1042" s="3" t="n"/>
      <c r="G1042" s="3" t="n"/>
      <c r="H1042" s="3" t="n"/>
      <c r="I1042" s="3" t="n"/>
      <c r="J1042" s="3" t="n"/>
      <c r="K1042" s="3" t="n"/>
      <c r="L1042" s="3" t="n"/>
      <c r="M1042" s="3" t="n"/>
      <c r="N1042" s="3" t="n"/>
      <c r="O1042" s="3" t="n"/>
      <c r="P1042" s="3" t="n"/>
      <c r="Q1042" s="3" t="n"/>
      <c r="R1042" s="5">
        <f>IF(Q1042&lt;&gt;"是","排除",IF(OR(L1042="",M1042=""),"",IF(OR(L1042="未知",M1042="未知"),"未知",IF(AND(L1042="真",M1042="真"),"TP",IF(AND(L1042="真",M1042="假"),"FP",IF(AND(L1042="假",M1042="真"),"FN","TN"))))))</f>
        <v/>
      </c>
      <c r="S1042" s="3" t="n"/>
      <c r="T1042" s="3" t="n"/>
      <c r="U1042" s="3" t="n"/>
      <c r="V1042" s="3" t="n"/>
    </row>
    <row r="1043">
      <c r="A1043" s="3" t="n"/>
      <c r="B1043" s="3" t="n"/>
      <c r="C1043" s="3" t="n"/>
      <c r="D1043" s="4" t="n"/>
      <c r="E1043" s="3" t="n"/>
      <c r="F1043" s="3" t="n"/>
      <c r="G1043" s="3" t="n"/>
      <c r="H1043" s="3" t="n"/>
      <c r="I1043" s="3" t="n"/>
      <c r="J1043" s="3" t="n"/>
      <c r="K1043" s="3" t="n"/>
      <c r="L1043" s="3" t="n"/>
      <c r="M1043" s="3" t="n"/>
      <c r="N1043" s="3" t="n"/>
      <c r="O1043" s="3" t="n"/>
      <c r="P1043" s="3" t="n"/>
      <c r="Q1043" s="3" t="n"/>
      <c r="R1043" s="5">
        <f>IF(Q1043&lt;&gt;"是","排除",IF(OR(L1043="",M1043=""),"",IF(OR(L1043="未知",M1043="未知"),"未知",IF(AND(L1043="真",M1043="真"),"TP",IF(AND(L1043="真",M1043="假"),"FP",IF(AND(L1043="假",M1043="真"),"FN","TN"))))))</f>
        <v/>
      </c>
      <c r="S1043" s="3" t="n"/>
      <c r="T1043" s="3" t="n"/>
      <c r="U1043" s="3" t="n"/>
      <c r="V1043" s="3" t="n"/>
    </row>
    <row r="1044">
      <c r="A1044" s="3" t="n"/>
      <c r="B1044" s="3" t="n"/>
      <c r="C1044" s="3" t="n"/>
      <c r="D1044" s="4" t="n"/>
      <c r="E1044" s="3" t="n"/>
      <c r="F1044" s="3" t="n"/>
      <c r="G1044" s="3" t="n"/>
      <c r="H1044" s="3" t="n"/>
      <c r="I1044" s="3" t="n"/>
      <c r="J1044" s="3" t="n"/>
      <c r="K1044" s="3" t="n"/>
      <c r="L1044" s="3" t="n"/>
      <c r="M1044" s="3" t="n"/>
      <c r="N1044" s="3" t="n"/>
      <c r="O1044" s="3" t="n"/>
      <c r="P1044" s="3" t="n"/>
      <c r="Q1044" s="3" t="n"/>
      <c r="R1044" s="5">
        <f>IF(Q1044&lt;&gt;"是","排除",IF(OR(L1044="",M1044=""),"",IF(OR(L1044="未知",M1044="未知"),"未知",IF(AND(L1044="真",M1044="真"),"TP",IF(AND(L1044="真",M1044="假"),"FP",IF(AND(L1044="假",M1044="真"),"FN","TN"))))))</f>
        <v/>
      </c>
      <c r="S1044" s="3" t="n"/>
      <c r="T1044" s="3" t="n"/>
      <c r="U1044" s="3" t="n"/>
      <c r="V1044" s="3" t="n"/>
    </row>
    <row r="1045">
      <c r="A1045" s="3" t="n"/>
      <c r="B1045" s="3" t="n"/>
      <c r="C1045" s="3" t="n"/>
      <c r="D1045" s="4" t="n"/>
      <c r="E1045" s="3" t="n"/>
      <c r="F1045" s="3" t="n"/>
      <c r="G1045" s="3" t="n"/>
      <c r="H1045" s="3" t="n"/>
      <c r="I1045" s="3" t="n"/>
      <c r="J1045" s="3" t="n"/>
      <c r="K1045" s="3" t="n"/>
      <c r="L1045" s="3" t="n"/>
      <c r="M1045" s="3" t="n"/>
      <c r="N1045" s="3" t="n"/>
      <c r="O1045" s="3" t="n"/>
      <c r="P1045" s="3" t="n"/>
      <c r="Q1045" s="3" t="n"/>
      <c r="R1045" s="5">
        <f>IF(Q1045&lt;&gt;"是","排除",IF(OR(L1045="",M1045=""),"",IF(OR(L1045="未知",M1045="未知"),"未知",IF(AND(L1045="真",M1045="真"),"TP",IF(AND(L1045="真",M1045="假"),"FP",IF(AND(L1045="假",M1045="真"),"FN","TN"))))))</f>
        <v/>
      </c>
      <c r="S1045" s="3" t="n"/>
      <c r="T1045" s="3" t="n"/>
      <c r="U1045" s="3" t="n"/>
      <c r="V1045" s="3" t="n"/>
    </row>
    <row r="1046">
      <c r="A1046" s="3" t="n"/>
      <c r="B1046" s="3" t="n"/>
      <c r="C1046" s="3" t="n"/>
      <c r="D1046" s="4" t="n"/>
      <c r="E1046" s="3" t="n"/>
      <c r="F1046" s="3" t="n"/>
      <c r="G1046" s="3" t="n"/>
      <c r="H1046" s="3" t="n"/>
      <c r="I1046" s="3" t="n"/>
      <c r="J1046" s="3" t="n"/>
      <c r="K1046" s="3" t="n"/>
      <c r="L1046" s="3" t="n"/>
      <c r="M1046" s="3" t="n"/>
      <c r="N1046" s="3" t="n"/>
      <c r="O1046" s="3" t="n"/>
      <c r="P1046" s="3" t="n"/>
      <c r="Q1046" s="3" t="n"/>
      <c r="R1046" s="5">
        <f>IF(Q1046&lt;&gt;"是","排除",IF(OR(L1046="",M1046=""),"",IF(OR(L1046="未知",M1046="未知"),"未知",IF(AND(L1046="真",M1046="真"),"TP",IF(AND(L1046="真",M1046="假"),"FP",IF(AND(L1046="假",M1046="真"),"FN","TN"))))))</f>
        <v/>
      </c>
      <c r="S1046" s="3" t="n"/>
      <c r="T1046" s="3" t="n"/>
      <c r="U1046" s="3" t="n"/>
      <c r="V1046" s="3" t="n"/>
    </row>
    <row r="1047">
      <c r="A1047" s="3" t="n"/>
      <c r="B1047" s="3" t="n"/>
      <c r="C1047" s="3" t="n"/>
      <c r="D1047" s="4" t="n"/>
      <c r="E1047" s="3" t="n"/>
      <c r="F1047" s="3" t="n"/>
      <c r="G1047" s="3" t="n"/>
      <c r="H1047" s="3" t="n"/>
      <c r="I1047" s="3" t="n"/>
      <c r="J1047" s="3" t="n"/>
      <c r="K1047" s="3" t="n"/>
      <c r="L1047" s="3" t="n"/>
      <c r="M1047" s="3" t="n"/>
      <c r="N1047" s="3" t="n"/>
      <c r="O1047" s="3" t="n"/>
      <c r="P1047" s="3" t="n"/>
      <c r="Q1047" s="3" t="n"/>
      <c r="R1047" s="5">
        <f>IF(Q1047&lt;&gt;"是","排除",IF(OR(L1047="",M1047=""),"",IF(OR(L1047="未知",M1047="未知"),"未知",IF(AND(L1047="真",M1047="真"),"TP",IF(AND(L1047="真",M1047="假"),"FP",IF(AND(L1047="假",M1047="真"),"FN","TN"))))))</f>
        <v/>
      </c>
      <c r="S1047" s="3" t="n"/>
      <c r="T1047" s="3" t="n"/>
      <c r="U1047" s="3" t="n"/>
      <c r="V1047" s="3" t="n"/>
    </row>
    <row r="1048">
      <c r="A1048" s="3" t="n"/>
      <c r="B1048" s="3" t="n"/>
      <c r="C1048" s="3" t="n"/>
      <c r="D1048" s="4" t="n"/>
      <c r="E1048" s="3" t="n"/>
      <c r="F1048" s="3" t="n"/>
      <c r="G1048" s="3" t="n"/>
      <c r="H1048" s="3" t="n"/>
      <c r="I1048" s="3" t="n"/>
      <c r="J1048" s="3" t="n"/>
      <c r="K1048" s="3" t="n"/>
      <c r="L1048" s="3" t="n"/>
      <c r="M1048" s="3" t="n"/>
      <c r="N1048" s="3" t="n"/>
      <c r="O1048" s="3" t="n"/>
      <c r="P1048" s="3" t="n"/>
      <c r="Q1048" s="3" t="n"/>
      <c r="R1048" s="5">
        <f>IF(Q1048&lt;&gt;"是","排除",IF(OR(L1048="",M1048=""),"",IF(OR(L1048="未知",M1048="未知"),"未知",IF(AND(L1048="真",M1048="真"),"TP",IF(AND(L1048="真",M1048="假"),"FP",IF(AND(L1048="假",M1048="真"),"FN","TN"))))))</f>
        <v/>
      </c>
      <c r="S1048" s="3" t="n"/>
      <c r="T1048" s="3" t="n"/>
      <c r="U1048" s="3" t="n"/>
      <c r="V1048" s="3" t="n"/>
    </row>
    <row r="1049">
      <c r="A1049" s="3" t="n"/>
      <c r="B1049" s="3" t="n"/>
      <c r="C1049" s="3" t="n"/>
      <c r="D1049" s="4" t="n"/>
      <c r="E1049" s="3" t="n"/>
      <c r="F1049" s="3" t="n"/>
      <c r="G1049" s="3" t="n"/>
      <c r="H1049" s="3" t="n"/>
      <c r="I1049" s="3" t="n"/>
      <c r="J1049" s="3" t="n"/>
      <c r="K1049" s="3" t="n"/>
      <c r="L1049" s="3" t="n"/>
      <c r="M1049" s="3" t="n"/>
      <c r="N1049" s="3" t="n"/>
      <c r="O1049" s="3" t="n"/>
      <c r="P1049" s="3" t="n"/>
      <c r="Q1049" s="3" t="n"/>
      <c r="R1049" s="5">
        <f>IF(Q1049&lt;&gt;"是","排除",IF(OR(L1049="",M1049=""),"",IF(OR(L1049="未知",M1049="未知"),"未知",IF(AND(L1049="真",M1049="真"),"TP",IF(AND(L1049="真",M1049="假"),"FP",IF(AND(L1049="假",M1049="真"),"FN","TN"))))))</f>
        <v/>
      </c>
      <c r="S1049" s="3" t="n"/>
      <c r="T1049" s="3" t="n"/>
      <c r="U1049" s="3" t="n"/>
      <c r="V1049" s="3" t="n"/>
    </row>
    <row r="1050">
      <c r="A1050" s="3" t="n"/>
      <c r="B1050" s="3" t="n"/>
      <c r="C1050" s="3" t="n"/>
      <c r="D1050" s="4" t="n"/>
      <c r="E1050" s="3" t="n"/>
      <c r="F1050" s="3" t="n"/>
      <c r="G1050" s="3" t="n"/>
      <c r="H1050" s="3" t="n"/>
      <c r="I1050" s="3" t="n"/>
      <c r="J1050" s="3" t="n"/>
      <c r="K1050" s="3" t="n"/>
      <c r="L1050" s="3" t="n"/>
      <c r="M1050" s="3" t="n"/>
      <c r="N1050" s="3" t="n"/>
      <c r="O1050" s="3" t="n"/>
      <c r="P1050" s="3" t="n"/>
      <c r="Q1050" s="3" t="n"/>
      <c r="R1050" s="5">
        <f>IF(Q1050&lt;&gt;"是","排除",IF(OR(L1050="",M1050=""),"",IF(OR(L1050="未知",M1050="未知"),"未知",IF(AND(L1050="真",M1050="真"),"TP",IF(AND(L1050="真",M1050="假"),"FP",IF(AND(L1050="假",M1050="真"),"FN","TN"))))))</f>
        <v/>
      </c>
      <c r="S1050" s="3" t="n"/>
      <c r="T1050" s="3" t="n"/>
      <c r="U1050" s="3" t="n"/>
      <c r="V1050" s="3" t="n"/>
    </row>
    <row r="1051">
      <c r="A1051" s="3" t="n"/>
      <c r="B1051" s="3" t="n"/>
      <c r="C1051" s="3" t="n"/>
      <c r="D1051" s="4" t="n"/>
      <c r="E1051" s="3" t="n"/>
      <c r="F1051" s="3" t="n"/>
      <c r="G1051" s="3" t="n"/>
      <c r="H1051" s="3" t="n"/>
      <c r="I1051" s="3" t="n"/>
      <c r="J1051" s="3" t="n"/>
      <c r="K1051" s="3" t="n"/>
      <c r="L1051" s="3" t="n"/>
      <c r="M1051" s="3" t="n"/>
      <c r="N1051" s="3" t="n"/>
      <c r="O1051" s="3" t="n"/>
      <c r="P1051" s="3" t="n"/>
      <c r="Q1051" s="3" t="n"/>
      <c r="R1051" s="5">
        <f>IF(Q1051&lt;&gt;"是","排除",IF(OR(L1051="",M1051=""),"",IF(OR(L1051="未知",M1051="未知"),"未知",IF(AND(L1051="真",M1051="真"),"TP",IF(AND(L1051="真",M1051="假"),"FP",IF(AND(L1051="假",M1051="真"),"FN","TN"))))))</f>
        <v/>
      </c>
      <c r="S1051" s="3" t="n"/>
      <c r="T1051" s="3" t="n"/>
      <c r="U1051" s="3" t="n"/>
      <c r="V1051" s="3" t="n"/>
    </row>
    <row r="1052">
      <c r="A1052" s="3" t="n"/>
      <c r="B1052" s="3" t="n"/>
      <c r="C1052" s="3" t="n"/>
      <c r="D1052" s="4" t="n"/>
      <c r="E1052" s="3" t="n"/>
      <c r="F1052" s="3" t="n"/>
      <c r="G1052" s="3" t="n"/>
      <c r="H1052" s="3" t="n"/>
      <c r="I1052" s="3" t="n"/>
      <c r="J1052" s="3" t="n"/>
      <c r="K1052" s="3" t="n"/>
      <c r="L1052" s="3" t="n"/>
      <c r="M1052" s="3" t="n"/>
      <c r="N1052" s="3" t="n"/>
      <c r="O1052" s="3" t="n"/>
      <c r="P1052" s="3" t="n"/>
      <c r="Q1052" s="3" t="n"/>
      <c r="R1052" s="5">
        <f>IF(Q1052&lt;&gt;"是","排除",IF(OR(L1052="",M1052=""),"",IF(OR(L1052="未知",M1052="未知"),"未知",IF(AND(L1052="真",M1052="真"),"TP",IF(AND(L1052="真",M1052="假"),"FP",IF(AND(L1052="假",M1052="真"),"FN","TN"))))))</f>
        <v/>
      </c>
      <c r="S1052" s="3" t="n"/>
      <c r="T1052" s="3" t="n"/>
      <c r="U1052" s="3" t="n"/>
      <c r="V1052" s="3" t="n"/>
    </row>
    <row r="1053">
      <c r="A1053" s="3" t="n"/>
      <c r="B1053" s="3" t="n"/>
      <c r="C1053" s="3" t="n"/>
      <c r="D1053" s="4" t="n"/>
      <c r="E1053" s="3" t="n"/>
      <c r="F1053" s="3" t="n"/>
      <c r="G1053" s="3" t="n"/>
      <c r="H1053" s="3" t="n"/>
      <c r="I1053" s="3" t="n"/>
      <c r="J1053" s="3" t="n"/>
      <c r="K1053" s="3" t="n"/>
      <c r="L1053" s="3" t="n"/>
      <c r="M1053" s="3" t="n"/>
      <c r="N1053" s="3" t="n"/>
      <c r="O1053" s="3" t="n"/>
      <c r="P1053" s="3" t="n"/>
      <c r="Q1053" s="3" t="n"/>
      <c r="R1053" s="5">
        <f>IF(Q1053&lt;&gt;"是","排除",IF(OR(L1053="",M1053=""),"",IF(OR(L1053="未知",M1053="未知"),"未知",IF(AND(L1053="真",M1053="真"),"TP",IF(AND(L1053="真",M1053="假"),"FP",IF(AND(L1053="假",M1053="真"),"FN","TN"))))))</f>
        <v/>
      </c>
      <c r="S1053" s="3" t="n"/>
      <c r="T1053" s="3" t="n"/>
      <c r="U1053" s="3" t="n"/>
      <c r="V1053" s="3" t="n"/>
    </row>
    <row r="1054">
      <c r="A1054" s="3" t="n"/>
      <c r="B1054" s="3" t="n"/>
      <c r="C1054" s="3" t="n"/>
      <c r="D1054" s="4" t="n"/>
      <c r="E1054" s="3" t="n"/>
      <c r="F1054" s="3" t="n"/>
      <c r="G1054" s="3" t="n"/>
      <c r="H1054" s="3" t="n"/>
      <c r="I1054" s="3" t="n"/>
      <c r="J1054" s="3" t="n"/>
      <c r="K1054" s="3" t="n"/>
      <c r="L1054" s="3" t="n"/>
      <c r="M1054" s="3" t="n"/>
      <c r="N1054" s="3" t="n"/>
      <c r="O1054" s="3" t="n"/>
      <c r="P1054" s="3" t="n"/>
      <c r="Q1054" s="3" t="n"/>
      <c r="R1054" s="5">
        <f>IF(Q1054&lt;&gt;"是","排除",IF(OR(L1054="",M1054=""),"",IF(OR(L1054="未知",M1054="未知"),"未知",IF(AND(L1054="真",M1054="真"),"TP",IF(AND(L1054="真",M1054="假"),"FP",IF(AND(L1054="假",M1054="真"),"FN","TN"))))))</f>
        <v/>
      </c>
      <c r="S1054" s="3" t="n"/>
      <c r="T1054" s="3" t="n"/>
      <c r="U1054" s="3" t="n"/>
      <c r="V1054" s="3" t="n"/>
    </row>
    <row r="1055">
      <c r="A1055" s="3" t="n"/>
      <c r="B1055" s="3" t="n"/>
      <c r="C1055" s="3" t="n"/>
      <c r="D1055" s="4" t="n"/>
      <c r="E1055" s="3" t="n"/>
      <c r="F1055" s="3" t="n"/>
      <c r="G1055" s="3" t="n"/>
      <c r="H1055" s="3" t="n"/>
      <c r="I1055" s="3" t="n"/>
      <c r="J1055" s="3" t="n"/>
      <c r="K1055" s="3" t="n"/>
      <c r="L1055" s="3" t="n"/>
      <c r="M1055" s="3" t="n"/>
      <c r="N1055" s="3" t="n"/>
      <c r="O1055" s="3" t="n"/>
      <c r="P1055" s="3" t="n"/>
      <c r="Q1055" s="3" t="n"/>
      <c r="R1055" s="5">
        <f>IF(Q1055&lt;&gt;"是","排除",IF(OR(L1055="",M1055=""),"",IF(OR(L1055="未知",M1055="未知"),"未知",IF(AND(L1055="真",M1055="真"),"TP",IF(AND(L1055="真",M1055="假"),"FP",IF(AND(L1055="假",M1055="真"),"FN","TN"))))))</f>
        <v/>
      </c>
      <c r="S1055" s="3" t="n"/>
      <c r="T1055" s="3" t="n"/>
      <c r="U1055" s="3" t="n"/>
      <c r="V1055" s="3" t="n"/>
    </row>
    <row r="1056">
      <c r="A1056" s="3" t="n"/>
      <c r="B1056" s="3" t="n"/>
      <c r="C1056" s="3" t="n"/>
      <c r="D1056" s="4" t="n"/>
      <c r="E1056" s="3" t="n"/>
      <c r="F1056" s="3" t="n"/>
      <c r="G1056" s="3" t="n"/>
      <c r="H1056" s="3" t="n"/>
      <c r="I1056" s="3" t="n"/>
      <c r="J1056" s="3" t="n"/>
      <c r="K1056" s="3" t="n"/>
      <c r="L1056" s="3" t="n"/>
      <c r="M1056" s="3" t="n"/>
      <c r="N1056" s="3" t="n"/>
      <c r="O1056" s="3" t="n"/>
      <c r="P1056" s="3" t="n"/>
      <c r="Q1056" s="3" t="n"/>
      <c r="R1056" s="5">
        <f>IF(Q1056&lt;&gt;"是","排除",IF(OR(L1056="",M1056=""),"",IF(OR(L1056="未知",M1056="未知"),"未知",IF(AND(L1056="真",M1056="真"),"TP",IF(AND(L1056="真",M1056="假"),"FP",IF(AND(L1056="假",M1056="真"),"FN","TN"))))))</f>
        <v/>
      </c>
      <c r="S1056" s="3" t="n"/>
      <c r="T1056" s="3" t="n"/>
      <c r="U1056" s="3" t="n"/>
      <c r="V1056" s="3" t="n"/>
    </row>
    <row r="1057">
      <c r="A1057" s="3" t="n"/>
      <c r="B1057" s="3" t="n"/>
      <c r="C1057" s="3" t="n"/>
      <c r="D1057" s="4" t="n"/>
      <c r="E1057" s="3" t="n"/>
      <c r="F1057" s="3" t="n"/>
      <c r="G1057" s="3" t="n"/>
      <c r="H1057" s="3" t="n"/>
      <c r="I1057" s="3" t="n"/>
      <c r="J1057" s="3" t="n"/>
      <c r="K1057" s="3" t="n"/>
      <c r="L1057" s="3" t="n"/>
      <c r="M1057" s="3" t="n"/>
      <c r="N1057" s="3" t="n"/>
      <c r="O1057" s="3" t="n"/>
      <c r="P1057" s="3" t="n"/>
      <c r="Q1057" s="3" t="n"/>
      <c r="R1057" s="5">
        <f>IF(Q1057&lt;&gt;"是","排除",IF(OR(L1057="",M1057=""),"",IF(OR(L1057="未知",M1057="未知"),"未知",IF(AND(L1057="真",M1057="真"),"TP",IF(AND(L1057="真",M1057="假"),"FP",IF(AND(L1057="假",M1057="真"),"FN","TN"))))))</f>
        <v/>
      </c>
      <c r="S1057" s="3" t="n"/>
      <c r="T1057" s="3" t="n"/>
      <c r="U1057" s="3" t="n"/>
      <c r="V1057" s="3" t="n"/>
    </row>
    <row r="1058">
      <c r="A1058" s="3" t="n"/>
      <c r="B1058" s="3" t="n"/>
      <c r="C1058" s="3" t="n"/>
      <c r="D1058" s="4" t="n"/>
      <c r="E1058" s="3" t="n"/>
      <c r="F1058" s="3" t="n"/>
      <c r="G1058" s="3" t="n"/>
      <c r="H1058" s="3" t="n"/>
      <c r="I1058" s="3" t="n"/>
      <c r="J1058" s="3" t="n"/>
      <c r="K1058" s="3" t="n"/>
      <c r="L1058" s="3" t="n"/>
      <c r="M1058" s="3" t="n"/>
      <c r="N1058" s="3" t="n"/>
      <c r="O1058" s="3" t="n"/>
      <c r="P1058" s="3" t="n"/>
      <c r="Q1058" s="3" t="n"/>
      <c r="R1058" s="5">
        <f>IF(Q1058&lt;&gt;"是","排除",IF(OR(L1058="",M1058=""),"",IF(OR(L1058="未知",M1058="未知"),"未知",IF(AND(L1058="真",M1058="真"),"TP",IF(AND(L1058="真",M1058="假"),"FP",IF(AND(L1058="假",M1058="真"),"FN","TN"))))))</f>
        <v/>
      </c>
      <c r="S1058" s="3" t="n"/>
      <c r="T1058" s="3" t="n"/>
      <c r="U1058" s="3" t="n"/>
      <c r="V1058" s="3" t="n"/>
    </row>
    <row r="1059">
      <c r="A1059" s="3" t="n"/>
      <c r="B1059" s="3" t="n"/>
      <c r="C1059" s="3" t="n"/>
      <c r="D1059" s="4" t="n"/>
      <c r="E1059" s="3" t="n"/>
      <c r="F1059" s="3" t="n"/>
      <c r="G1059" s="3" t="n"/>
      <c r="H1059" s="3" t="n"/>
      <c r="I1059" s="3" t="n"/>
      <c r="J1059" s="3" t="n"/>
      <c r="K1059" s="3" t="n"/>
      <c r="L1059" s="3" t="n"/>
      <c r="M1059" s="3" t="n"/>
      <c r="N1059" s="3" t="n"/>
      <c r="O1059" s="3" t="n"/>
      <c r="P1059" s="3" t="n"/>
      <c r="Q1059" s="3" t="n"/>
      <c r="R1059" s="5">
        <f>IF(Q1059&lt;&gt;"是","排除",IF(OR(L1059="",M1059=""),"",IF(OR(L1059="未知",M1059="未知"),"未知",IF(AND(L1059="真",M1059="真"),"TP",IF(AND(L1059="真",M1059="假"),"FP",IF(AND(L1059="假",M1059="真"),"FN","TN"))))))</f>
        <v/>
      </c>
      <c r="S1059" s="3" t="n"/>
      <c r="T1059" s="3" t="n"/>
      <c r="U1059" s="3" t="n"/>
      <c r="V1059" s="3" t="n"/>
    </row>
    <row r="1060">
      <c r="A1060" s="3" t="n"/>
      <c r="B1060" s="3" t="n"/>
      <c r="C1060" s="3" t="n"/>
      <c r="D1060" s="4" t="n"/>
      <c r="E1060" s="3" t="n"/>
      <c r="F1060" s="3" t="n"/>
      <c r="G1060" s="3" t="n"/>
      <c r="H1060" s="3" t="n"/>
      <c r="I1060" s="3" t="n"/>
      <c r="J1060" s="3" t="n"/>
      <c r="K1060" s="3" t="n"/>
      <c r="L1060" s="3" t="n"/>
      <c r="M1060" s="3" t="n"/>
      <c r="N1060" s="3" t="n"/>
      <c r="O1060" s="3" t="n"/>
      <c r="P1060" s="3" t="n"/>
      <c r="Q1060" s="3" t="n"/>
      <c r="R1060" s="5">
        <f>IF(Q1060&lt;&gt;"是","排除",IF(OR(L1060="",M1060=""),"",IF(OR(L1060="未知",M1060="未知"),"未知",IF(AND(L1060="真",M1060="真"),"TP",IF(AND(L1060="真",M1060="假"),"FP",IF(AND(L1060="假",M1060="真"),"FN","TN"))))))</f>
        <v/>
      </c>
      <c r="S1060" s="3" t="n"/>
      <c r="T1060" s="3" t="n"/>
      <c r="U1060" s="3" t="n"/>
      <c r="V1060" s="3" t="n"/>
    </row>
    <row r="1061">
      <c r="A1061" s="3" t="n"/>
      <c r="B1061" s="3" t="n"/>
      <c r="C1061" s="3" t="n"/>
      <c r="D1061" s="4" t="n"/>
      <c r="E1061" s="3" t="n"/>
      <c r="F1061" s="3" t="n"/>
      <c r="G1061" s="3" t="n"/>
      <c r="H1061" s="3" t="n"/>
      <c r="I1061" s="3" t="n"/>
      <c r="J1061" s="3" t="n"/>
      <c r="K1061" s="3" t="n"/>
      <c r="L1061" s="3" t="n"/>
      <c r="M1061" s="3" t="n"/>
      <c r="N1061" s="3" t="n"/>
      <c r="O1061" s="3" t="n"/>
      <c r="P1061" s="3" t="n"/>
      <c r="Q1061" s="3" t="n"/>
      <c r="R1061" s="5">
        <f>IF(Q1061&lt;&gt;"是","排除",IF(OR(L1061="",M1061=""),"",IF(OR(L1061="未知",M1061="未知"),"未知",IF(AND(L1061="真",M1061="真"),"TP",IF(AND(L1061="真",M1061="假"),"FP",IF(AND(L1061="假",M1061="真"),"FN","TN"))))))</f>
        <v/>
      </c>
      <c r="S1061" s="3" t="n"/>
      <c r="T1061" s="3" t="n"/>
      <c r="U1061" s="3" t="n"/>
      <c r="V1061" s="3" t="n"/>
    </row>
    <row r="1062">
      <c r="A1062" s="3" t="n"/>
      <c r="B1062" s="3" t="n"/>
      <c r="C1062" s="3" t="n"/>
      <c r="D1062" s="4" t="n"/>
      <c r="E1062" s="3" t="n"/>
      <c r="F1062" s="3" t="n"/>
      <c r="G1062" s="3" t="n"/>
      <c r="H1062" s="3" t="n"/>
      <c r="I1062" s="3" t="n"/>
      <c r="J1062" s="3" t="n"/>
      <c r="K1062" s="3" t="n"/>
      <c r="L1062" s="3" t="n"/>
      <c r="M1062" s="3" t="n"/>
      <c r="N1062" s="3" t="n"/>
      <c r="O1062" s="3" t="n"/>
      <c r="P1062" s="3" t="n"/>
      <c r="Q1062" s="3" t="n"/>
      <c r="R1062" s="5">
        <f>IF(Q1062&lt;&gt;"是","排除",IF(OR(L1062="",M1062=""),"",IF(OR(L1062="未知",M1062="未知"),"未知",IF(AND(L1062="真",M1062="真"),"TP",IF(AND(L1062="真",M1062="假"),"FP",IF(AND(L1062="假",M1062="真"),"FN","TN"))))))</f>
        <v/>
      </c>
      <c r="S1062" s="3" t="n"/>
      <c r="T1062" s="3" t="n"/>
      <c r="U1062" s="3" t="n"/>
      <c r="V1062" s="3" t="n"/>
    </row>
    <row r="1063">
      <c r="A1063" s="3" t="n"/>
      <c r="B1063" s="3" t="n"/>
      <c r="C1063" s="3" t="n"/>
      <c r="D1063" s="4" t="n"/>
      <c r="E1063" s="3" t="n"/>
      <c r="F1063" s="3" t="n"/>
      <c r="G1063" s="3" t="n"/>
      <c r="H1063" s="3" t="n"/>
      <c r="I1063" s="3" t="n"/>
      <c r="J1063" s="3" t="n"/>
      <c r="K1063" s="3" t="n"/>
      <c r="L1063" s="3" t="n"/>
      <c r="M1063" s="3" t="n"/>
      <c r="N1063" s="3" t="n"/>
      <c r="O1063" s="3" t="n"/>
      <c r="P1063" s="3" t="n"/>
      <c r="Q1063" s="3" t="n"/>
      <c r="R1063" s="5">
        <f>IF(Q1063&lt;&gt;"是","排除",IF(OR(L1063="",M1063=""),"",IF(OR(L1063="未知",M1063="未知"),"未知",IF(AND(L1063="真",M1063="真"),"TP",IF(AND(L1063="真",M1063="假"),"FP",IF(AND(L1063="假",M1063="真"),"FN","TN"))))))</f>
        <v/>
      </c>
      <c r="S1063" s="3" t="n"/>
      <c r="T1063" s="3" t="n"/>
      <c r="U1063" s="3" t="n"/>
      <c r="V1063" s="3" t="n"/>
    </row>
    <row r="1064">
      <c r="A1064" s="3" t="n"/>
      <c r="B1064" s="3" t="n"/>
      <c r="C1064" s="3" t="n"/>
      <c r="D1064" s="4" t="n"/>
      <c r="E1064" s="3" t="n"/>
      <c r="F1064" s="3" t="n"/>
      <c r="G1064" s="3" t="n"/>
      <c r="H1064" s="3" t="n"/>
      <c r="I1064" s="3" t="n"/>
      <c r="J1064" s="3" t="n"/>
      <c r="K1064" s="3" t="n"/>
      <c r="L1064" s="3" t="n"/>
      <c r="M1064" s="3" t="n"/>
      <c r="N1064" s="3" t="n"/>
      <c r="O1064" s="3" t="n"/>
      <c r="P1064" s="3" t="n"/>
      <c r="Q1064" s="3" t="n"/>
      <c r="R1064" s="5">
        <f>IF(Q1064&lt;&gt;"是","排除",IF(OR(L1064="",M1064=""),"",IF(OR(L1064="未知",M1064="未知"),"未知",IF(AND(L1064="真",M1064="真"),"TP",IF(AND(L1064="真",M1064="假"),"FP",IF(AND(L1064="假",M1064="真"),"FN","TN"))))))</f>
        <v/>
      </c>
      <c r="S1064" s="3" t="n"/>
      <c r="T1064" s="3" t="n"/>
      <c r="U1064" s="3" t="n"/>
      <c r="V1064" s="3" t="n"/>
    </row>
    <row r="1065">
      <c r="A1065" s="3" t="n"/>
      <c r="B1065" s="3" t="n"/>
      <c r="C1065" s="3" t="n"/>
      <c r="D1065" s="4" t="n"/>
      <c r="E1065" s="3" t="n"/>
      <c r="F1065" s="3" t="n"/>
      <c r="G1065" s="3" t="n"/>
      <c r="H1065" s="3" t="n"/>
      <c r="I1065" s="3" t="n"/>
      <c r="J1065" s="3" t="n"/>
      <c r="K1065" s="3" t="n"/>
      <c r="L1065" s="3" t="n"/>
      <c r="M1065" s="3" t="n"/>
      <c r="N1065" s="3" t="n"/>
      <c r="O1065" s="3" t="n"/>
      <c r="P1065" s="3" t="n"/>
      <c r="Q1065" s="3" t="n"/>
      <c r="R1065" s="5">
        <f>IF(Q1065&lt;&gt;"是","排除",IF(OR(L1065="",M1065=""),"",IF(OR(L1065="未知",M1065="未知"),"未知",IF(AND(L1065="真",M1065="真"),"TP",IF(AND(L1065="真",M1065="假"),"FP",IF(AND(L1065="假",M1065="真"),"FN","TN"))))))</f>
        <v/>
      </c>
      <c r="S1065" s="3" t="n"/>
      <c r="T1065" s="3" t="n"/>
      <c r="U1065" s="3" t="n"/>
      <c r="V1065" s="3" t="n"/>
    </row>
    <row r="1066">
      <c r="A1066" s="3" t="n"/>
      <c r="B1066" s="3" t="n"/>
      <c r="C1066" s="3" t="n"/>
      <c r="D1066" s="4" t="n"/>
      <c r="E1066" s="3" t="n"/>
      <c r="F1066" s="3" t="n"/>
      <c r="G1066" s="3" t="n"/>
      <c r="H1066" s="3" t="n"/>
      <c r="I1066" s="3" t="n"/>
      <c r="J1066" s="3" t="n"/>
      <c r="K1066" s="3" t="n"/>
      <c r="L1066" s="3" t="n"/>
      <c r="M1066" s="3" t="n"/>
      <c r="N1066" s="3" t="n"/>
      <c r="O1066" s="3" t="n"/>
      <c r="P1066" s="3" t="n"/>
      <c r="Q1066" s="3" t="n"/>
      <c r="R1066" s="5">
        <f>IF(Q1066&lt;&gt;"是","排除",IF(OR(L1066="",M1066=""),"",IF(OR(L1066="未知",M1066="未知"),"未知",IF(AND(L1066="真",M1066="真"),"TP",IF(AND(L1066="真",M1066="假"),"FP",IF(AND(L1066="假",M1066="真"),"FN","TN"))))))</f>
        <v/>
      </c>
      <c r="S1066" s="3" t="n"/>
      <c r="T1066" s="3" t="n"/>
      <c r="U1066" s="3" t="n"/>
      <c r="V1066" s="3" t="n"/>
    </row>
    <row r="1067">
      <c r="A1067" s="3" t="n"/>
      <c r="B1067" s="3" t="n"/>
      <c r="C1067" s="3" t="n"/>
      <c r="D1067" s="4" t="n"/>
      <c r="E1067" s="3" t="n"/>
      <c r="F1067" s="3" t="n"/>
      <c r="G1067" s="3" t="n"/>
      <c r="H1067" s="3" t="n"/>
      <c r="I1067" s="3" t="n"/>
      <c r="J1067" s="3" t="n"/>
      <c r="K1067" s="3" t="n"/>
      <c r="L1067" s="3" t="n"/>
      <c r="M1067" s="3" t="n"/>
      <c r="N1067" s="3" t="n"/>
      <c r="O1067" s="3" t="n"/>
      <c r="P1067" s="3" t="n"/>
      <c r="Q1067" s="3" t="n"/>
      <c r="R1067" s="5">
        <f>IF(Q1067&lt;&gt;"是","排除",IF(OR(L1067="",M1067=""),"",IF(OR(L1067="未知",M1067="未知"),"未知",IF(AND(L1067="真",M1067="真"),"TP",IF(AND(L1067="真",M1067="假"),"FP",IF(AND(L1067="假",M1067="真"),"FN","TN"))))))</f>
        <v/>
      </c>
      <c r="S1067" s="3" t="n"/>
      <c r="T1067" s="3" t="n"/>
      <c r="U1067" s="3" t="n"/>
      <c r="V1067" s="3" t="n"/>
    </row>
    <row r="1068">
      <c r="A1068" s="3" t="n"/>
      <c r="B1068" s="3" t="n"/>
      <c r="C1068" s="3" t="n"/>
      <c r="D1068" s="4" t="n"/>
      <c r="E1068" s="3" t="n"/>
      <c r="F1068" s="3" t="n"/>
      <c r="G1068" s="3" t="n"/>
      <c r="H1068" s="3" t="n"/>
      <c r="I1068" s="3" t="n"/>
      <c r="J1068" s="3" t="n"/>
      <c r="K1068" s="3" t="n"/>
      <c r="L1068" s="3" t="n"/>
      <c r="M1068" s="3" t="n"/>
      <c r="N1068" s="3" t="n"/>
      <c r="O1068" s="3" t="n"/>
      <c r="P1068" s="3" t="n"/>
      <c r="Q1068" s="3" t="n"/>
      <c r="R1068" s="5">
        <f>IF(Q1068&lt;&gt;"是","排除",IF(OR(L1068="",M1068=""),"",IF(OR(L1068="未知",M1068="未知"),"未知",IF(AND(L1068="真",M1068="真"),"TP",IF(AND(L1068="真",M1068="假"),"FP",IF(AND(L1068="假",M1068="真"),"FN","TN"))))))</f>
        <v/>
      </c>
      <c r="S1068" s="3" t="n"/>
      <c r="T1068" s="3" t="n"/>
      <c r="U1068" s="3" t="n"/>
      <c r="V1068" s="3" t="n"/>
    </row>
    <row r="1069">
      <c r="A1069" s="3" t="n"/>
      <c r="B1069" s="3" t="n"/>
      <c r="C1069" s="3" t="n"/>
      <c r="D1069" s="4" t="n"/>
      <c r="E1069" s="3" t="n"/>
      <c r="F1069" s="3" t="n"/>
      <c r="G1069" s="3" t="n"/>
      <c r="H1069" s="3" t="n"/>
      <c r="I1069" s="3" t="n"/>
      <c r="J1069" s="3" t="n"/>
      <c r="K1069" s="3" t="n"/>
      <c r="L1069" s="3" t="n"/>
      <c r="M1069" s="3" t="n"/>
      <c r="N1069" s="3" t="n"/>
      <c r="O1069" s="3" t="n"/>
      <c r="P1069" s="3" t="n"/>
      <c r="Q1069" s="3" t="n"/>
      <c r="R1069" s="5">
        <f>IF(Q1069&lt;&gt;"是","排除",IF(OR(L1069="",M1069=""),"",IF(OR(L1069="未知",M1069="未知"),"未知",IF(AND(L1069="真",M1069="真"),"TP",IF(AND(L1069="真",M1069="假"),"FP",IF(AND(L1069="假",M1069="真"),"FN","TN"))))))</f>
        <v/>
      </c>
      <c r="S1069" s="3" t="n"/>
      <c r="T1069" s="3" t="n"/>
      <c r="U1069" s="3" t="n"/>
      <c r="V1069" s="3" t="n"/>
    </row>
    <row r="1070">
      <c r="A1070" s="3" t="n"/>
      <c r="B1070" s="3" t="n"/>
      <c r="C1070" s="3" t="n"/>
      <c r="D1070" s="4" t="n"/>
      <c r="E1070" s="3" t="n"/>
      <c r="F1070" s="3" t="n"/>
      <c r="G1070" s="3" t="n"/>
      <c r="H1070" s="3" t="n"/>
      <c r="I1070" s="3" t="n"/>
      <c r="J1070" s="3" t="n"/>
      <c r="K1070" s="3" t="n"/>
      <c r="L1070" s="3" t="n"/>
      <c r="M1070" s="3" t="n"/>
      <c r="N1070" s="3" t="n"/>
      <c r="O1070" s="3" t="n"/>
      <c r="P1070" s="3" t="n"/>
      <c r="Q1070" s="3" t="n"/>
      <c r="R1070" s="5">
        <f>IF(Q1070&lt;&gt;"是","排除",IF(OR(L1070="",M1070=""),"",IF(OR(L1070="未知",M1070="未知"),"未知",IF(AND(L1070="真",M1070="真"),"TP",IF(AND(L1070="真",M1070="假"),"FP",IF(AND(L1070="假",M1070="真"),"FN","TN"))))))</f>
        <v/>
      </c>
      <c r="S1070" s="3" t="n"/>
      <c r="T1070" s="3" t="n"/>
      <c r="U1070" s="3" t="n"/>
      <c r="V1070" s="3" t="n"/>
    </row>
    <row r="1071">
      <c r="A1071" s="3" t="n"/>
      <c r="B1071" s="3" t="n"/>
      <c r="C1071" s="3" t="n"/>
      <c r="D1071" s="4" t="n"/>
      <c r="E1071" s="3" t="n"/>
      <c r="F1071" s="3" t="n"/>
      <c r="G1071" s="3" t="n"/>
      <c r="H1071" s="3" t="n"/>
      <c r="I1071" s="3" t="n"/>
      <c r="J1071" s="3" t="n"/>
      <c r="K1071" s="3" t="n"/>
      <c r="L1071" s="3" t="n"/>
      <c r="M1071" s="3" t="n"/>
      <c r="N1071" s="3" t="n"/>
      <c r="O1071" s="3" t="n"/>
      <c r="P1071" s="3" t="n"/>
      <c r="Q1071" s="3" t="n"/>
      <c r="R1071" s="5">
        <f>IF(Q1071&lt;&gt;"是","排除",IF(OR(L1071="",M1071=""),"",IF(OR(L1071="未知",M1071="未知"),"未知",IF(AND(L1071="真",M1071="真"),"TP",IF(AND(L1071="真",M1071="假"),"FP",IF(AND(L1071="假",M1071="真"),"FN","TN"))))))</f>
        <v/>
      </c>
      <c r="S1071" s="3" t="n"/>
      <c r="T1071" s="3" t="n"/>
      <c r="U1071" s="3" t="n"/>
      <c r="V1071" s="3" t="n"/>
    </row>
    <row r="1072">
      <c r="A1072" s="3" t="n"/>
      <c r="B1072" s="3" t="n"/>
      <c r="C1072" s="3" t="n"/>
      <c r="D1072" s="4" t="n"/>
      <c r="E1072" s="3" t="n"/>
      <c r="F1072" s="3" t="n"/>
      <c r="G1072" s="3" t="n"/>
      <c r="H1072" s="3" t="n"/>
      <c r="I1072" s="3" t="n"/>
      <c r="J1072" s="3" t="n"/>
      <c r="K1072" s="3" t="n"/>
      <c r="L1072" s="3" t="n"/>
      <c r="M1072" s="3" t="n"/>
      <c r="N1072" s="3" t="n"/>
      <c r="O1072" s="3" t="n"/>
      <c r="P1072" s="3" t="n"/>
      <c r="Q1072" s="3" t="n"/>
      <c r="R1072" s="5">
        <f>IF(Q1072&lt;&gt;"是","排除",IF(OR(L1072="",M1072=""),"",IF(OR(L1072="未知",M1072="未知"),"未知",IF(AND(L1072="真",M1072="真"),"TP",IF(AND(L1072="真",M1072="假"),"FP",IF(AND(L1072="假",M1072="真"),"FN","TN"))))))</f>
        <v/>
      </c>
      <c r="S1072" s="3" t="n"/>
      <c r="T1072" s="3" t="n"/>
      <c r="U1072" s="3" t="n"/>
      <c r="V1072" s="3" t="n"/>
    </row>
    <row r="1073">
      <c r="A1073" s="3" t="n"/>
      <c r="B1073" s="3" t="n"/>
      <c r="C1073" s="3" t="n"/>
      <c r="D1073" s="4" t="n"/>
      <c r="E1073" s="3" t="n"/>
      <c r="F1073" s="3" t="n"/>
      <c r="G1073" s="3" t="n"/>
      <c r="H1073" s="3" t="n"/>
      <c r="I1073" s="3" t="n"/>
      <c r="J1073" s="3" t="n"/>
      <c r="K1073" s="3" t="n"/>
      <c r="L1073" s="3" t="n"/>
      <c r="M1073" s="3" t="n"/>
      <c r="N1073" s="3" t="n"/>
      <c r="O1073" s="3" t="n"/>
      <c r="P1073" s="3" t="n"/>
      <c r="Q1073" s="3" t="n"/>
      <c r="R1073" s="5">
        <f>IF(Q1073&lt;&gt;"是","排除",IF(OR(L1073="",M1073=""),"",IF(OR(L1073="未知",M1073="未知"),"未知",IF(AND(L1073="真",M1073="真"),"TP",IF(AND(L1073="真",M1073="假"),"FP",IF(AND(L1073="假",M1073="真"),"FN","TN"))))))</f>
        <v/>
      </c>
      <c r="S1073" s="3" t="n"/>
      <c r="T1073" s="3" t="n"/>
      <c r="U1073" s="3" t="n"/>
      <c r="V1073" s="3" t="n"/>
    </row>
    <row r="1074">
      <c r="A1074" s="3" t="n"/>
      <c r="B1074" s="3" t="n"/>
      <c r="C1074" s="3" t="n"/>
      <c r="D1074" s="4" t="n"/>
      <c r="E1074" s="3" t="n"/>
      <c r="F1074" s="3" t="n"/>
      <c r="G1074" s="3" t="n"/>
      <c r="H1074" s="3" t="n"/>
      <c r="I1074" s="3" t="n"/>
      <c r="J1074" s="3" t="n"/>
      <c r="K1074" s="3" t="n"/>
      <c r="L1074" s="3" t="n"/>
      <c r="M1074" s="3" t="n"/>
      <c r="N1074" s="3" t="n"/>
      <c r="O1074" s="3" t="n"/>
      <c r="P1074" s="3" t="n"/>
      <c r="Q1074" s="3" t="n"/>
      <c r="R1074" s="5">
        <f>IF(Q1074&lt;&gt;"是","排除",IF(OR(L1074="",M1074=""),"",IF(OR(L1074="未知",M1074="未知"),"未知",IF(AND(L1074="真",M1074="真"),"TP",IF(AND(L1074="真",M1074="假"),"FP",IF(AND(L1074="假",M1074="真"),"FN","TN"))))))</f>
        <v/>
      </c>
      <c r="S1074" s="3" t="n"/>
      <c r="T1074" s="3" t="n"/>
      <c r="U1074" s="3" t="n"/>
      <c r="V1074" s="3" t="n"/>
    </row>
    <row r="1075">
      <c r="A1075" s="3" t="n"/>
      <c r="B1075" s="3" t="n"/>
      <c r="C1075" s="3" t="n"/>
      <c r="D1075" s="4" t="n"/>
      <c r="E1075" s="3" t="n"/>
      <c r="F1075" s="3" t="n"/>
      <c r="G1075" s="3" t="n"/>
      <c r="H1075" s="3" t="n"/>
      <c r="I1075" s="3" t="n"/>
      <c r="J1075" s="3" t="n"/>
      <c r="K1075" s="3" t="n"/>
      <c r="L1075" s="3" t="n"/>
      <c r="M1075" s="3" t="n"/>
      <c r="N1075" s="3" t="n"/>
      <c r="O1075" s="3" t="n"/>
      <c r="P1075" s="3" t="n"/>
      <c r="Q1075" s="3" t="n"/>
      <c r="R1075" s="5">
        <f>IF(Q1075&lt;&gt;"是","排除",IF(OR(L1075="",M1075=""),"",IF(OR(L1075="未知",M1075="未知"),"未知",IF(AND(L1075="真",M1075="真"),"TP",IF(AND(L1075="真",M1075="假"),"FP",IF(AND(L1075="假",M1075="真"),"FN","TN"))))))</f>
        <v/>
      </c>
      <c r="S1075" s="3" t="n"/>
      <c r="T1075" s="3" t="n"/>
      <c r="U1075" s="3" t="n"/>
      <c r="V1075" s="3" t="n"/>
    </row>
    <row r="1076">
      <c r="A1076" s="3" t="n"/>
      <c r="B1076" s="3" t="n"/>
      <c r="C1076" s="3" t="n"/>
      <c r="D1076" s="4" t="n"/>
      <c r="E1076" s="3" t="n"/>
      <c r="F1076" s="3" t="n"/>
      <c r="G1076" s="3" t="n"/>
      <c r="H1076" s="3" t="n"/>
      <c r="I1076" s="3" t="n"/>
      <c r="J1076" s="3" t="n"/>
      <c r="K1076" s="3" t="n"/>
      <c r="L1076" s="3" t="n"/>
      <c r="M1076" s="3" t="n"/>
      <c r="N1076" s="3" t="n"/>
      <c r="O1076" s="3" t="n"/>
      <c r="P1076" s="3" t="n"/>
      <c r="Q1076" s="3" t="n"/>
      <c r="R1076" s="5">
        <f>IF(Q1076&lt;&gt;"是","排除",IF(OR(L1076="",M1076=""),"",IF(OR(L1076="未知",M1076="未知"),"未知",IF(AND(L1076="真",M1076="真"),"TP",IF(AND(L1076="真",M1076="假"),"FP",IF(AND(L1076="假",M1076="真"),"FN","TN"))))))</f>
        <v/>
      </c>
      <c r="S1076" s="3" t="n"/>
      <c r="T1076" s="3" t="n"/>
      <c r="U1076" s="3" t="n"/>
      <c r="V1076" s="3" t="n"/>
    </row>
    <row r="1077">
      <c r="A1077" s="3" t="n"/>
      <c r="B1077" s="3" t="n"/>
      <c r="C1077" s="3" t="n"/>
      <c r="D1077" s="4" t="n"/>
      <c r="E1077" s="3" t="n"/>
      <c r="F1077" s="3" t="n"/>
      <c r="G1077" s="3" t="n"/>
      <c r="H1077" s="3" t="n"/>
      <c r="I1077" s="3" t="n"/>
      <c r="J1077" s="3" t="n"/>
      <c r="K1077" s="3" t="n"/>
      <c r="L1077" s="3" t="n"/>
      <c r="M1077" s="3" t="n"/>
      <c r="N1077" s="3" t="n"/>
      <c r="O1077" s="3" t="n"/>
      <c r="P1077" s="3" t="n"/>
      <c r="Q1077" s="3" t="n"/>
      <c r="R1077" s="5">
        <f>IF(Q1077&lt;&gt;"是","排除",IF(OR(L1077="",M1077=""),"",IF(OR(L1077="未知",M1077="未知"),"未知",IF(AND(L1077="真",M1077="真"),"TP",IF(AND(L1077="真",M1077="假"),"FP",IF(AND(L1077="假",M1077="真"),"FN","TN"))))))</f>
        <v/>
      </c>
      <c r="S1077" s="3" t="n"/>
      <c r="T1077" s="3" t="n"/>
      <c r="U1077" s="3" t="n"/>
      <c r="V1077" s="3" t="n"/>
    </row>
    <row r="1078">
      <c r="A1078" s="3" t="n"/>
      <c r="B1078" s="3" t="n"/>
      <c r="C1078" s="3" t="n"/>
      <c r="D1078" s="4" t="n"/>
      <c r="E1078" s="3" t="n"/>
      <c r="F1078" s="3" t="n"/>
      <c r="G1078" s="3" t="n"/>
      <c r="H1078" s="3" t="n"/>
      <c r="I1078" s="3" t="n"/>
      <c r="J1078" s="3" t="n"/>
      <c r="K1078" s="3" t="n"/>
      <c r="L1078" s="3" t="n"/>
      <c r="M1078" s="3" t="n"/>
      <c r="N1078" s="3" t="n"/>
      <c r="O1078" s="3" t="n"/>
      <c r="P1078" s="3" t="n"/>
      <c r="Q1078" s="3" t="n"/>
      <c r="R1078" s="5">
        <f>IF(Q1078&lt;&gt;"是","排除",IF(OR(L1078="",M1078=""),"",IF(OR(L1078="未知",M1078="未知"),"未知",IF(AND(L1078="真",M1078="真"),"TP",IF(AND(L1078="真",M1078="假"),"FP",IF(AND(L1078="假",M1078="真"),"FN","TN"))))))</f>
        <v/>
      </c>
      <c r="S1078" s="3" t="n"/>
      <c r="T1078" s="3" t="n"/>
      <c r="U1078" s="3" t="n"/>
      <c r="V1078" s="3" t="n"/>
    </row>
    <row r="1079">
      <c r="A1079" s="3" t="n"/>
      <c r="B1079" s="3" t="n"/>
      <c r="C1079" s="3" t="n"/>
      <c r="D1079" s="4" t="n"/>
      <c r="E1079" s="3" t="n"/>
      <c r="F1079" s="3" t="n"/>
      <c r="G1079" s="3" t="n"/>
      <c r="H1079" s="3" t="n"/>
      <c r="I1079" s="3" t="n"/>
      <c r="J1079" s="3" t="n"/>
      <c r="K1079" s="3" t="n"/>
      <c r="L1079" s="3" t="n"/>
      <c r="M1079" s="3" t="n"/>
      <c r="N1079" s="3" t="n"/>
      <c r="O1079" s="3" t="n"/>
      <c r="P1079" s="3" t="n"/>
      <c r="Q1079" s="3" t="n"/>
      <c r="R1079" s="5">
        <f>IF(Q1079&lt;&gt;"是","排除",IF(OR(L1079="",M1079=""),"",IF(OR(L1079="未知",M1079="未知"),"未知",IF(AND(L1079="真",M1079="真"),"TP",IF(AND(L1079="真",M1079="假"),"FP",IF(AND(L1079="假",M1079="真"),"FN","TN"))))))</f>
        <v/>
      </c>
      <c r="S1079" s="3" t="n"/>
      <c r="T1079" s="3" t="n"/>
      <c r="U1079" s="3" t="n"/>
      <c r="V1079" s="3" t="n"/>
    </row>
    <row r="1080">
      <c r="A1080" s="3" t="n"/>
      <c r="B1080" s="3" t="n"/>
      <c r="C1080" s="3" t="n"/>
      <c r="D1080" s="4" t="n"/>
      <c r="E1080" s="3" t="n"/>
      <c r="F1080" s="3" t="n"/>
      <c r="G1080" s="3" t="n"/>
      <c r="H1080" s="3" t="n"/>
      <c r="I1080" s="3" t="n"/>
      <c r="J1080" s="3" t="n"/>
      <c r="K1080" s="3" t="n"/>
      <c r="L1080" s="3" t="n"/>
      <c r="M1080" s="3" t="n"/>
      <c r="N1080" s="3" t="n"/>
      <c r="O1080" s="3" t="n"/>
      <c r="P1080" s="3" t="n"/>
      <c r="Q1080" s="3" t="n"/>
      <c r="R1080" s="5">
        <f>IF(Q1080&lt;&gt;"是","排除",IF(OR(L1080="",M1080=""),"",IF(OR(L1080="未知",M1080="未知"),"未知",IF(AND(L1080="真",M1080="真"),"TP",IF(AND(L1080="真",M1080="假"),"FP",IF(AND(L1080="假",M1080="真"),"FN","TN"))))))</f>
        <v/>
      </c>
      <c r="S1080" s="3" t="n"/>
      <c r="T1080" s="3" t="n"/>
      <c r="U1080" s="3" t="n"/>
      <c r="V1080" s="3" t="n"/>
    </row>
    <row r="1081">
      <c r="A1081" s="3" t="n"/>
      <c r="B1081" s="3" t="n"/>
      <c r="C1081" s="3" t="n"/>
      <c r="D1081" s="4" t="n"/>
      <c r="E1081" s="3" t="n"/>
      <c r="F1081" s="3" t="n"/>
      <c r="G1081" s="3" t="n"/>
      <c r="H1081" s="3" t="n"/>
      <c r="I1081" s="3" t="n"/>
      <c r="J1081" s="3" t="n"/>
      <c r="K1081" s="3" t="n"/>
      <c r="L1081" s="3" t="n"/>
      <c r="M1081" s="3" t="n"/>
      <c r="N1081" s="3" t="n"/>
      <c r="O1081" s="3" t="n"/>
      <c r="P1081" s="3" t="n"/>
      <c r="Q1081" s="3" t="n"/>
      <c r="R1081" s="5">
        <f>IF(Q1081&lt;&gt;"是","排除",IF(OR(L1081="",M1081=""),"",IF(OR(L1081="未知",M1081="未知"),"未知",IF(AND(L1081="真",M1081="真"),"TP",IF(AND(L1081="真",M1081="假"),"FP",IF(AND(L1081="假",M1081="真"),"FN","TN"))))))</f>
        <v/>
      </c>
      <c r="S1081" s="3" t="n"/>
      <c r="T1081" s="3" t="n"/>
      <c r="U1081" s="3" t="n"/>
      <c r="V1081" s="3" t="n"/>
    </row>
    <row r="1082">
      <c r="A1082" s="3" t="n"/>
      <c r="B1082" s="3" t="n"/>
      <c r="C1082" s="3" t="n"/>
      <c r="D1082" s="4" t="n"/>
      <c r="E1082" s="3" t="n"/>
      <c r="F1082" s="3" t="n"/>
      <c r="G1082" s="3" t="n"/>
      <c r="H1082" s="3" t="n"/>
      <c r="I1082" s="3" t="n"/>
      <c r="J1082" s="3" t="n"/>
      <c r="K1082" s="3" t="n"/>
      <c r="L1082" s="3" t="n"/>
      <c r="M1082" s="3" t="n"/>
      <c r="N1082" s="3" t="n"/>
      <c r="O1082" s="3" t="n"/>
      <c r="P1082" s="3" t="n"/>
      <c r="Q1082" s="3" t="n"/>
      <c r="R1082" s="5">
        <f>IF(Q1082&lt;&gt;"是","排除",IF(OR(L1082="",M1082=""),"",IF(OR(L1082="未知",M1082="未知"),"未知",IF(AND(L1082="真",M1082="真"),"TP",IF(AND(L1082="真",M1082="假"),"FP",IF(AND(L1082="假",M1082="真"),"FN","TN"))))))</f>
        <v/>
      </c>
      <c r="S1082" s="3" t="n"/>
      <c r="T1082" s="3" t="n"/>
      <c r="U1082" s="3" t="n"/>
      <c r="V1082" s="3" t="n"/>
    </row>
    <row r="1083">
      <c r="A1083" s="3" t="n"/>
      <c r="B1083" s="3" t="n"/>
      <c r="C1083" s="3" t="n"/>
      <c r="D1083" s="4" t="n"/>
      <c r="E1083" s="3" t="n"/>
      <c r="F1083" s="3" t="n"/>
      <c r="G1083" s="3" t="n"/>
      <c r="H1083" s="3" t="n"/>
      <c r="I1083" s="3" t="n"/>
      <c r="J1083" s="3" t="n"/>
      <c r="K1083" s="3" t="n"/>
      <c r="L1083" s="3" t="n"/>
      <c r="M1083" s="3" t="n"/>
      <c r="N1083" s="3" t="n"/>
      <c r="O1083" s="3" t="n"/>
      <c r="P1083" s="3" t="n"/>
      <c r="Q1083" s="3" t="n"/>
      <c r="R1083" s="5">
        <f>IF(Q1083&lt;&gt;"是","排除",IF(OR(L1083="",M1083=""),"",IF(OR(L1083="未知",M1083="未知"),"未知",IF(AND(L1083="真",M1083="真"),"TP",IF(AND(L1083="真",M1083="假"),"FP",IF(AND(L1083="假",M1083="真"),"FN","TN"))))))</f>
        <v/>
      </c>
      <c r="S1083" s="3" t="n"/>
      <c r="T1083" s="3" t="n"/>
      <c r="U1083" s="3" t="n"/>
      <c r="V1083" s="3" t="n"/>
    </row>
    <row r="1084">
      <c r="A1084" s="3" t="n"/>
      <c r="B1084" s="3" t="n"/>
      <c r="C1084" s="3" t="n"/>
      <c r="D1084" s="4" t="n"/>
      <c r="E1084" s="3" t="n"/>
      <c r="F1084" s="3" t="n"/>
      <c r="G1084" s="3" t="n"/>
      <c r="H1084" s="3" t="n"/>
      <c r="I1084" s="3" t="n"/>
      <c r="J1084" s="3" t="n"/>
      <c r="K1084" s="3" t="n"/>
      <c r="L1084" s="3" t="n"/>
      <c r="M1084" s="3" t="n"/>
      <c r="N1084" s="3" t="n"/>
      <c r="O1084" s="3" t="n"/>
      <c r="P1084" s="3" t="n"/>
      <c r="Q1084" s="3" t="n"/>
      <c r="R1084" s="5">
        <f>IF(Q1084&lt;&gt;"是","排除",IF(OR(L1084="",M1084=""),"",IF(OR(L1084="未知",M1084="未知"),"未知",IF(AND(L1084="真",M1084="真"),"TP",IF(AND(L1084="真",M1084="假"),"FP",IF(AND(L1084="假",M1084="真"),"FN","TN"))))))</f>
        <v/>
      </c>
      <c r="S1084" s="3" t="n"/>
      <c r="T1084" s="3" t="n"/>
      <c r="U1084" s="3" t="n"/>
      <c r="V1084" s="3" t="n"/>
    </row>
    <row r="1085">
      <c r="A1085" s="3" t="n"/>
      <c r="B1085" s="3" t="n"/>
      <c r="C1085" s="3" t="n"/>
      <c r="D1085" s="4" t="n"/>
      <c r="E1085" s="3" t="n"/>
      <c r="F1085" s="3" t="n"/>
      <c r="G1085" s="3" t="n"/>
      <c r="H1085" s="3" t="n"/>
      <c r="I1085" s="3" t="n"/>
      <c r="J1085" s="3" t="n"/>
      <c r="K1085" s="3" t="n"/>
      <c r="L1085" s="3" t="n"/>
      <c r="M1085" s="3" t="n"/>
      <c r="N1085" s="3" t="n"/>
      <c r="O1085" s="3" t="n"/>
      <c r="P1085" s="3" t="n"/>
      <c r="Q1085" s="3" t="n"/>
      <c r="R1085" s="5">
        <f>IF(Q1085&lt;&gt;"是","排除",IF(OR(L1085="",M1085=""),"",IF(OR(L1085="未知",M1085="未知"),"未知",IF(AND(L1085="真",M1085="真"),"TP",IF(AND(L1085="真",M1085="假"),"FP",IF(AND(L1085="假",M1085="真"),"FN","TN"))))))</f>
        <v/>
      </c>
      <c r="S1085" s="3" t="n"/>
      <c r="T1085" s="3" t="n"/>
      <c r="U1085" s="3" t="n"/>
      <c r="V1085" s="3" t="n"/>
    </row>
    <row r="1086">
      <c r="A1086" s="3" t="n"/>
      <c r="B1086" s="3" t="n"/>
      <c r="C1086" s="3" t="n"/>
      <c r="D1086" s="4" t="n"/>
      <c r="E1086" s="3" t="n"/>
      <c r="F1086" s="3" t="n"/>
      <c r="G1086" s="3" t="n"/>
      <c r="H1086" s="3" t="n"/>
      <c r="I1086" s="3" t="n"/>
      <c r="J1086" s="3" t="n"/>
      <c r="K1086" s="3" t="n"/>
      <c r="L1086" s="3" t="n"/>
      <c r="M1086" s="3" t="n"/>
      <c r="N1086" s="3" t="n"/>
      <c r="O1086" s="3" t="n"/>
      <c r="P1086" s="3" t="n"/>
      <c r="Q1086" s="3" t="n"/>
      <c r="R1086" s="5">
        <f>IF(Q1086&lt;&gt;"是","排除",IF(OR(L1086="",M1086=""),"",IF(OR(L1086="未知",M1086="未知"),"未知",IF(AND(L1086="真",M1086="真"),"TP",IF(AND(L1086="真",M1086="假"),"FP",IF(AND(L1086="假",M1086="真"),"FN","TN"))))))</f>
        <v/>
      </c>
      <c r="S1086" s="3" t="n"/>
      <c r="T1086" s="3" t="n"/>
      <c r="U1086" s="3" t="n"/>
      <c r="V1086" s="3" t="n"/>
    </row>
    <row r="1087">
      <c r="A1087" s="3" t="n"/>
      <c r="B1087" s="3" t="n"/>
      <c r="C1087" s="3" t="n"/>
      <c r="D1087" s="4" t="n"/>
      <c r="E1087" s="3" t="n"/>
      <c r="F1087" s="3" t="n"/>
      <c r="G1087" s="3" t="n"/>
      <c r="H1087" s="3" t="n"/>
      <c r="I1087" s="3" t="n"/>
      <c r="J1087" s="3" t="n"/>
      <c r="K1087" s="3" t="n"/>
      <c r="L1087" s="3" t="n"/>
      <c r="M1087" s="3" t="n"/>
      <c r="N1087" s="3" t="n"/>
      <c r="O1087" s="3" t="n"/>
      <c r="P1087" s="3" t="n"/>
      <c r="Q1087" s="3" t="n"/>
      <c r="R1087" s="5">
        <f>IF(Q1087&lt;&gt;"是","排除",IF(OR(L1087="",M1087=""),"",IF(OR(L1087="未知",M1087="未知"),"未知",IF(AND(L1087="真",M1087="真"),"TP",IF(AND(L1087="真",M1087="假"),"FP",IF(AND(L1087="假",M1087="真"),"FN","TN"))))))</f>
        <v/>
      </c>
      <c r="S1087" s="3" t="n"/>
      <c r="T1087" s="3" t="n"/>
      <c r="U1087" s="3" t="n"/>
      <c r="V1087" s="3" t="n"/>
    </row>
    <row r="1088">
      <c r="A1088" s="3" t="n"/>
      <c r="B1088" s="3" t="n"/>
      <c r="C1088" s="3" t="n"/>
      <c r="D1088" s="4" t="n"/>
      <c r="E1088" s="3" t="n"/>
      <c r="F1088" s="3" t="n"/>
      <c r="G1088" s="3" t="n"/>
      <c r="H1088" s="3" t="n"/>
      <c r="I1088" s="3" t="n"/>
      <c r="J1088" s="3" t="n"/>
      <c r="K1088" s="3" t="n"/>
      <c r="L1088" s="3" t="n"/>
      <c r="M1088" s="3" t="n"/>
      <c r="N1088" s="3" t="n"/>
      <c r="O1088" s="3" t="n"/>
      <c r="P1088" s="3" t="n"/>
      <c r="Q1088" s="3" t="n"/>
      <c r="R1088" s="5">
        <f>IF(Q1088&lt;&gt;"是","排除",IF(OR(L1088="",M1088=""),"",IF(OR(L1088="未知",M1088="未知"),"未知",IF(AND(L1088="真",M1088="真"),"TP",IF(AND(L1088="真",M1088="假"),"FP",IF(AND(L1088="假",M1088="真"),"FN","TN"))))))</f>
        <v/>
      </c>
      <c r="S1088" s="3" t="n"/>
      <c r="T1088" s="3" t="n"/>
      <c r="U1088" s="3" t="n"/>
      <c r="V1088" s="3" t="n"/>
    </row>
    <row r="1089">
      <c r="A1089" s="3" t="n"/>
      <c r="B1089" s="3" t="n"/>
      <c r="C1089" s="3" t="n"/>
      <c r="D1089" s="4" t="n"/>
      <c r="E1089" s="3" t="n"/>
      <c r="F1089" s="3" t="n"/>
      <c r="G1089" s="3" t="n"/>
      <c r="H1089" s="3" t="n"/>
      <c r="I1089" s="3" t="n"/>
      <c r="J1089" s="3" t="n"/>
      <c r="K1089" s="3" t="n"/>
      <c r="L1089" s="3" t="n"/>
      <c r="M1089" s="3" t="n"/>
      <c r="N1089" s="3" t="n"/>
      <c r="O1089" s="3" t="n"/>
      <c r="P1089" s="3" t="n"/>
      <c r="Q1089" s="3" t="n"/>
      <c r="R1089" s="5">
        <f>IF(Q1089&lt;&gt;"是","排除",IF(OR(L1089="",M1089=""),"",IF(OR(L1089="未知",M1089="未知"),"未知",IF(AND(L1089="真",M1089="真"),"TP",IF(AND(L1089="真",M1089="假"),"FP",IF(AND(L1089="假",M1089="真"),"FN","TN"))))))</f>
        <v/>
      </c>
      <c r="S1089" s="3" t="n"/>
      <c r="T1089" s="3" t="n"/>
      <c r="U1089" s="3" t="n"/>
      <c r="V1089" s="3" t="n"/>
    </row>
    <row r="1090">
      <c r="A1090" s="3" t="n"/>
      <c r="B1090" s="3" t="n"/>
      <c r="C1090" s="3" t="n"/>
      <c r="D1090" s="4" t="n"/>
      <c r="E1090" s="3" t="n"/>
      <c r="F1090" s="3" t="n"/>
      <c r="G1090" s="3" t="n"/>
      <c r="H1090" s="3" t="n"/>
      <c r="I1090" s="3" t="n"/>
      <c r="J1090" s="3" t="n"/>
      <c r="K1090" s="3" t="n"/>
      <c r="L1090" s="3" t="n"/>
      <c r="M1090" s="3" t="n"/>
      <c r="N1090" s="3" t="n"/>
      <c r="O1090" s="3" t="n"/>
      <c r="P1090" s="3" t="n"/>
      <c r="Q1090" s="3" t="n"/>
      <c r="R1090" s="5">
        <f>IF(Q1090&lt;&gt;"是","排除",IF(OR(L1090="",M1090=""),"",IF(OR(L1090="未知",M1090="未知"),"未知",IF(AND(L1090="真",M1090="真"),"TP",IF(AND(L1090="真",M1090="假"),"FP",IF(AND(L1090="假",M1090="真"),"FN","TN"))))))</f>
        <v/>
      </c>
      <c r="S1090" s="3" t="n"/>
      <c r="T1090" s="3" t="n"/>
      <c r="U1090" s="3" t="n"/>
      <c r="V1090" s="3" t="n"/>
    </row>
    <row r="1091">
      <c r="A1091" s="3" t="n"/>
      <c r="B1091" s="3" t="n"/>
      <c r="C1091" s="3" t="n"/>
      <c r="D1091" s="4" t="n"/>
      <c r="E1091" s="3" t="n"/>
      <c r="F1091" s="3" t="n"/>
      <c r="G1091" s="3" t="n"/>
      <c r="H1091" s="3" t="n"/>
      <c r="I1091" s="3" t="n"/>
      <c r="J1091" s="3" t="n"/>
      <c r="K1091" s="3" t="n"/>
      <c r="L1091" s="3" t="n"/>
      <c r="M1091" s="3" t="n"/>
      <c r="N1091" s="3" t="n"/>
      <c r="O1091" s="3" t="n"/>
      <c r="P1091" s="3" t="n"/>
      <c r="Q1091" s="3" t="n"/>
      <c r="R1091" s="5">
        <f>IF(Q1091&lt;&gt;"是","排除",IF(OR(L1091="",M1091=""),"",IF(OR(L1091="未知",M1091="未知"),"未知",IF(AND(L1091="真",M1091="真"),"TP",IF(AND(L1091="真",M1091="假"),"FP",IF(AND(L1091="假",M1091="真"),"FN","TN"))))))</f>
        <v/>
      </c>
      <c r="S1091" s="3" t="n"/>
      <c r="T1091" s="3" t="n"/>
      <c r="U1091" s="3" t="n"/>
      <c r="V1091" s="3" t="n"/>
    </row>
    <row r="1092">
      <c r="A1092" s="3" t="n"/>
      <c r="B1092" s="3" t="n"/>
      <c r="C1092" s="3" t="n"/>
      <c r="D1092" s="4" t="n"/>
      <c r="E1092" s="3" t="n"/>
      <c r="F1092" s="3" t="n"/>
      <c r="G1092" s="3" t="n"/>
      <c r="H1092" s="3" t="n"/>
      <c r="I1092" s="3" t="n"/>
      <c r="J1092" s="3" t="n"/>
      <c r="K1092" s="3" t="n"/>
      <c r="L1092" s="3" t="n"/>
      <c r="M1092" s="3" t="n"/>
      <c r="N1092" s="3" t="n"/>
      <c r="O1092" s="3" t="n"/>
      <c r="P1092" s="3" t="n"/>
      <c r="Q1092" s="3" t="n"/>
      <c r="R1092" s="5">
        <f>IF(Q1092&lt;&gt;"是","排除",IF(OR(L1092="",M1092=""),"",IF(OR(L1092="未知",M1092="未知"),"未知",IF(AND(L1092="真",M1092="真"),"TP",IF(AND(L1092="真",M1092="假"),"FP",IF(AND(L1092="假",M1092="真"),"FN","TN"))))))</f>
        <v/>
      </c>
      <c r="S1092" s="3" t="n"/>
      <c r="T1092" s="3" t="n"/>
      <c r="U1092" s="3" t="n"/>
      <c r="V1092" s="3" t="n"/>
    </row>
    <row r="1093">
      <c r="A1093" s="3" t="n"/>
      <c r="B1093" s="3" t="n"/>
      <c r="C1093" s="3" t="n"/>
      <c r="D1093" s="4" t="n"/>
      <c r="E1093" s="3" t="n"/>
      <c r="F1093" s="3" t="n"/>
      <c r="G1093" s="3" t="n"/>
      <c r="H1093" s="3" t="n"/>
      <c r="I1093" s="3" t="n"/>
      <c r="J1093" s="3" t="n"/>
      <c r="K1093" s="3" t="n"/>
      <c r="L1093" s="3" t="n"/>
      <c r="M1093" s="3" t="n"/>
      <c r="N1093" s="3" t="n"/>
      <c r="O1093" s="3" t="n"/>
      <c r="P1093" s="3" t="n"/>
      <c r="Q1093" s="3" t="n"/>
      <c r="R1093" s="5">
        <f>IF(Q1093&lt;&gt;"是","排除",IF(OR(L1093="",M1093=""),"",IF(OR(L1093="未知",M1093="未知"),"未知",IF(AND(L1093="真",M1093="真"),"TP",IF(AND(L1093="真",M1093="假"),"FP",IF(AND(L1093="假",M1093="真"),"FN","TN"))))))</f>
        <v/>
      </c>
      <c r="S1093" s="3" t="n"/>
      <c r="T1093" s="3" t="n"/>
      <c r="U1093" s="3" t="n"/>
      <c r="V1093" s="3" t="n"/>
    </row>
    <row r="1094">
      <c r="A1094" s="3" t="n"/>
      <c r="B1094" s="3" t="n"/>
      <c r="C1094" s="3" t="n"/>
      <c r="D1094" s="4" t="n"/>
      <c r="E1094" s="3" t="n"/>
      <c r="F1094" s="3" t="n"/>
      <c r="G1094" s="3" t="n"/>
      <c r="H1094" s="3" t="n"/>
      <c r="I1094" s="3" t="n"/>
      <c r="J1094" s="3" t="n"/>
      <c r="K1094" s="3" t="n"/>
      <c r="L1094" s="3" t="n"/>
      <c r="M1094" s="3" t="n"/>
      <c r="N1094" s="3" t="n"/>
      <c r="O1094" s="3" t="n"/>
      <c r="P1094" s="3" t="n"/>
      <c r="Q1094" s="3" t="n"/>
      <c r="R1094" s="5">
        <f>IF(Q1094&lt;&gt;"是","排除",IF(OR(L1094="",M1094=""),"",IF(OR(L1094="未知",M1094="未知"),"未知",IF(AND(L1094="真",M1094="真"),"TP",IF(AND(L1094="真",M1094="假"),"FP",IF(AND(L1094="假",M1094="真"),"FN","TN"))))))</f>
        <v/>
      </c>
      <c r="S1094" s="3" t="n"/>
      <c r="T1094" s="3" t="n"/>
      <c r="U1094" s="3" t="n"/>
      <c r="V1094" s="3" t="n"/>
    </row>
    <row r="1095">
      <c r="A1095" s="3" t="n"/>
      <c r="B1095" s="3" t="n"/>
      <c r="C1095" s="3" t="n"/>
      <c r="D1095" s="4" t="n"/>
      <c r="E1095" s="3" t="n"/>
      <c r="F1095" s="3" t="n"/>
      <c r="G1095" s="3" t="n"/>
      <c r="H1095" s="3" t="n"/>
      <c r="I1095" s="3" t="n"/>
      <c r="J1095" s="3" t="n"/>
      <c r="K1095" s="3" t="n"/>
      <c r="L1095" s="3" t="n"/>
      <c r="M1095" s="3" t="n"/>
      <c r="N1095" s="3" t="n"/>
      <c r="O1095" s="3" t="n"/>
      <c r="P1095" s="3" t="n"/>
      <c r="Q1095" s="3" t="n"/>
      <c r="R1095" s="5">
        <f>IF(Q1095&lt;&gt;"是","排除",IF(OR(L1095="",M1095=""),"",IF(OR(L1095="未知",M1095="未知"),"未知",IF(AND(L1095="真",M1095="真"),"TP",IF(AND(L1095="真",M1095="假"),"FP",IF(AND(L1095="假",M1095="真"),"FN","TN"))))))</f>
        <v/>
      </c>
      <c r="S1095" s="3" t="n"/>
      <c r="T1095" s="3" t="n"/>
      <c r="U1095" s="3" t="n"/>
      <c r="V1095" s="3" t="n"/>
    </row>
    <row r="1096">
      <c r="A1096" s="3" t="n"/>
      <c r="B1096" s="3" t="n"/>
      <c r="C1096" s="3" t="n"/>
      <c r="D1096" s="4" t="n"/>
      <c r="E1096" s="3" t="n"/>
      <c r="F1096" s="3" t="n"/>
      <c r="G1096" s="3" t="n"/>
      <c r="H1096" s="3" t="n"/>
      <c r="I1096" s="3" t="n"/>
      <c r="J1096" s="3" t="n"/>
      <c r="K1096" s="3" t="n"/>
      <c r="L1096" s="3" t="n"/>
      <c r="M1096" s="3" t="n"/>
      <c r="N1096" s="3" t="n"/>
      <c r="O1096" s="3" t="n"/>
      <c r="P1096" s="3" t="n"/>
      <c r="Q1096" s="3" t="n"/>
      <c r="R1096" s="5">
        <f>IF(Q1096&lt;&gt;"是","排除",IF(OR(L1096="",M1096=""),"",IF(OR(L1096="未知",M1096="未知"),"未知",IF(AND(L1096="真",M1096="真"),"TP",IF(AND(L1096="真",M1096="假"),"FP",IF(AND(L1096="假",M1096="真"),"FN","TN"))))))</f>
        <v/>
      </c>
      <c r="S1096" s="3" t="n"/>
      <c r="T1096" s="3" t="n"/>
      <c r="U1096" s="3" t="n"/>
      <c r="V1096" s="3" t="n"/>
    </row>
    <row r="1097">
      <c r="A1097" s="3" t="n"/>
      <c r="B1097" s="3" t="n"/>
      <c r="C1097" s="3" t="n"/>
      <c r="D1097" s="4" t="n"/>
      <c r="E1097" s="3" t="n"/>
      <c r="F1097" s="3" t="n"/>
      <c r="G1097" s="3" t="n"/>
      <c r="H1097" s="3" t="n"/>
      <c r="I1097" s="3" t="n"/>
      <c r="J1097" s="3" t="n"/>
      <c r="K1097" s="3" t="n"/>
      <c r="L1097" s="3" t="n"/>
      <c r="M1097" s="3" t="n"/>
      <c r="N1097" s="3" t="n"/>
      <c r="O1097" s="3" t="n"/>
      <c r="P1097" s="3" t="n"/>
      <c r="Q1097" s="3" t="n"/>
      <c r="R1097" s="5">
        <f>IF(Q1097&lt;&gt;"是","排除",IF(OR(L1097="",M1097=""),"",IF(OR(L1097="未知",M1097="未知"),"未知",IF(AND(L1097="真",M1097="真"),"TP",IF(AND(L1097="真",M1097="假"),"FP",IF(AND(L1097="假",M1097="真"),"FN","TN"))))))</f>
        <v/>
      </c>
      <c r="S1097" s="3" t="n"/>
      <c r="T1097" s="3" t="n"/>
      <c r="U1097" s="3" t="n"/>
      <c r="V1097" s="3" t="n"/>
    </row>
    <row r="1098">
      <c r="A1098" s="3" t="n"/>
      <c r="B1098" s="3" t="n"/>
      <c r="C1098" s="3" t="n"/>
      <c r="D1098" s="4" t="n"/>
      <c r="E1098" s="3" t="n"/>
      <c r="F1098" s="3" t="n"/>
      <c r="G1098" s="3" t="n"/>
      <c r="H1098" s="3" t="n"/>
      <c r="I1098" s="3" t="n"/>
      <c r="J1098" s="3" t="n"/>
      <c r="K1098" s="3" t="n"/>
      <c r="L1098" s="3" t="n"/>
      <c r="M1098" s="3" t="n"/>
      <c r="N1098" s="3" t="n"/>
      <c r="O1098" s="3" t="n"/>
      <c r="P1098" s="3" t="n"/>
      <c r="Q1098" s="3" t="n"/>
      <c r="R1098" s="5">
        <f>IF(Q1098&lt;&gt;"是","排除",IF(OR(L1098="",M1098=""),"",IF(OR(L1098="未知",M1098="未知"),"未知",IF(AND(L1098="真",M1098="真"),"TP",IF(AND(L1098="真",M1098="假"),"FP",IF(AND(L1098="假",M1098="真"),"FN","TN"))))))</f>
        <v/>
      </c>
      <c r="S1098" s="3" t="n"/>
      <c r="T1098" s="3" t="n"/>
      <c r="U1098" s="3" t="n"/>
      <c r="V1098" s="3" t="n"/>
    </row>
    <row r="1099">
      <c r="A1099" s="3" t="n"/>
      <c r="B1099" s="3" t="n"/>
      <c r="C1099" s="3" t="n"/>
      <c r="D1099" s="4" t="n"/>
      <c r="E1099" s="3" t="n"/>
      <c r="F1099" s="3" t="n"/>
      <c r="G1099" s="3" t="n"/>
      <c r="H1099" s="3" t="n"/>
      <c r="I1099" s="3" t="n"/>
      <c r="J1099" s="3" t="n"/>
      <c r="K1099" s="3" t="n"/>
      <c r="L1099" s="3" t="n"/>
      <c r="M1099" s="3" t="n"/>
      <c r="N1099" s="3" t="n"/>
      <c r="O1099" s="3" t="n"/>
      <c r="P1099" s="3" t="n"/>
      <c r="Q1099" s="3" t="n"/>
      <c r="R1099" s="5">
        <f>IF(Q1099&lt;&gt;"是","排除",IF(OR(L1099="",M1099=""),"",IF(OR(L1099="未知",M1099="未知"),"未知",IF(AND(L1099="真",M1099="真"),"TP",IF(AND(L1099="真",M1099="假"),"FP",IF(AND(L1099="假",M1099="真"),"FN","TN"))))))</f>
        <v/>
      </c>
      <c r="S1099" s="3" t="n"/>
      <c r="T1099" s="3" t="n"/>
      <c r="U1099" s="3" t="n"/>
      <c r="V1099" s="3" t="n"/>
    </row>
    <row r="1100">
      <c r="A1100" s="3" t="n"/>
      <c r="B1100" s="3" t="n"/>
      <c r="C1100" s="3" t="n"/>
      <c r="D1100" s="4" t="n"/>
      <c r="E1100" s="3" t="n"/>
      <c r="F1100" s="3" t="n"/>
      <c r="G1100" s="3" t="n"/>
      <c r="H1100" s="3" t="n"/>
      <c r="I1100" s="3" t="n"/>
      <c r="J1100" s="3" t="n"/>
      <c r="K1100" s="3" t="n"/>
      <c r="L1100" s="3" t="n"/>
      <c r="M1100" s="3" t="n"/>
      <c r="N1100" s="3" t="n"/>
      <c r="O1100" s="3" t="n"/>
      <c r="P1100" s="3" t="n"/>
      <c r="Q1100" s="3" t="n"/>
      <c r="R1100" s="5">
        <f>IF(Q1100&lt;&gt;"是","排除",IF(OR(L1100="",M1100=""),"",IF(OR(L1100="未知",M1100="未知"),"未知",IF(AND(L1100="真",M1100="真"),"TP",IF(AND(L1100="真",M1100="假"),"FP",IF(AND(L1100="假",M1100="真"),"FN","TN"))))))</f>
        <v/>
      </c>
      <c r="S1100" s="3" t="n"/>
      <c r="T1100" s="3" t="n"/>
      <c r="U1100" s="3" t="n"/>
      <c r="V1100" s="3" t="n"/>
    </row>
    <row r="1101">
      <c r="A1101" s="3" t="n"/>
      <c r="B1101" s="3" t="n"/>
      <c r="C1101" s="3" t="n"/>
      <c r="D1101" s="4" t="n"/>
      <c r="E1101" s="3" t="n"/>
      <c r="F1101" s="3" t="n"/>
      <c r="G1101" s="3" t="n"/>
      <c r="H1101" s="3" t="n"/>
      <c r="I1101" s="3" t="n"/>
      <c r="J1101" s="3" t="n"/>
      <c r="K1101" s="3" t="n"/>
      <c r="L1101" s="3" t="n"/>
      <c r="M1101" s="3" t="n"/>
      <c r="N1101" s="3" t="n"/>
      <c r="O1101" s="3" t="n"/>
      <c r="P1101" s="3" t="n"/>
      <c r="Q1101" s="3" t="n"/>
      <c r="R1101" s="5">
        <f>IF(Q1101&lt;&gt;"是","排除",IF(OR(L1101="",M1101=""),"",IF(OR(L1101="未知",M1101="未知"),"未知",IF(AND(L1101="真",M1101="真"),"TP",IF(AND(L1101="真",M1101="假"),"FP",IF(AND(L1101="假",M1101="真"),"FN","TN"))))))</f>
        <v/>
      </c>
      <c r="S1101" s="3" t="n"/>
      <c r="T1101" s="3" t="n"/>
      <c r="U1101" s="3" t="n"/>
      <c r="V1101" s="3" t="n"/>
    </row>
    <row r="1102">
      <c r="A1102" s="3" t="n"/>
      <c r="B1102" s="3" t="n"/>
      <c r="C1102" s="3" t="n"/>
      <c r="D1102" s="4" t="n"/>
      <c r="E1102" s="3" t="n"/>
      <c r="F1102" s="3" t="n"/>
      <c r="G1102" s="3" t="n"/>
      <c r="H1102" s="3" t="n"/>
      <c r="I1102" s="3" t="n"/>
      <c r="J1102" s="3" t="n"/>
      <c r="K1102" s="3" t="n"/>
      <c r="L1102" s="3" t="n"/>
      <c r="M1102" s="3" t="n"/>
      <c r="N1102" s="3" t="n"/>
      <c r="O1102" s="3" t="n"/>
      <c r="P1102" s="3" t="n"/>
      <c r="Q1102" s="3" t="n"/>
      <c r="R1102" s="5">
        <f>IF(Q1102&lt;&gt;"是","排除",IF(OR(L1102="",M1102=""),"",IF(OR(L1102="未知",M1102="未知"),"未知",IF(AND(L1102="真",M1102="真"),"TP",IF(AND(L1102="真",M1102="假"),"FP",IF(AND(L1102="假",M1102="真"),"FN","TN"))))))</f>
        <v/>
      </c>
      <c r="S1102" s="3" t="n"/>
      <c r="T1102" s="3" t="n"/>
      <c r="U1102" s="3" t="n"/>
      <c r="V1102" s="3" t="n"/>
    </row>
    <row r="1103">
      <c r="A1103" s="3" t="n"/>
      <c r="B1103" s="3" t="n"/>
      <c r="C1103" s="3" t="n"/>
      <c r="D1103" s="4" t="n"/>
      <c r="E1103" s="3" t="n"/>
      <c r="F1103" s="3" t="n"/>
      <c r="G1103" s="3" t="n"/>
      <c r="H1103" s="3" t="n"/>
      <c r="I1103" s="3" t="n"/>
      <c r="J1103" s="3" t="n"/>
      <c r="K1103" s="3" t="n"/>
      <c r="L1103" s="3" t="n"/>
      <c r="M1103" s="3" t="n"/>
      <c r="N1103" s="3" t="n"/>
      <c r="O1103" s="3" t="n"/>
      <c r="P1103" s="3" t="n"/>
      <c r="Q1103" s="3" t="n"/>
      <c r="R1103" s="5">
        <f>IF(Q1103&lt;&gt;"是","排除",IF(OR(L1103="",M1103=""),"",IF(OR(L1103="未知",M1103="未知"),"未知",IF(AND(L1103="真",M1103="真"),"TP",IF(AND(L1103="真",M1103="假"),"FP",IF(AND(L1103="假",M1103="真"),"FN","TN"))))))</f>
        <v/>
      </c>
      <c r="S1103" s="3" t="n"/>
      <c r="T1103" s="3" t="n"/>
      <c r="U1103" s="3" t="n"/>
      <c r="V1103" s="3" t="n"/>
    </row>
    <row r="1104">
      <c r="A1104" s="3" t="n"/>
      <c r="B1104" s="3" t="n"/>
      <c r="C1104" s="3" t="n"/>
      <c r="D1104" s="4" t="n"/>
      <c r="E1104" s="3" t="n"/>
      <c r="F1104" s="3" t="n"/>
      <c r="G1104" s="3" t="n"/>
      <c r="H1104" s="3" t="n"/>
      <c r="I1104" s="3" t="n"/>
      <c r="J1104" s="3" t="n"/>
      <c r="K1104" s="3" t="n"/>
      <c r="L1104" s="3" t="n"/>
      <c r="M1104" s="3" t="n"/>
      <c r="N1104" s="3" t="n"/>
      <c r="O1104" s="3" t="n"/>
      <c r="P1104" s="3" t="n"/>
      <c r="Q1104" s="3" t="n"/>
      <c r="R1104" s="5">
        <f>IF(Q1104&lt;&gt;"是","排除",IF(OR(L1104="",M1104=""),"",IF(OR(L1104="未知",M1104="未知"),"未知",IF(AND(L1104="真",M1104="真"),"TP",IF(AND(L1104="真",M1104="假"),"FP",IF(AND(L1104="假",M1104="真"),"FN","TN"))))))</f>
        <v/>
      </c>
      <c r="S1104" s="3" t="n"/>
      <c r="T1104" s="3" t="n"/>
      <c r="U1104" s="3" t="n"/>
      <c r="V1104" s="3" t="n"/>
    </row>
    <row r="1105">
      <c r="A1105" s="3" t="n"/>
      <c r="B1105" s="3" t="n"/>
      <c r="C1105" s="3" t="n"/>
      <c r="D1105" s="4" t="n"/>
      <c r="E1105" s="3" t="n"/>
      <c r="F1105" s="3" t="n"/>
      <c r="G1105" s="3" t="n"/>
      <c r="H1105" s="3" t="n"/>
      <c r="I1105" s="3" t="n"/>
      <c r="J1105" s="3" t="n"/>
      <c r="K1105" s="3" t="n"/>
      <c r="L1105" s="3" t="n"/>
      <c r="M1105" s="3" t="n"/>
      <c r="N1105" s="3" t="n"/>
      <c r="O1105" s="3" t="n"/>
      <c r="P1105" s="3" t="n"/>
      <c r="Q1105" s="3" t="n"/>
      <c r="R1105" s="5">
        <f>IF(Q1105&lt;&gt;"是","排除",IF(OR(L1105="",M1105=""),"",IF(OR(L1105="未知",M1105="未知"),"未知",IF(AND(L1105="真",M1105="真"),"TP",IF(AND(L1105="真",M1105="假"),"FP",IF(AND(L1105="假",M1105="真"),"FN","TN"))))))</f>
        <v/>
      </c>
      <c r="S1105" s="3" t="n"/>
      <c r="T1105" s="3" t="n"/>
      <c r="U1105" s="3" t="n"/>
      <c r="V1105" s="3" t="n"/>
    </row>
    <row r="1106">
      <c r="A1106" s="3" t="n"/>
      <c r="B1106" s="3" t="n"/>
      <c r="C1106" s="3" t="n"/>
      <c r="D1106" s="4" t="n"/>
      <c r="E1106" s="3" t="n"/>
      <c r="F1106" s="3" t="n"/>
      <c r="G1106" s="3" t="n"/>
      <c r="H1106" s="3" t="n"/>
      <c r="I1106" s="3" t="n"/>
      <c r="J1106" s="3" t="n"/>
      <c r="K1106" s="3" t="n"/>
      <c r="L1106" s="3" t="n"/>
      <c r="M1106" s="3" t="n"/>
      <c r="N1106" s="3" t="n"/>
      <c r="O1106" s="3" t="n"/>
      <c r="P1106" s="3" t="n"/>
      <c r="Q1106" s="3" t="n"/>
      <c r="R1106" s="5">
        <f>IF(Q1106&lt;&gt;"是","排除",IF(OR(L1106="",M1106=""),"",IF(OR(L1106="未知",M1106="未知"),"未知",IF(AND(L1106="真",M1106="真"),"TP",IF(AND(L1106="真",M1106="假"),"FP",IF(AND(L1106="假",M1106="真"),"FN","TN"))))))</f>
        <v/>
      </c>
      <c r="S1106" s="3" t="n"/>
      <c r="T1106" s="3" t="n"/>
      <c r="U1106" s="3" t="n"/>
      <c r="V1106" s="3" t="n"/>
    </row>
    <row r="1107">
      <c r="A1107" s="3" t="n"/>
      <c r="B1107" s="3" t="n"/>
      <c r="C1107" s="3" t="n"/>
      <c r="D1107" s="4" t="n"/>
      <c r="E1107" s="3" t="n"/>
      <c r="F1107" s="3" t="n"/>
      <c r="G1107" s="3" t="n"/>
      <c r="H1107" s="3" t="n"/>
      <c r="I1107" s="3" t="n"/>
      <c r="J1107" s="3" t="n"/>
      <c r="K1107" s="3" t="n"/>
      <c r="L1107" s="3" t="n"/>
      <c r="M1107" s="3" t="n"/>
      <c r="N1107" s="3" t="n"/>
      <c r="O1107" s="3" t="n"/>
      <c r="P1107" s="3" t="n"/>
      <c r="Q1107" s="3" t="n"/>
      <c r="R1107" s="5">
        <f>IF(Q1107&lt;&gt;"是","排除",IF(OR(L1107="",M1107=""),"",IF(OR(L1107="未知",M1107="未知"),"未知",IF(AND(L1107="真",M1107="真"),"TP",IF(AND(L1107="真",M1107="假"),"FP",IF(AND(L1107="假",M1107="真"),"FN","TN"))))))</f>
        <v/>
      </c>
      <c r="S1107" s="3" t="n"/>
      <c r="T1107" s="3" t="n"/>
      <c r="U1107" s="3" t="n"/>
      <c r="V1107" s="3" t="n"/>
    </row>
    <row r="1108">
      <c r="A1108" s="3" t="n"/>
      <c r="B1108" s="3" t="n"/>
      <c r="C1108" s="3" t="n"/>
      <c r="D1108" s="4" t="n"/>
      <c r="E1108" s="3" t="n"/>
      <c r="F1108" s="3" t="n"/>
      <c r="G1108" s="3" t="n"/>
      <c r="H1108" s="3" t="n"/>
      <c r="I1108" s="3" t="n"/>
      <c r="J1108" s="3" t="n"/>
      <c r="K1108" s="3" t="n"/>
      <c r="L1108" s="3" t="n"/>
      <c r="M1108" s="3" t="n"/>
      <c r="N1108" s="3" t="n"/>
      <c r="O1108" s="3" t="n"/>
      <c r="P1108" s="3" t="n"/>
      <c r="Q1108" s="3" t="n"/>
      <c r="R1108" s="5">
        <f>IF(Q1108&lt;&gt;"是","排除",IF(OR(L1108="",M1108=""),"",IF(OR(L1108="未知",M1108="未知"),"未知",IF(AND(L1108="真",M1108="真"),"TP",IF(AND(L1108="真",M1108="假"),"FP",IF(AND(L1108="假",M1108="真"),"FN","TN"))))))</f>
        <v/>
      </c>
      <c r="S1108" s="3" t="n"/>
      <c r="T1108" s="3" t="n"/>
      <c r="U1108" s="3" t="n"/>
      <c r="V1108" s="3" t="n"/>
    </row>
    <row r="1109">
      <c r="A1109" s="3" t="n"/>
      <c r="B1109" s="3" t="n"/>
      <c r="C1109" s="3" t="n"/>
      <c r="D1109" s="4" t="n"/>
      <c r="E1109" s="3" t="n"/>
      <c r="F1109" s="3" t="n"/>
      <c r="G1109" s="3" t="n"/>
      <c r="H1109" s="3" t="n"/>
      <c r="I1109" s="3" t="n"/>
      <c r="J1109" s="3" t="n"/>
      <c r="K1109" s="3" t="n"/>
      <c r="L1109" s="3" t="n"/>
      <c r="M1109" s="3" t="n"/>
      <c r="N1109" s="3" t="n"/>
      <c r="O1109" s="3" t="n"/>
      <c r="P1109" s="3" t="n"/>
      <c r="Q1109" s="3" t="n"/>
      <c r="R1109" s="5">
        <f>IF(Q1109&lt;&gt;"是","排除",IF(OR(L1109="",M1109=""),"",IF(OR(L1109="未知",M1109="未知"),"未知",IF(AND(L1109="真",M1109="真"),"TP",IF(AND(L1109="真",M1109="假"),"FP",IF(AND(L1109="假",M1109="真"),"FN","TN"))))))</f>
        <v/>
      </c>
      <c r="S1109" s="3" t="n"/>
      <c r="T1109" s="3" t="n"/>
      <c r="U1109" s="3" t="n"/>
      <c r="V1109" s="3" t="n"/>
    </row>
    <row r="1110">
      <c r="A1110" s="3" t="n"/>
      <c r="B1110" s="3" t="n"/>
      <c r="C1110" s="3" t="n"/>
      <c r="D1110" s="4" t="n"/>
      <c r="E1110" s="3" t="n"/>
      <c r="F1110" s="3" t="n"/>
      <c r="G1110" s="3" t="n"/>
      <c r="H1110" s="3" t="n"/>
      <c r="I1110" s="3" t="n"/>
      <c r="J1110" s="3" t="n"/>
      <c r="K1110" s="3" t="n"/>
      <c r="L1110" s="3" t="n"/>
      <c r="M1110" s="3" t="n"/>
      <c r="N1110" s="3" t="n"/>
      <c r="O1110" s="3" t="n"/>
      <c r="P1110" s="3" t="n"/>
      <c r="Q1110" s="3" t="n"/>
      <c r="R1110" s="5">
        <f>IF(Q1110&lt;&gt;"是","排除",IF(OR(L1110="",M1110=""),"",IF(OR(L1110="未知",M1110="未知"),"未知",IF(AND(L1110="真",M1110="真"),"TP",IF(AND(L1110="真",M1110="假"),"FP",IF(AND(L1110="假",M1110="真"),"FN","TN"))))))</f>
        <v/>
      </c>
      <c r="S1110" s="3" t="n"/>
      <c r="T1110" s="3" t="n"/>
      <c r="U1110" s="3" t="n"/>
      <c r="V1110" s="3" t="n"/>
    </row>
    <row r="1111">
      <c r="A1111" s="3" t="n"/>
      <c r="B1111" s="3" t="n"/>
      <c r="C1111" s="3" t="n"/>
      <c r="D1111" s="4" t="n"/>
      <c r="E1111" s="3" t="n"/>
      <c r="F1111" s="3" t="n"/>
      <c r="G1111" s="3" t="n"/>
      <c r="H1111" s="3" t="n"/>
      <c r="I1111" s="3" t="n"/>
      <c r="J1111" s="3" t="n"/>
      <c r="K1111" s="3" t="n"/>
      <c r="L1111" s="3" t="n"/>
      <c r="M1111" s="3" t="n"/>
      <c r="N1111" s="3" t="n"/>
      <c r="O1111" s="3" t="n"/>
      <c r="P1111" s="3" t="n"/>
      <c r="Q1111" s="3" t="n"/>
      <c r="R1111" s="5">
        <f>IF(Q1111&lt;&gt;"是","排除",IF(OR(L1111="",M1111=""),"",IF(OR(L1111="未知",M1111="未知"),"未知",IF(AND(L1111="真",M1111="真"),"TP",IF(AND(L1111="真",M1111="假"),"FP",IF(AND(L1111="假",M1111="真"),"FN","TN"))))))</f>
        <v/>
      </c>
      <c r="S1111" s="3" t="n"/>
      <c r="T1111" s="3" t="n"/>
      <c r="U1111" s="3" t="n"/>
      <c r="V1111" s="3" t="n"/>
    </row>
    <row r="1112">
      <c r="A1112" s="3" t="n"/>
      <c r="B1112" s="3" t="n"/>
      <c r="C1112" s="3" t="n"/>
      <c r="D1112" s="4" t="n"/>
      <c r="E1112" s="3" t="n"/>
      <c r="F1112" s="3" t="n"/>
      <c r="G1112" s="3" t="n"/>
      <c r="H1112" s="3" t="n"/>
      <c r="I1112" s="3" t="n"/>
      <c r="J1112" s="3" t="n"/>
      <c r="K1112" s="3" t="n"/>
      <c r="L1112" s="3" t="n"/>
      <c r="M1112" s="3" t="n"/>
      <c r="N1112" s="3" t="n"/>
      <c r="O1112" s="3" t="n"/>
      <c r="P1112" s="3" t="n"/>
      <c r="Q1112" s="3" t="n"/>
      <c r="R1112" s="5">
        <f>IF(Q1112&lt;&gt;"是","排除",IF(OR(L1112="",M1112=""),"",IF(OR(L1112="未知",M1112="未知"),"未知",IF(AND(L1112="真",M1112="真"),"TP",IF(AND(L1112="真",M1112="假"),"FP",IF(AND(L1112="假",M1112="真"),"FN","TN"))))))</f>
        <v/>
      </c>
      <c r="S1112" s="3" t="n"/>
      <c r="T1112" s="3" t="n"/>
      <c r="U1112" s="3" t="n"/>
      <c r="V1112" s="3" t="n"/>
    </row>
    <row r="1113">
      <c r="A1113" s="3" t="n"/>
      <c r="B1113" s="3" t="n"/>
      <c r="C1113" s="3" t="n"/>
      <c r="D1113" s="4" t="n"/>
      <c r="E1113" s="3" t="n"/>
      <c r="F1113" s="3" t="n"/>
      <c r="G1113" s="3" t="n"/>
      <c r="H1113" s="3" t="n"/>
      <c r="I1113" s="3" t="n"/>
      <c r="J1113" s="3" t="n"/>
      <c r="K1113" s="3" t="n"/>
      <c r="L1113" s="3" t="n"/>
      <c r="M1113" s="3" t="n"/>
      <c r="N1113" s="3" t="n"/>
      <c r="O1113" s="3" t="n"/>
      <c r="P1113" s="3" t="n"/>
      <c r="Q1113" s="3" t="n"/>
      <c r="R1113" s="5">
        <f>IF(Q1113&lt;&gt;"是","排除",IF(OR(L1113="",M1113=""),"",IF(OR(L1113="未知",M1113="未知"),"未知",IF(AND(L1113="真",M1113="真"),"TP",IF(AND(L1113="真",M1113="假"),"FP",IF(AND(L1113="假",M1113="真"),"FN","TN"))))))</f>
        <v/>
      </c>
      <c r="S1113" s="3" t="n"/>
      <c r="T1113" s="3" t="n"/>
      <c r="U1113" s="3" t="n"/>
      <c r="V1113" s="3" t="n"/>
    </row>
    <row r="1114">
      <c r="A1114" s="3" t="n"/>
      <c r="B1114" s="3" t="n"/>
      <c r="C1114" s="3" t="n"/>
      <c r="D1114" s="4" t="n"/>
      <c r="E1114" s="3" t="n"/>
      <c r="F1114" s="3" t="n"/>
      <c r="G1114" s="3" t="n"/>
      <c r="H1114" s="3" t="n"/>
      <c r="I1114" s="3" t="n"/>
      <c r="J1114" s="3" t="n"/>
      <c r="K1114" s="3" t="n"/>
      <c r="L1114" s="3" t="n"/>
      <c r="M1114" s="3" t="n"/>
      <c r="N1114" s="3" t="n"/>
      <c r="O1114" s="3" t="n"/>
      <c r="P1114" s="3" t="n"/>
      <c r="Q1114" s="3" t="n"/>
      <c r="R1114" s="5">
        <f>IF(Q1114&lt;&gt;"是","排除",IF(OR(L1114="",M1114=""),"",IF(OR(L1114="未知",M1114="未知"),"未知",IF(AND(L1114="真",M1114="真"),"TP",IF(AND(L1114="真",M1114="假"),"FP",IF(AND(L1114="假",M1114="真"),"FN","TN"))))))</f>
        <v/>
      </c>
      <c r="S1114" s="3" t="n"/>
      <c r="T1114" s="3" t="n"/>
      <c r="U1114" s="3" t="n"/>
      <c r="V1114" s="3" t="n"/>
    </row>
    <row r="1115">
      <c r="A1115" s="3" t="n"/>
      <c r="B1115" s="3" t="n"/>
      <c r="C1115" s="3" t="n"/>
      <c r="D1115" s="4" t="n"/>
      <c r="E1115" s="3" t="n"/>
      <c r="F1115" s="3" t="n"/>
      <c r="G1115" s="3" t="n"/>
      <c r="H1115" s="3" t="n"/>
      <c r="I1115" s="3" t="n"/>
      <c r="J1115" s="3" t="n"/>
      <c r="K1115" s="3" t="n"/>
      <c r="L1115" s="3" t="n"/>
      <c r="M1115" s="3" t="n"/>
      <c r="N1115" s="3" t="n"/>
      <c r="O1115" s="3" t="n"/>
      <c r="P1115" s="3" t="n"/>
      <c r="Q1115" s="3" t="n"/>
      <c r="R1115" s="5">
        <f>IF(Q1115&lt;&gt;"是","排除",IF(OR(L1115="",M1115=""),"",IF(OR(L1115="未知",M1115="未知"),"未知",IF(AND(L1115="真",M1115="真"),"TP",IF(AND(L1115="真",M1115="假"),"FP",IF(AND(L1115="假",M1115="真"),"FN","TN"))))))</f>
        <v/>
      </c>
      <c r="S1115" s="3" t="n"/>
      <c r="T1115" s="3" t="n"/>
      <c r="U1115" s="3" t="n"/>
      <c r="V1115" s="3" t="n"/>
    </row>
    <row r="1116">
      <c r="A1116" s="3" t="n"/>
      <c r="B1116" s="3" t="n"/>
      <c r="C1116" s="3" t="n"/>
      <c r="D1116" s="4" t="n"/>
      <c r="E1116" s="3" t="n"/>
      <c r="F1116" s="3" t="n"/>
      <c r="G1116" s="3" t="n"/>
      <c r="H1116" s="3" t="n"/>
      <c r="I1116" s="3" t="n"/>
      <c r="J1116" s="3" t="n"/>
      <c r="K1116" s="3" t="n"/>
      <c r="L1116" s="3" t="n"/>
      <c r="M1116" s="3" t="n"/>
      <c r="N1116" s="3" t="n"/>
      <c r="O1116" s="3" t="n"/>
      <c r="P1116" s="3" t="n"/>
      <c r="Q1116" s="3" t="n"/>
      <c r="R1116" s="5">
        <f>IF(Q1116&lt;&gt;"是","排除",IF(OR(L1116="",M1116=""),"",IF(OR(L1116="未知",M1116="未知"),"未知",IF(AND(L1116="真",M1116="真"),"TP",IF(AND(L1116="真",M1116="假"),"FP",IF(AND(L1116="假",M1116="真"),"FN","TN"))))))</f>
        <v/>
      </c>
      <c r="S1116" s="3" t="n"/>
      <c r="T1116" s="3" t="n"/>
      <c r="U1116" s="3" t="n"/>
      <c r="V1116" s="3" t="n"/>
    </row>
    <row r="1117">
      <c r="A1117" s="3" t="n"/>
      <c r="B1117" s="3" t="n"/>
      <c r="C1117" s="3" t="n"/>
      <c r="D1117" s="4" t="n"/>
      <c r="E1117" s="3" t="n"/>
      <c r="F1117" s="3" t="n"/>
      <c r="G1117" s="3" t="n"/>
      <c r="H1117" s="3" t="n"/>
      <c r="I1117" s="3" t="n"/>
      <c r="J1117" s="3" t="n"/>
      <c r="K1117" s="3" t="n"/>
      <c r="L1117" s="3" t="n"/>
      <c r="M1117" s="3" t="n"/>
      <c r="N1117" s="3" t="n"/>
      <c r="O1117" s="3" t="n"/>
      <c r="P1117" s="3" t="n"/>
      <c r="Q1117" s="3" t="n"/>
      <c r="R1117" s="5">
        <f>IF(Q1117&lt;&gt;"是","排除",IF(OR(L1117="",M1117=""),"",IF(OR(L1117="未知",M1117="未知"),"未知",IF(AND(L1117="真",M1117="真"),"TP",IF(AND(L1117="真",M1117="假"),"FP",IF(AND(L1117="假",M1117="真"),"FN","TN"))))))</f>
        <v/>
      </c>
      <c r="S1117" s="3" t="n"/>
      <c r="T1117" s="3" t="n"/>
      <c r="U1117" s="3" t="n"/>
      <c r="V1117" s="3" t="n"/>
    </row>
    <row r="1118">
      <c r="A1118" s="3" t="n"/>
      <c r="B1118" s="3" t="n"/>
      <c r="C1118" s="3" t="n"/>
      <c r="D1118" s="4" t="n"/>
      <c r="E1118" s="3" t="n"/>
      <c r="F1118" s="3" t="n"/>
      <c r="G1118" s="3" t="n"/>
      <c r="H1118" s="3" t="n"/>
      <c r="I1118" s="3" t="n"/>
      <c r="J1118" s="3" t="n"/>
      <c r="K1118" s="3" t="n"/>
      <c r="L1118" s="3" t="n"/>
      <c r="M1118" s="3" t="n"/>
      <c r="N1118" s="3" t="n"/>
      <c r="O1118" s="3" t="n"/>
      <c r="P1118" s="3" t="n"/>
      <c r="Q1118" s="3" t="n"/>
      <c r="R1118" s="5">
        <f>IF(Q1118&lt;&gt;"是","排除",IF(OR(L1118="",M1118=""),"",IF(OR(L1118="未知",M1118="未知"),"未知",IF(AND(L1118="真",M1118="真"),"TP",IF(AND(L1118="真",M1118="假"),"FP",IF(AND(L1118="假",M1118="真"),"FN","TN"))))))</f>
        <v/>
      </c>
      <c r="S1118" s="3" t="n"/>
      <c r="T1118" s="3" t="n"/>
      <c r="U1118" s="3" t="n"/>
      <c r="V1118" s="3" t="n"/>
    </row>
    <row r="1119">
      <c r="A1119" s="3" t="n"/>
      <c r="B1119" s="3" t="n"/>
      <c r="C1119" s="3" t="n"/>
      <c r="D1119" s="4" t="n"/>
      <c r="E1119" s="3" t="n"/>
      <c r="F1119" s="3" t="n"/>
      <c r="G1119" s="3" t="n"/>
      <c r="H1119" s="3" t="n"/>
      <c r="I1119" s="3" t="n"/>
      <c r="J1119" s="3" t="n"/>
      <c r="K1119" s="3" t="n"/>
      <c r="L1119" s="3" t="n"/>
      <c r="M1119" s="3" t="n"/>
      <c r="N1119" s="3" t="n"/>
      <c r="O1119" s="3" t="n"/>
      <c r="P1119" s="3" t="n"/>
      <c r="Q1119" s="3" t="n"/>
      <c r="R1119" s="5">
        <f>IF(Q1119&lt;&gt;"是","排除",IF(OR(L1119="",M1119=""),"",IF(OR(L1119="未知",M1119="未知"),"未知",IF(AND(L1119="真",M1119="真"),"TP",IF(AND(L1119="真",M1119="假"),"FP",IF(AND(L1119="假",M1119="真"),"FN","TN"))))))</f>
        <v/>
      </c>
      <c r="S1119" s="3" t="n"/>
      <c r="T1119" s="3" t="n"/>
      <c r="U1119" s="3" t="n"/>
      <c r="V1119" s="3" t="n"/>
    </row>
    <row r="1120">
      <c r="A1120" s="3" t="n"/>
      <c r="B1120" s="3" t="n"/>
      <c r="C1120" s="3" t="n"/>
      <c r="D1120" s="4" t="n"/>
      <c r="E1120" s="3" t="n"/>
      <c r="F1120" s="3" t="n"/>
      <c r="G1120" s="3" t="n"/>
      <c r="H1120" s="3" t="n"/>
      <c r="I1120" s="3" t="n"/>
      <c r="J1120" s="3" t="n"/>
      <c r="K1120" s="3" t="n"/>
      <c r="L1120" s="3" t="n"/>
      <c r="M1120" s="3" t="n"/>
      <c r="N1120" s="3" t="n"/>
      <c r="O1120" s="3" t="n"/>
      <c r="P1120" s="3" t="n"/>
      <c r="Q1120" s="3" t="n"/>
      <c r="R1120" s="5">
        <f>IF(Q1120&lt;&gt;"是","排除",IF(OR(L1120="",M1120=""),"",IF(OR(L1120="未知",M1120="未知"),"未知",IF(AND(L1120="真",M1120="真"),"TP",IF(AND(L1120="真",M1120="假"),"FP",IF(AND(L1120="假",M1120="真"),"FN","TN"))))))</f>
        <v/>
      </c>
      <c r="S1120" s="3" t="n"/>
      <c r="T1120" s="3" t="n"/>
      <c r="U1120" s="3" t="n"/>
      <c r="V1120" s="3" t="n"/>
    </row>
    <row r="1121">
      <c r="A1121" s="3" t="n"/>
      <c r="B1121" s="3" t="n"/>
      <c r="C1121" s="3" t="n"/>
      <c r="D1121" s="4" t="n"/>
      <c r="E1121" s="3" t="n"/>
      <c r="F1121" s="3" t="n"/>
      <c r="G1121" s="3" t="n"/>
      <c r="H1121" s="3" t="n"/>
      <c r="I1121" s="3" t="n"/>
      <c r="J1121" s="3" t="n"/>
      <c r="K1121" s="3" t="n"/>
      <c r="L1121" s="3" t="n"/>
      <c r="M1121" s="3" t="n"/>
      <c r="N1121" s="3" t="n"/>
      <c r="O1121" s="3" t="n"/>
      <c r="P1121" s="3" t="n"/>
      <c r="Q1121" s="3" t="n"/>
      <c r="R1121" s="5">
        <f>IF(Q1121&lt;&gt;"是","排除",IF(OR(L1121="",M1121=""),"",IF(OR(L1121="未知",M1121="未知"),"未知",IF(AND(L1121="真",M1121="真"),"TP",IF(AND(L1121="真",M1121="假"),"FP",IF(AND(L1121="假",M1121="真"),"FN","TN"))))))</f>
        <v/>
      </c>
      <c r="S1121" s="3" t="n"/>
      <c r="T1121" s="3" t="n"/>
      <c r="U1121" s="3" t="n"/>
      <c r="V1121" s="3" t="n"/>
    </row>
    <row r="1122">
      <c r="A1122" s="3" t="n"/>
      <c r="B1122" s="3" t="n"/>
      <c r="C1122" s="3" t="n"/>
      <c r="D1122" s="4" t="n"/>
      <c r="E1122" s="3" t="n"/>
      <c r="F1122" s="3" t="n"/>
      <c r="G1122" s="3" t="n"/>
      <c r="H1122" s="3" t="n"/>
      <c r="I1122" s="3" t="n"/>
      <c r="J1122" s="3" t="n"/>
      <c r="K1122" s="3" t="n"/>
      <c r="L1122" s="3" t="n"/>
      <c r="M1122" s="3" t="n"/>
      <c r="N1122" s="3" t="n"/>
      <c r="O1122" s="3" t="n"/>
      <c r="P1122" s="3" t="n"/>
      <c r="Q1122" s="3" t="n"/>
      <c r="R1122" s="5">
        <f>IF(Q1122&lt;&gt;"是","排除",IF(OR(L1122="",M1122=""),"",IF(OR(L1122="未知",M1122="未知"),"未知",IF(AND(L1122="真",M1122="真"),"TP",IF(AND(L1122="真",M1122="假"),"FP",IF(AND(L1122="假",M1122="真"),"FN","TN"))))))</f>
        <v/>
      </c>
      <c r="S1122" s="3" t="n"/>
      <c r="T1122" s="3" t="n"/>
      <c r="U1122" s="3" t="n"/>
      <c r="V1122" s="3" t="n"/>
    </row>
    <row r="1123">
      <c r="A1123" s="3" t="n"/>
      <c r="B1123" s="3" t="n"/>
      <c r="C1123" s="3" t="n"/>
      <c r="D1123" s="4" t="n"/>
      <c r="E1123" s="3" t="n"/>
      <c r="F1123" s="3" t="n"/>
      <c r="G1123" s="3" t="n"/>
      <c r="H1123" s="3" t="n"/>
      <c r="I1123" s="3" t="n"/>
      <c r="J1123" s="3" t="n"/>
      <c r="K1123" s="3" t="n"/>
      <c r="L1123" s="3" t="n"/>
      <c r="M1123" s="3" t="n"/>
      <c r="N1123" s="3" t="n"/>
      <c r="O1123" s="3" t="n"/>
      <c r="P1123" s="3" t="n"/>
      <c r="Q1123" s="3" t="n"/>
      <c r="R1123" s="5">
        <f>IF(Q1123&lt;&gt;"是","排除",IF(OR(L1123="",M1123=""),"",IF(OR(L1123="未知",M1123="未知"),"未知",IF(AND(L1123="真",M1123="真"),"TP",IF(AND(L1123="真",M1123="假"),"FP",IF(AND(L1123="假",M1123="真"),"FN","TN"))))))</f>
        <v/>
      </c>
      <c r="S1123" s="3" t="n"/>
      <c r="T1123" s="3" t="n"/>
      <c r="U1123" s="3" t="n"/>
      <c r="V1123" s="3" t="n"/>
    </row>
    <row r="1124">
      <c r="A1124" s="3" t="n"/>
      <c r="B1124" s="3" t="n"/>
      <c r="C1124" s="3" t="n"/>
      <c r="D1124" s="4" t="n"/>
      <c r="E1124" s="3" t="n"/>
      <c r="F1124" s="3" t="n"/>
      <c r="G1124" s="3" t="n"/>
      <c r="H1124" s="3" t="n"/>
      <c r="I1124" s="3" t="n"/>
      <c r="J1124" s="3" t="n"/>
      <c r="K1124" s="3" t="n"/>
      <c r="L1124" s="3" t="n"/>
      <c r="M1124" s="3" t="n"/>
      <c r="N1124" s="3" t="n"/>
      <c r="O1124" s="3" t="n"/>
      <c r="P1124" s="3" t="n"/>
      <c r="Q1124" s="3" t="n"/>
      <c r="R1124" s="5">
        <f>IF(Q1124&lt;&gt;"是","排除",IF(OR(L1124="",M1124=""),"",IF(OR(L1124="未知",M1124="未知"),"未知",IF(AND(L1124="真",M1124="真"),"TP",IF(AND(L1124="真",M1124="假"),"FP",IF(AND(L1124="假",M1124="真"),"FN","TN"))))))</f>
        <v/>
      </c>
      <c r="S1124" s="3" t="n"/>
      <c r="T1124" s="3" t="n"/>
      <c r="U1124" s="3" t="n"/>
      <c r="V1124" s="3" t="n"/>
    </row>
    <row r="1125">
      <c r="A1125" s="3" t="n"/>
      <c r="B1125" s="3" t="n"/>
      <c r="C1125" s="3" t="n"/>
      <c r="D1125" s="4" t="n"/>
      <c r="E1125" s="3" t="n"/>
      <c r="F1125" s="3" t="n"/>
      <c r="G1125" s="3" t="n"/>
      <c r="H1125" s="3" t="n"/>
      <c r="I1125" s="3" t="n"/>
      <c r="J1125" s="3" t="n"/>
      <c r="K1125" s="3" t="n"/>
      <c r="L1125" s="3" t="n"/>
      <c r="M1125" s="3" t="n"/>
      <c r="N1125" s="3" t="n"/>
      <c r="O1125" s="3" t="n"/>
      <c r="P1125" s="3" t="n"/>
      <c r="Q1125" s="3" t="n"/>
      <c r="R1125" s="5">
        <f>IF(Q1125&lt;&gt;"是","排除",IF(OR(L1125="",M1125=""),"",IF(OR(L1125="未知",M1125="未知"),"未知",IF(AND(L1125="真",M1125="真"),"TP",IF(AND(L1125="真",M1125="假"),"FP",IF(AND(L1125="假",M1125="真"),"FN","TN"))))))</f>
        <v/>
      </c>
      <c r="S1125" s="3" t="n"/>
      <c r="T1125" s="3" t="n"/>
      <c r="U1125" s="3" t="n"/>
      <c r="V1125" s="3" t="n"/>
    </row>
    <row r="1126">
      <c r="A1126" s="3" t="n"/>
      <c r="B1126" s="3" t="n"/>
      <c r="C1126" s="3" t="n"/>
      <c r="D1126" s="4" t="n"/>
      <c r="E1126" s="3" t="n"/>
      <c r="F1126" s="3" t="n"/>
      <c r="G1126" s="3" t="n"/>
      <c r="H1126" s="3" t="n"/>
      <c r="I1126" s="3" t="n"/>
      <c r="J1126" s="3" t="n"/>
      <c r="K1126" s="3" t="n"/>
      <c r="L1126" s="3" t="n"/>
      <c r="M1126" s="3" t="n"/>
      <c r="N1126" s="3" t="n"/>
      <c r="O1126" s="3" t="n"/>
      <c r="P1126" s="3" t="n"/>
      <c r="Q1126" s="3" t="n"/>
      <c r="R1126" s="5">
        <f>IF(Q1126&lt;&gt;"是","排除",IF(OR(L1126="",M1126=""),"",IF(OR(L1126="未知",M1126="未知"),"未知",IF(AND(L1126="真",M1126="真"),"TP",IF(AND(L1126="真",M1126="假"),"FP",IF(AND(L1126="假",M1126="真"),"FN","TN"))))))</f>
        <v/>
      </c>
      <c r="S1126" s="3" t="n"/>
      <c r="T1126" s="3" t="n"/>
      <c r="U1126" s="3" t="n"/>
      <c r="V1126" s="3" t="n"/>
    </row>
    <row r="1127">
      <c r="A1127" s="3" t="n"/>
      <c r="B1127" s="3" t="n"/>
      <c r="C1127" s="3" t="n"/>
      <c r="D1127" s="4" t="n"/>
      <c r="E1127" s="3" t="n"/>
      <c r="F1127" s="3" t="n"/>
      <c r="G1127" s="3" t="n"/>
      <c r="H1127" s="3" t="n"/>
      <c r="I1127" s="3" t="n"/>
      <c r="J1127" s="3" t="n"/>
      <c r="K1127" s="3" t="n"/>
      <c r="L1127" s="3" t="n"/>
      <c r="M1127" s="3" t="n"/>
      <c r="N1127" s="3" t="n"/>
      <c r="O1127" s="3" t="n"/>
      <c r="P1127" s="3" t="n"/>
      <c r="Q1127" s="3" t="n"/>
      <c r="R1127" s="5">
        <f>IF(Q1127&lt;&gt;"是","排除",IF(OR(L1127="",M1127=""),"",IF(OR(L1127="未知",M1127="未知"),"未知",IF(AND(L1127="真",M1127="真"),"TP",IF(AND(L1127="真",M1127="假"),"FP",IF(AND(L1127="假",M1127="真"),"FN","TN"))))))</f>
        <v/>
      </c>
      <c r="S1127" s="3" t="n"/>
      <c r="T1127" s="3" t="n"/>
      <c r="U1127" s="3" t="n"/>
      <c r="V1127" s="3" t="n"/>
    </row>
    <row r="1128">
      <c r="A1128" s="3" t="n"/>
      <c r="B1128" s="3" t="n"/>
      <c r="C1128" s="3" t="n"/>
      <c r="D1128" s="4" t="n"/>
      <c r="E1128" s="3" t="n"/>
      <c r="F1128" s="3" t="n"/>
      <c r="G1128" s="3" t="n"/>
      <c r="H1128" s="3" t="n"/>
      <c r="I1128" s="3" t="n"/>
      <c r="J1128" s="3" t="n"/>
      <c r="K1128" s="3" t="n"/>
      <c r="L1128" s="3" t="n"/>
      <c r="M1128" s="3" t="n"/>
      <c r="N1128" s="3" t="n"/>
      <c r="O1128" s="3" t="n"/>
      <c r="P1128" s="3" t="n"/>
      <c r="Q1128" s="3" t="n"/>
      <c r="R1128" s="5">
        <f>IF(Q1128&lt;&gt;"是","排除",IF(OR(L1128="",M1128=""),"",IF(OR(L1128="未知",M1128="未知"),"未知",IF(AND(L1128="真",M1128="真"),"TP",IF(AND(L1128="真",M1128="假"),"FP",IF(AND(L1128="假",M1128="真"),"FN","TN"))))))</f>
        <v/>
      </c>
      <c r="S1128" s="3" t="n"/>
      <c r="T1128" s="3" t="n"/>
      <c r="U1128" s="3" t="n"/>
      <c r="V1128" s="3" t="n"/>
    </row>
    <row r="1129">
      <c r="A1129" s="3" t="n"/>
      <c r="B1129" s="3" t="n"/>
      <c r="C1129" s="3" t="n"/>
      <c r="D1129" s="4" t="n"/>
      <c r="E1129" s="3" t="n"/>
      <c r="F1129" s="3" t="n"/>
      <c r="G1129" s="3" t="n"/>
      <c r="H1129" s="3" t="n"/>
      <c r="I1129" s="3" t="n"/>
      <c r="J1129" s="3" t="n"/>
      <c r="K1129" s="3" t="n"/>
      <c r="L1129" s="3" t="n"/>
      <c r="M1129" s="3" t="n"/>
      <c r="N1129" s="3" t="n"/>
      <c r="O1129" s="3" t="n"/>
      <c r="P1129" s="3" t="n"/>
      <c r="Q1129" s="3" t="n"/>
      <c r="R1129" s="5">
        <f>IF(Q1129&lt;&gt;"是","排除",IF(OR(L1129="",M1129=""),"",IF(OR(L1129="未知",M1129="未知"),"未知",IF(AND(L1129="真",M1129="真"),"TP",IF(AND(L1129="真",M1129="假"),"FP",IF(AND(L1129="假",M1129="真"),"FN","TN"))))))</f>
        <v/>
      </c>
      <c r="S1129" s="3" t="n"/>
      <c r="T1129" s="3" t="n"/>
      <c r="U1129" s="3" t="n"/>
      <c r="V1129" s="3" t="n"/>
    </row>
    <row r="1130">
      <c r="A1130" s="3" t="n"/>
      <c r="B1130" s="3" t="n"/>
      <c r="C1130" s="3" t="n"/>
      <c r="D1130" s="4" t="n"/>
      <c r="E1130" s="3" t="n"/>
      <c r="F1130" s="3" t="n"/>
      <c r="G1130" s="3" t="n"/>
      <c r="H1130" s="3" t="n"/>
      <c r="I1130" s="3" t="n"/>
      <c r="J1130" s="3" t="n"/>
      <c r="K1130" s="3" t="n"/>
      <c r="L1130" s="3" t="n"/>
      <c r="M1130" s="3" t="n"/>
      <c r="N1130" s="3" t="n"/>
      <c r="O1130" s="3" t="n"/>
      <c r="P1130" s="3" t="n"/>
      <c r="Q1130" s="3" t="n"/>
      <c r="R1130" s="5">
        <f>IF(Q1130&lt;&gt;"是","排除",IF(OR(L1130="",M1130=""),"",IF(OR(L1130="未知",M1130="未知"),"未知",IF(AND(L1130="真",M1130="真"),"TP",IF(AND(L1130="真",M1130="假"),"FP",IF(AND(L1130="假",M1130="真"),"FN","TN"))))))</f>
        <v/>
      </c>
      <c r="S1130" s="3" t="n"/>
      <c r="T1130" s="3" t="n"/>
      <c r="U1130" s="3" t="n"/>
      <c r="V1130" s="3" t="n"/>
    </row>
    <row r="1131">
      <c r="A1131" s="3" t="n"/>
      <c r="B1131" s="3" t="n"/>
      <c r="C1131" s="3" t="n"/>
      <c r="D1131" s="4" t="n"/>
      <c r="E1131" s="3" t="n"/>
      <c r="F1131" s="3" t="n"/>
      <c r="G1131" s="3" t="n"/>
      <c r="H1131" s="3" t="n"/>
      <c r="I1131" s="3" t="n"/>
      <c r="J1131" s="3" t="n"/>
      <c r="K1131" s="3" t="n"/>
      <c r="L1131" s="3" t="n"/>
      <c r="M1131" s="3" t="n"/>
      <c r="N1131" s="3" t="n"/>
      <c r="O1131" s="3" t="n"/>
      <c r="P1131" s="3" t="n"/>
      <c r="Q1131" s="3" t="n"/>
      <c r="R1131" s="5">
        <f>IF(Q1131&lt;&gt;"是","排除",IF(OR(L1131="",M1131=""),"",IF(OR(L1131="未知",M1131="未知"),"未知",IF(AND(L1131="真",M1131="真"),"TP",IF(AND(L1131="真",M1131="假"),"FP",IF(AND(L1131="假",M1131="真"),"FN","TN"))))))</f>
        <v/>
      </c>
      <c r="S1131" s="3" t="n"/>
      <c r="T1131" s="3" t="n"/>
      <c r="U1131" s="3" t="n"/>
      <c r="V1131" s="3" t="n"/>
    </row>
    <row r="1132">
      <c r="A1132" s="3" t="n"/>
      <c r="B1132" s="3" t="n"/>
      <c r="C1132" s="3" t="n"/>
      <c r="D1132" s="4" t="n"/>
      <c r="E1132" s="3" t="n"/>
      <c r="F1132" s="3" t="n"/>
      <c r="G1132" s="3" t="n"/>
      <c r="H1132" s="3" t="n"/>
      <c r="I1132" s="3" t="n"/>
      <c r="J1132" s="3" t="n"/>
      <c r="K1132" s="3" t="n"/>
      <c r="L1132" s="3" t="n"/>
      <c r="M1132" s="3" t="n"/>
      <c r="N1132" s="3" t="n"/>
      <c r="O1132" s="3" t="n"/>
      <c r="P1132" s="3" t="n"/>
      <c r="Q1132" s="3" t="n"/>
      <c r="R1132" s="5">
        <f>IF(Q1132&lt;&gt;"是","排除",IF(OR(L1132="",M1132=""),"",IF(OR(L1132="未知",M1132="未知"),"未知",IF(AND(L1132="真",M1132="真"),"TP",IF(AND(L1132="真",M1132="假"),"FP",IF(AND(L1132="假",M1132="真"),"FN","TN"))))))</f>
        <v/>
      </c>
      <c r="S1132" s="3" t="n"/>
      <c r="T1132" s="3" t="n"/>
      <c r="U1132" s="3" t="n"/>
      <c r="V1132" s="3" t="n"/>
    </row>
    <row r="1133">
      <c r="A1133" s="3" t="n"/>
      <c r="B1133" s="3" t="n"/>
      <c r="C1133" s="3" t="n"/>
      <c r="D1133" s="4" t="n"/>
      <c r="E1133" s="3" t="n"/>
      <c r="F1133" s="3" t="n"/>
      <c r="G1133" s="3" t="n"/>
      <c r="H1133" s="3" t="n"/>
      <c r="I1133" s="3" t="n"/>
      <c r="J1133" s="3" t="n"/>
      <c r="K1133" s="3" t="n"/>
      <c r="L1133" s="3" t="n"/>
      <c r="M1133" s="3" t="n"/>
      <c r="N1133" s="3" t="n"/>
      <c r="O1133" s="3" t="n"/>
      <c r="P1133" s="3" t="n"/>
      <c r="Q1133" s="3" t="n"/>
      <c r="R1133" s="5">
        <f>IF(Q1133&lt;&gt;"是","排除",IF(OR(L1133="",M1133=""),"",IF(OR(L1133="未知",M1133="未知"),"未知",IF(AND(L1133="真",M1133="真"),"TP",IF(AND(L1133="真",M1133="假"),"FP",IF(AND(L1133="假",M1133="真"),"FN","TN"))))))</f>
        <v/>
      </c>
      <c r="S1133" s="3" t="n"/>
      <c r="T1133" s="3" t="n"/>
      <c r="U1133" s="3" t="n"/>
      <c r="V1133" s="3" t="n"/>
    </row>
    <row r="1134">
      <c r="A1134" s="3" t="n"/>
      <c r="B1134" s="3" t="n"/>
      <c r="C1134" s="3" t="n"/>
      <c r="D1134" s="4" t="n"/>
      <c r="E1134" s="3" t="n"/>
      <c r="F1134" s="3" t="n"/>
      <c r="G1134" s="3" t="n"/>
      <c r="H1134" s="3" t="n"/>
      <c r="I1134" s="3" t="n"/>
      <c r="J1134" s="3" t="n"/>
      <c r="K1134" s="3" t="n"/>
      <c r="L1134" s="3" t="n"/>
      <c r="M1134" s="3" t="n"/>
      <c r="N1134" s="3" t="n"/>
      <c r="O1134" s="3" t="n"/>
      <c r="P1134" s="3" t="n"/>
      <c r="Q1134" s="3" t="n"/>
      <c r="R1134" s="5">
        <f>IF(Q1134&lt;&gt;"是","排除",IF(OR(L1134="",M1134=""),"",IF(OR(L1134="未知",M1134="未知"),"未知",IF(AND(L1134="真",M1134="真"),"TP",IF(AND(L1134="真",M1134="假"),"FP",IF(AND(L1134="假",M1134="真"),"FN","TN"))))))</f>
        <v/>
      </c>
      <c r="S1134" s="3" t="n"/>
      <c r="T1134" s="3" t="n"/>
      <c r="U1134" s="3" t="n"/>
      <c r="V1134" s="3" t="n"/>
    </row>
    <row r="1135">
      <c r="A1135" s="3" t="n"/>
      <c r="B1135" s="3" t="n"/>
      <c r="C1135" s="3" t="n"/>
      <c r="D1135" s="4" t="n"/>
      <c r="E1135" s="3" t="n"/>
      <c r="F1135" s="3" t="n"/>
      <c r="G1135" s="3" t="n"/>
      <c r="H1135" s="3" t="n"/>
      <c r="I1135" s="3" t="n"/>
      <c r="J1135" s="3" t="n"/>
      <c r="K1135" s="3" t="n"/>
      <c r="L1135" s="3" t="n"/>
      <c r="M1135" s="3" t="n"/>
      <c r="N1135" s="3" t="n"/>
      <c r="O1135" s="3" t="n"/>
      <c r="P1135" s="3" t="n"/>
      <c r="Q1135" s="3" t="n"/>
      <c r="R1135" s="5">
        <f>IF(Q1135&lt;&gt;"是","排除",IF(OR(L1135="",M1135=""),"",IF(OR(L1135="未知",M1135="未知"),"未知",IF(AND(L1135="真",M1135="真"),"TP",IF(AND(L1135="真",M1135="假"),"FP",IF(AND(L1135="假",M1135="真"),"FN","TN"))))))</f>
        <v/>
      </c>
      <c r="S1135" s="3" t="n"/>
      <c r="T1135" s="3" t="n"/>
      <c r="U1135" s="3" t="n"/>
      <c r="V1135" s="3" t="n"/>
    </row>
    <row r="1136">
      <c r="A1136" s="3" t="n"/>
      <c r="B1136" s="3" t="n"/>
      <c r="C1136" s="3" t="n"/>
      <c r="D1136" s="4" t="n"/>
      <c r="E1136" s="3" t="n"/>
      <c r="F1136" s="3" t="n"/>
      <c r="G1136" s="3" t="n"/>
      <c r="H1136" s="3" t="n"/>
      <c r="I1136" s="3" t="n"/>
      <c r="J1136" s="3" t="n"/>
      <c r="K1136" s="3" t="n"/>
      <c r="L1136" s="3" t="n"/>
      <c r="M1136" s="3" t="n"/>
      <c r="N1136" s="3" t="n"/>
      <c r="O1136" s="3" t="n"/>
      <c r="P1136" s="3" t="n"/>
      <c r="Q1136" s="3" t="n"/>
      <c r="R1136" s="5">
        <f>IF(Q1136&lt;&gt;"是","排除",IF(OR(L1136="",M1136=""),"",IF(OR(L1136="未知",M1136="未知"),"未知",IF(AND(L1136="真",M1136="真"),"TP",IF(AND(L1136="真",M1136="假"),"FP",IF(AND(L1136="假",M1136="真"),"FN","TN"))))))</f>
        <v/>
      </c>
      <c r="S1136" s="3" t="n"/>
      <c r="T1136" s="3" t="n"/>
      <c r="U1136" s="3" t="n"/>
      <c r="V1136" s="3" t="n"/>
    </row>
    <row r="1137">
      <c r="A1137" s="3" t="n"/>
      <c r="B1137" s="3" t="n"/>
      <c r="C1137" s="3" t="n"/>
      <c r="D1137" s="4" t="n"/>
      <c r="E1137" s="3" t="n"/>
      <c r="F1137" s="3" t="n"/>
      <c r="G1137" s="3" t="n"/>
      <c r="H1137" s="3" t="n"/>
      <c r="I1137" s="3" t="n"/>
      <c r="J1137" s="3" t="n"/>
      <c r="K1137" s="3" t="n"/>
      <c r="L1137" s="3" t="n"/>
      <c r="M1137" s="3" t="n"/>
      <c r="N1137" s="3" t="n"/>
      <c r="O1137" s="3" t="n"/>
      <c r="P1137" s="3" t="n"/>
      <c r="Q1137" s="3" t="n"/>
      <c r="R1137" s="5">
        <f>IF(Q1137&lt;&gt;"是","排除",IF(OR(L1137="",M1137=""),"",IF(OR(L1137="未知",M1137="未知"),"未知",IF(AND(L1137="真",M1137="真"),"TP",IF(AND(L1137="真",M1137="假"),"FP",IF(AND(L1137="假",M1137="真"),"FN","TN"))))))</f>
        <v/>
      </c>
      <c r="S1137" s="3" t="n"/>
      <c r="T1137" s="3" t="n"/>
      <c r="U1137" s="3" t="n"/>
      <c r="V1137" s="3" t="n"/>
    </row>
    <row r="1138">
      <c r="A1138" s="3" t="n"/>
      <c r="B1138" s="3" t="n"/>
      <c r="C1138" s="3" t="n"/>
      <c r="D1138" s="4" t="n"/>
      <c r="E1138" s="3" t="n"/>
      <c r="F1138" s="3" t="n"/>
      <c r="G1138" s="3" t="n"/>
      <c r="H1138" s="3" t="n"/>
      <c r="I1138" s="3" t="n"/>
      <c r="J1138" s="3" t="n"/>
      <c r="K1138" s="3" t="n"/>
      <c r="L1138" s="3" t="n"/>
      <c r="M1138" s="3" t="n"/>
      <c r="N1138" s="3" t="n"/>
      <c r="O1138" s="3" t="n"/>
      <c r="P1138" s="3" t="n"/>
      <c r="Q1138" s="3" t="n"/>
      <c r="R1138" s="5">
        <f>IF(Q1138&lt;&gt;"是","排除",IF(OR(L1138="",M1138=""),"",IF(OR(L1138="未知",M1138="未知"),"未知",IF(AND(L1138="真",M1138="真"),"TP",IF(AND(L1138="真",M1138="假"),"FP",IF(AND(L1138="假",M1138="真"),"FN","TN"))))))</f>
        <v/>
      </c>
      <c r="S1138" s="3" t="n"/>
      <c r="T1138" s="3" t="n"/>
      <c r="U1138" s="3" t="n"/>
      <c r="V1138" s="3" t="n"/>
    </row>
    <row r="1139">
      <c r="A1139" s="3" t="n"/>
      <c r="B1139" s="3" t="n"/>
      <c r="C1139" s="3" t="n"/>
      <c r="D1139" s="4" t="n"/>
      <c r="E1139" s="3" t="n"/>
      <c r="F1139" s="3" t="n"/>
      <c r="G1139" s="3" t="n"/>
      <c r="H1139" s="3" t="n"/>
      <c r="I1139" s="3" t="n"/>
      <c r="J1139" s="3" t="n"/>
      <c r="K1139" s="3" t="n"/>
      <c r="L1139" s="3" t="n"/>
      <c r="M1139" s="3" t="n"/>
      <c r="N1139" s="3" t="n"/>
      <c r="O1139" s="3" t="n"/>
      <c r="P1139" s="3" t="n"/>
      <c r="Q1139" s="3" t="n"/>
      <c r="R1139" s="5">
        <f>IF(Q1139&lt;&gt;"是","排除",IF(OR(L1139="",M1139=""),"",IF(OR(L1139="未知",M1139="未知"),"未知",IF(AND(L1139="真",M1139="真"),"TP",IF(AND(L1139="真",M1139="假"),"FP",IF(AND(L1139="假",M1139="真"),"FN","TN"))))))</f>
        <v/>
      </c>
      <c r="S1139" s="3" t="n"/>
      <c r="T1139" s="3" t="n"/>
      <c r="U1139" s="3" t="n"/>
      <c r="V1139" s="3" t="n"/>
    </row>
    <row r="1140">
      <c r="A1140" s="3" t="n"/>
      <c r="B1140" s="3" t="n"/>
      <c r="C1140" s="3" t="n"/>
      <c r="D1140" s="4" t="n"/>
      <c r="E1140" s="3" t="n"/>
      <c r="F1140" s="3" t="n"/>
      <c r="G1140" s="3" t="n"/>
      <c r="H1140" s="3" t="n"/>
      <c r="I1140" s="3" t="n"/>
      <c r="J1140" s="3" t="n"/>
      <c r="K1140" s="3" t="n"/>
      <c r="L1140" s="3" t="n"/>
      <c r="M1140" s="3" t="n"/>
      <c r="N1140" s="3" t="n"/>
      <c r="O1140" s="3" t="n"/>
      <c r="P1140" s="3" t="n"/>
      <c r="Q1140" s="3" t="n"/>
      <c r="R1140" s="5">
        <f>IF(Q1140&lt;&gt;"是","排除",IF(OR(L1140="",M1140=""),"",IF(OR(L1140="未知",M1140="未知"),"未知",IF(AND(L1140="真",M1140="真"),"TP",IF(AND(L1140="真",M1140="假"),"FP",IF(AND(L1140="假",M1140="真"),"FN","TN"))))))</f>
        <v/>
      </c>
      <c r="S1140" s="3" t="n"/>
      <c r="T1140" s="3" t="n"/>
      <c r="U1140" s="3" t="n"/>
      <c r="V1140" s="3" t="n"/>
    </row>
    <row r="1141">
      <c r="A1141" s="3" t="n"/>
      <c r="B1141" s="3" t="n"/>
      <c r="C1141" s="3" t="n"/>
      <c r="D1141" s="4" t="n"/>
      <c r="E1141" s="3" t="n"/>
      <c r="F1141" s="3" t="n"/>
      <c r="G1141" s="3" t="n"/>
      <c r="H1141" s="3" t="n"/>
      <c r="I1141" s="3" t="n"/>
      <c r="J1141" s="3" t="n"/>
      <c r="K1141" s="3" t="n"/>
      <c r="L1141" s="3" t="n"/>
      <c r="M1141" s="3" t="n"/>
      <c r="N1141" s="3" t="n"/>
      <c r="O1141" s="3" t="n"/>
      <c r="P1141" s="3" t="n"/>
      <c r="Q1141" s="3" t="n"/>
      <c r="R1141" s="5">
        <f>IF(Q1141&lt;&gt;"是","排除",IF(OR(L1141="",M1141=""),"",IF(OR(L1141="未知",M1141="未知"),"未知",IF(AND(L1141="真",M1141="真"),"TP",IF(AND(L1141="真",M1141="假"),"FP",IF(AND(L1141="假",M1141="真"),"FN","TN"))))))</f>
        <v/>
      </c>
      <c r="S1141" s="3" t="n"/>
      <c r="T1141" s="3" t="n"/>
      <c r="U1141" s="3" t="n"/>
      <c r="V1141" s="3" t="n"/>
    </row>
    <row r="1142">
      <c r="A1142" s="3" t="n"/>
      <c r="B1142" s="3" t="n"/>
      <c r="C1142" s="3" t="n"/>
      <c r="D1142" s="4" t="n"/>
      <c r="E1142" s="3" t="n"/>
      <c r="F1142" s="3" t="n"/>
      <c r="G1142" s="3" t="n"/>
      <c r="H1142" s="3" t="n"/>
      <c r="I1142" s="3" t="n"/>
      <c r="J1142" s="3" t="n"/>
      <c r="K1142" s="3" t="n"/>
      <c r="L1142" s="3" t="n"/>
      <c r="M1142" s="3" t="n"/>
      <c r="N1142" s="3" t="n"/>
      <c r="O1142" s="3" t="n"/>
      <c r="P1142" s="3" t="n"/>
      <c r="Q1142" s="3" t="n"/>
      <c r="R1142" s="5">
        <f>IF(Q1142&lt;&gt;"是","排除",IF(OR(L1142="",M1142=""),"",IF(OR(L1142="未知",M1142="未知"),"未知",IF(AND(L1142="真",M1142="真"),"TP",IF(AND(L1142="真",M1142="假"),"FP",IF(AND(L1142="假",M1142="真"),"FN","TN"))))))</f>
        <v/>
      </c>
      <c r="S1142" s="3" t="n"/>
      <c r="T1142" s="3" t="n"/>
      <c r="U1142" s="3" t="n"/>
      <c r="V1142" s="3" t="n"/>
    </row>
    <row r="1143">
      <c r="A1143" s="3" t="n"/>
      <c r="B1143" s="3" t="n"/>
      <c r="C1143" s="3" t="n"/>
      <c r="D1143" s="4" t="n"/>
      <c r="E1143" s="3" t="n"/>
      <c r="F1143" s="3" t="n"/>
      <c r="G1143" s="3" t="n"/>
      <c r="H1143" s="3" t="n"/>
      <c r="I1143" s="3" t="n"/>
      <c r="J1143" s="3" t="n"/>
      <c r="K1143" s="3" t="n"/>
      <c r="L1143" s="3" t="n"/>
      <c r="M1143" s="3" t="n"/>
      <c r="N1143" s="3" t="n"/>
      <c r="O1143" s="3" t="n"/>
      <c r="P1143" s="3" t="n"/>
      <c r="Q1143" s="3" t="n"/>
      <c r="R1143" s="5">
        <f>IF(Q1143&lt;&gt;"是","排除",IF(OR(L1143="",M1143=""),"",IF(OR(L1143="未知",M1143="未知"),"未知",IF(AND(L1143="真",M1143="真"),"TP",IF(AND(L1143="真",M1143="假"),"FP",IF(AND(L1143="假",M1143="真"),"FN","TN"))))))</f>
        <v/>
      </c>
      <c r="S1143" s="3" t="n"/>
      <c r="T1143" s="3" t="n"/>
      <c r="U1143" s="3" t="n"/>
      <c r="V1143" s="3" t="n"/>
    </row>
    <row r="1144">
      <c r="A1144" s="3" t="n"/>
      <c r="B1144" s="3" t="n"/>
      <c r="C1144" s="3" t="n"/>
      <c r="D1144" s="4" t="n"/>
      <c r="E1144" s="3" t="n"/>
      <c r="F1144" s="3" t="n"/>
      <c r="G1144" s="3" t="n"/>
      <c r="H1144" s="3" t="n"/>
      <c r="I1144" s="3" t="n"/>
      <c r="J1144" s="3" t="n"/>
      <c r="K1144" s="3" t="n"/>
      <c r="L1144" s="3" t="n"/>
      <c r="M1144" s="3" t="n"/>
      <c r="N1144" s="3" t="n"/>
      <c r="O1144" s="3" t="n"/>
      <c r="P1144" s="3" t="n"/>
      <c r="Q1144" s="3" t="n"/>
      <c r="R1144" s="5">
        <f>IF(Q1144&lt;&gt;"是","排除",IF(OR(L1144="",M1144=""),"",IF(OR(L1144="未知",M1144="未知"),"未知",IF(AND(L1144="真",M1144="真"),"TP",IF(AND(L1144="真",M1144="假"),"FP",IF(AND(L1144="假",M1144="真"),"FN","TN"))))))</f>
        <v/>
      </c>
      <c r="S1144" s="3" t="n"/>
      <c r="T1144" s="3" t="n"/>
      <c r="U1144" s="3" t="n"/>
      <c r="V1144" s="3" t="n"/>
    </row>
    <row r="1145">
      <c r="A1145" s="3" t="n"/>
      <c r="B1145" s="3" t="n"/>
      <c r="C1145" s="3" t="n"/>
      <c r="D1145" s="4" t="n"/>
      <c r="E1145" s="3" t="n"/>
      <c r="F1145" s="3" t="n"/>
      <c r="G1145" s="3" t="n"/>
      <c r="H1145" s="3" t="n"/>
      <c r="I1145" s="3" t="n"/>
      <c r="J1145" s="3" t="n"/>
      <c r="K1145" s="3" t="n"/>
      <c r="L1145" s="3" t="n"/>
      <c r="M1145" s="3" t="n"/>
      <c r="N1145" s="3" t="n"/>
      <c r="O1145" s="3" t="n"/>
      <c r="P1145" s="3" t="n"/>
      <c r="Q1145" s="3" t="n"/>
      <c r="R1145" s="5">
        <f>IF(Q1145&lt;&gt;"是","排除",IF(OR(L1145="",M1145=""),"",IF(OR(L1145="未知",M1145="未知"),"未知",IF(AND(L1145="真",M1145="真"),"TP",IF(AND(L1145="真",M1145="假"),"FP",IF(AND(L1145="假",M1145="真"),"FN","TN"))))))</f>
        <v/>
      </c>
      <c r="S1145" s="3" t="n"/>
      <c r="T1145" s="3" t="n"/>
      <c r="U1145" s="3" t="n"/>
      <c r="V1145" s="3" t="n"/>
    </row>
    <row r="1146">
      <c r="A1146" s="3" t="n"/>
      <c r="B1146" s="3" t="n"/>
      <c r="C1146" s="3" t="n"/>
      <c r="D1146" s="4" t="n"/>
      <c r="E1146" s="3" t="n"/>
      <c r="F1146" s="3" t="n"/>
      <c r="G1146" s="3" t="n"/>
      <c r="H1146" s="3" t="n"/>
      <c r="I1146" s="3" t="n"/>
      <c r="J1146" s="3" t="n"/>
      <c r="K1146" s="3" t="n"/>
      <c r="L1146" s="3" t="n"/>
      <c r="M1146" s="3" t="n"/>
      <c r="N1146" s="3" t="n"/>
      <c r="O1146" s="3" t="n"/>
      <c r="P1146" s="3" t="n"/>
      <c r="Q1146" s="3" t="n"/>
      <c r="R1146" s="5">
        <f>IF(Q1146&lt;&gt;"是","排除",IF(OR(L1146="",M1146=""),"",IF(OR(L1146="未知",M1146="未知"),"未知",IF(AND(L1146="真",M1146="真"),"TP",IF(AND(L1146="真",M1146="假"),"FP",IF(AND(L1146="假",M1146="真"),"FN","TN"))))))</f>
        <v/>
      </c>
      <c r="S1146" s="3" t="n"/>
      <c r="T1146" s="3" t="n"/>
      <c r="U1146" s="3" t="n"/>
      <c r="V1146" s="3" t="n"/>
    </row>
    <row r="1147">
      <c r="A1147" s="3" t="n"/>
      <c r="B1147" s="3" t="n"/>
      <c r="C1147" s="3" t="n"/>
      <c r="D1147" s="4" t="n"/>
      <c r="E1147" s="3" t="n"/>
      <c r="F1147" s="3" t="n"/>
      <c r="G1147" s="3" t="n"/>
      <c r="H1147" s="3" t="n"/>
      <c r="I1147" s="3" t="n"/>
      <c r="J1147" s="3" t="n"/>
      <c r="K1147" s="3" t="n"/>
      <c r="L1147" s="3" t="n"/>
      <c r="M1147" s="3" t="n"/>
      <c r="N1147" s="3" t="n"/>
      <c r="O1147" s="3" t="n"/>
      <c r="P1147" s="3" t="n"/>
      <c r="Q1147" s="3" t="n"/>
      <c r="R1147" s="5">
        <f>IF(Q1147&lt;&gt;"是","排除",IF(OR(L1147="",M1147=""),"",IF(OR(L1147="未知",M1147="未知"),"未知",IF(AND(L1147="真",M1147="真"),"TP",IF(AND(L1147="真",M1147="假"),"FP",IF(AND(L1147="假",M1147="真"),"FN","TN"))))))</f>
        <v/>
      </c>
      <c r="S1147" s="3" t="n"/>
      <c r="T1147" s="3" t="n"/>
      <c r="U1147" s="3" t="n"/>
      <c r="V1147" s="3" t="n"/>
    </row>
    <row r="1148">
      <c r="A1148" s="3" t="n"/>
      <c r="B1148" s="3" t="n"/>
      <c r="C1148" s="3" t="n"/>
      <c r="D1148" s="4" t="n"/>
      <c r="E1148" s="3" t="n"/>
      <c r="F1148" s="3" t="n"/>
      <c r="G1148" s="3" t="n"/>
      <c r="H1148" s="3" t="n"/>
      <c r="I1148" s="3" t="n"/>
      <c r="J1148" s="3" t="n"/>
      <c r="K1148" s="3" t="n"/>
      <c r="L1148" s="3" t="n"/>
      <c r="M1148" s="3" t="n"/>
      <c r="N1148" s="3" t="n"/>
      <c r="O1148" s="3" t="n"/>
      <c r="P1148" s="3" t="n"/>
      <c r="Q1148" s="3" t="n"/>
      <c r="R1148" s="5">
        <f>IF(Q1148&lt;&gt;"是","排除",IF(OR(L1148="",M1148=""),"",IF(OR(L1148="未知",M1148="未知"),"未知",IF(AND(L1148="真",M1148="真"),"TP",IF(AND(L1148="真",M1148="假"),"FP",IF(AND(L1148="假",M1148="真"),"FN","TN"))))))</f>
        <v/>
      </c>
      <c r="S1148" s="3" t="n"/>
      <c r="T1148" s="3" t="n"/>
      <c r="U1148" s="3" t="n"/>
      <c r="V1148" s="3" t="n"/>
    </row>
    <row r="1149">
      <c r="A1149" s="3" t="n"/>
      <c r="B1149" s="3" t="n"/>
      <c r="C1149" s="3" t="n"/>
      <c r="D1149" s="4" t="n"/>
      <c r="E1149" s="3" t="n"/>
      <c r="F1149" s="3" t="n"/>
      <c r="G1149" s="3" t="n"/>
      <c r="H1149" s="3" t="n"/>
      <c r="I1149" s="3" t="n"/>
      <c r="J1149" s="3" t="n"/>
      <c r="K1149" s="3" t="n"/>
      <c r="L1149" s="3" t="n"/>
      <c r="M1149" s="3" t="n"/>
      <c r="N1149" s="3" t="n"/>
      <c r="O1149" s="3" t="n"/>
      <c r="P1149" s="3" t="n"/>
      <c r="Q1149" s="3" t="n"/>
      <c r="R1149" s="5">
        <f>IF(Q1149&lt;&gt;"是","排除",IF(OR(L1149="",M1149=""),"",IF(OR(L1149="未知",M1149="未知"),"未知",IF(AND(L1149="真",M1149="真"),"TP",IF(AND(L1149="真",M1149="假"),"FP",IF(AND(L1149="假",M1149="真"),"FN","TN"))))))</f>
        <v/>
      </c>
      <c r="S1149" s="3" t="n"/>
      <c r="T1149" s="3" t="n"/>
      <c r="U1149" s="3" t="n"/>
      <c r="V1149" s="3" t="n"/>
    </row>
    <row r="1150">
      <c r="A1150" s="3" t="n"/>
      <c r="B1150" s="3" t="n"/>
      <c r="C1150" s="3" t="n"/>
      <c r="D1150" s="4" t="n"/>
      <c r="E1150" s="3" t="n"/>
      <c r="F1150" s="3" t="n"/>
      <c r="G1150" s="3" t="n"/>
      <c r="H1150" s="3" t="n"/>
      <c r="I1150" s="3" t="n"/>
      <c r="J1150" s="3" t="n"/>
      <c r="K1150" s="3" t="n"/>
      <c r="L1150" s="3" t="n"/>
      <c r="M1150" s="3" t="n"/>
      <c r="N1150" s="3" t="n"/>
      <c r="O1150" s="3" t="n"/>
      <c r="P1150" s="3" t="n"/>
      <c r="Q1150" s="3" t="n"/>
      <c r="R1150" s="5">
        <f>IF(Q1150&lt;&gt;"是","排除",IF(OR(L1150="",M1150=""),"",IF(OR(L1150="未知",M1150="未知"),"未知",IF(AND(L1150="真",M1150="真"),"TP",IF(AND(L1150="真",M1150="假"),"FP",IF(AND(L1150="假",M1150="真"),"FN","TN"))))))</f>
        <v/>
      </c>
      <c r="S1150" s="3" t="n"/>
      <c r="T1150" s="3" t="n"/>
      <c r="U1150" s="3" t="n"/>
      <c r="V1150" s="3" t="n"/>
    </row>
    <row r="1151">
      <c r="A1151" s="3" t="n"/>
      <c r="B1151" s="3" t="n"/>
      <c r="C1151" s="3" t="n"/>
      <c r="D1151" s="4" t="n"/>
      <c r="E1151" s="3" t="n"/>
      <c r="F1151" s="3" t="n"/>
      <c r="G1151" s="3" t="n"/>
      <c r="H1151" s="3" t="n"/>
      <c r="I1151" s="3" t="n"/>
      <c r="J1151" s="3" t="n"/>
      <c r="K1151" s="3" t="n"/>
      <c r="L1151" s="3" t="n"/>
      <c r="M1151" s="3" t="n"/>
      <c r="N1151" s="3" t="n"/>
      <c r="O1151" s="3" t="n"/>
      <c r="P1151" s="3" t="n"/>
      <c r="Q1151" s="3" t="n"/>
      <c r="R1151" s="5">
        <f>IF(Q1151&lt;&gt;"是","排除",IF(OR(L1151="",M1151=""),"",IF(OR(L1151="未知",M1151="未知"),"未知",IF(AND(L1151="真",M1151="真"),"TP",IF(AND(L1151="真",M1151="假"),"FP",IF(AND(L1151="假",M1151="真"),"FN","TN"))))))</f>
        <v/>
      </c>
      <c r="S1151" s="3" t="n"/>
      <c r="T1151" s="3" t="n"/>
      <c r="U1151" s="3" t="n"/>
      <c r="V1151" s="3" t="n"/>
    </row>
    <row r="1152">
      <c r="A1152" s="3" t="n"/>
      <c r="B1152" s="3" t="n"/>
      <c r="C1152" s="3" t="n"/>
      <c r="D1152" s="4" t="n"/>
      <c r="E1152" s="3" t="n"/>
      <c r="F1152" s="3" t="n"/>
      <c r="G1152" s="3" t="n"/>
      <c r="H1152" s="3" t="n"/>
      <c r="I1152" s="3" t="n"/>
      <c r="J1152" s="3" t="n"/>
      <c r="K1152" s="3" t="n"/>
      <c r="L1152" s="3" t="n"/>
      <c r="M1152" s="3" t="n"/>
      <c r="N1152" s="3" t="n"/>
      <c r="O1152" s="3" t="n"/>
      <c r="P1152" s="3" t="n"/>
      <c r="Q1152" s="3" t="n"/>
      <c r="R1152" s="5">
        <f>IF(Q1152&lt;&gt;"是","排除",IF(OR(L1152="",M1152=""),"",IF(OR(L1152="未知",M1152="未知"),"未知",IF(AND(L1152="真",M1152="真"),"TP",IF(AND(L1152="真",M1152="假"),"FP",IF(AND(L1152="假",M1152="真"),"FN","TN"))))))</f>
        <v/>
      </c>
      <c r="S1152" s="3" t="n"/>
      <c r="T1152" s="3" t="n"/>
      <c r="U1152" s="3" t="n"/>
      <c r="V1152" s="3" t="n"/>
    </row>
    <row r="1153">
      <c r="A1153" s="3" t="n"/>
      <c r="B1153" s="3" t="n"/>
      <c r="C1153" s="3" t="n"/>
      <c r="D1153" s="4" t="n"/>
      <c r="E1153" s="3" t="n"/>
      <c r="F1153" s="3" t="n"/>
      <c r="G1153" s="3" t="n"/>
      <c r="H1153" s="3" t="n"/>
      <c r="I1153" s="3" t="n"/>
      <c r="J1153" s="3" t="n"/>
      <c r="K1153" s="3" t="n"/>
      <c r="L1153" s="3" t="n"/>
      <c r="M1153" s="3" t="n"/>
      <c r="N1153" s="3" t="n"/>
      <c r="O1153" s="3" t="n"/>
      <c r="P1153" s="3" t="n"/>
      <c r="Q1153" s="3" t="n"/>
      <c r="R1153" s="5">
        <f>IF(Q1153&lt;&gt;"是","排除",IF(OR(L1153="",M1153=""),"",IF(OR(L1153="未知",M1153="未知"),"未知",IF(AND(L1153="真",M1153="真"),"TP",IF(AND(L1153="真",M1153="假"),"FP",IF(AND(L1153="假",M1153="真"),"FN","TN"))))))</f>
        <v/>
      </c>
      <c r="S1153" s="3" t="n"/>
      <c r="T1153" s="3" t="n"/>
      <c r="U1153" s="3" t="n"/>
      <c r="V1153" s="3" t="n"/>
    </row>
    <row r="1154">
      <c r="A1154" s="3" t="n"/>
      <c r="B1154" s="3" t="n"/>
      <c r="C1154" s="3" t="n"/>
      <c r="D1154" s="4" t="n"/>
      <c r="E1154" s="3" t="n"/>
      <c r="F1154" s="3" t="n"/>
      <c r="G1154" s="3" t="n"/>
      <c r="H1154" s="3" t="n"/>
      <c r="I1154" s="3" t="n"/>
      <c r="J1154" s="3" t="n"/>
      <c r="K1154" s="3" t="n"/>
      <c r="L1154" s="3" t="n"/>
      <c r="M1154" s="3" t="n"/>
      <c r="N1154" s="3" t="n"/>
      <c r="O1154" s="3" t="n"/>
      <c r="P1154" s="3" t="n"/>
      <c r="Q1154" s="3" t="n"/>
      <c r="R1154" s="5">
        <f>IF(Q1154&lt;&gt;"是","排除",IF(OR(L1154="",M1154=""),"",IF(OR(L1154="未知",M1154="未知"),"未知",IF(AND(L1154="真",M1154="真"),"TP",IF(AND(L1154="真",M1154="假"),"FP",IF(AND(L1154="假",M1154="真"),"FN","TN"))))))</f>
        <v/>
      </c>
      <c r="S1154" s="3" t="n"/>
      <c r="T1154" s="3" t="n"/>
      <c r="U1154" s="3" t="n"/>
      <c r="V1154" s="3" t="n"/>
    </row>
    <row r="1155">
      <c r="A1155" s="3" t="n"/>
      <c r="B1155" s="3" t="n"/>
      <c r="C1155" s="3" t="n"/>
      <c r="D1155" s="4" t="n"/>
      <c r="E1155" s="3" t="n"/>
      <c r="F1155" s="3" t="n"/>
      <c r="G1155" s="3" t="n"/>
      <c r="H1155" s="3" t="n"/>
      <c r="I1155" s="3" t="n"/>
      <c r="J1155" s="3" t="n"/>
      <c r="K1155" s="3" t="n"/>
      <c r="L1155" s="3" t="n"/>
      <c r="M1155" s="3" t="n"/>
      <c r="N1155" s="3" t="n"/>
      <c r="O1155" s="3" t="n"/>
      <c r="P1155" s="3" t="n"/>
      <c r="Q1155" s="3" t="n"/>
      <c r="R1155" s="5">
        <f>IF(Q1155&lt;&gt;"是","排除",IF(OR(L1155="",M1155=""),"",IF(OR(L1155="未知",M1155="未知"),"未知",IF(AND(L1155="真",M1155="真"),"TP",IF(AND(L1155="真",M1155="假"),"FP",IF(AND(L1155="假",M1155="真"),"FN","TN"))))))</f>
        <v/>
      </c>
      <c r="S1155" s="3" t="n"/>
      <c r="T1155" s="3" t="n"/>
      <c r="U1155" s="3" t="n"/>
      <c r="V1155" s="3" t="n"/>
    </row>
    <row r="1156">
      <c r="A1156" s="3" t="n"/>
      <c r="B1156" s="3" t="n"/>
      <c r="C1156" s="3" t="n"/>
      <c r="D1156" s="4" t="n"/>
      <c r="E1156" s="3" t="n"/>
      <c r="F1156" s="3" t="n"/>
      <c r="G1156" s="3" t="n"/>
      <c r="H1156" s="3" t="n"/>
      <c r="I1156" s="3" t="n"/>
      <c r="J1156" s="3" t="n"/>
      <c r="K1156" s="3" t="n"/>
      <c r="L1156" s="3" t="n"/>
      <c r="M1156" s="3" t="n"/>
      <c r="N1156" s="3" t="n"/>
      <c r="O1156" s="3" t="n"/>
      <c r="P1156" s="3" t="n"/>
      <c r="Q1156" s="3" t="n"/>
      <c r="R1156" s="5">
        <f>IF(Q1156&lt;&gt;"是","排除",IF(OR(L1156="",M1156=""),"",IF(OR(L1156="未知",M1156="未知"),"未知",IF(AND(L1156="真",M1156="真"),"TP",IF(AND(L1156="真",M1156="假"),"FP",IF(AND(L1156="假",M1156="真"),"FN","TN"))))))</f>
        <v/>
      </c>
      <c r="S1156" s="3" t="n"/>
      <c r="T1156" s="3" t="n"/>
      <c r="U1156" s="3" t="n"/>
      <c r="V1156" s="3" t="n"/>
    </row>
    <row r="1157">
      <c r="A1157" s="3" t="n"/>
      <c r="B1157" s="3" t="n"/>
      <c r="C1157" s="3" t="n"/>
      <c r="D1157" s="4" t="n"/>
      <c r="E1157" s="3" t="n"/>
      <c r="F1157" s="3" t="n"/>
      <c r="G1157" s="3" t="n"/>
      <c r="H1157" s="3" t="n"/>
      <c r="I1157" s="3" t="n"/>
      <c r="J1157" s="3" t="n"/>
      <c r="K1157" s="3" t="n"/>
      <c r="L1157" s="3" t="n"/>
      <c r="M1157" s="3" t="n"/>
      <c r="N1157" s="3" t="n"/>
      <c r="O1157" s="3" t="n"/>
      <c r="P1157" s="3" t="n"/>
      <c r="Q1157" s="3" t="n"/>
      <c r="R1157" s="5">
        <f>IF(Q1157&lt;&gt;"是","排除",IF(OR(L1157="",M1157=""),"",IF(OR(L1157="未知",M1157="未知"),"未知",IF(AND(L1157="真",M1157="真"),"TP",IF(AND(L1157="真",M1157="假"),"FP",IF(AND(L1157="假",M1157="真"),"FN","TN"))))))</f>
        <v/>
      </c>
      <c r="S1157" s="3" t="n"/>
      <c r="T1157" s="3" t="n"/>
      <c r="U1157" s="3" t="n"/>
      <c r="V1157" s="3" t="n"/>
    </row>
    <row r="1158">
      <c r="A1158" s="3" t="n"/>
      <c r="B1158" s="3" t="n"/>
      <c r="C1158" s="3" t="n"/>
      <c r="D1158" s="4" t="n"/>
      <c r="E1158" s="3" t="n"/>
      <c r="F1158" s="3" t="n"/>
      <c r="G1158" s="3" t="n"/>
      <c r="H1158" s="3" t="n"/>
      <c r="I1158" s="3" t="n"/>
      <c r="J1158" s="3" t="n"/>
      <c r="K1158" s="3" t="n"/>
      <c r="L1158" s="3" t="n"/>
      <c r="M1158" s="3" t="n"/>
      <c r="N1158" s="3" t="n"/>
      <c r="O1158" s="3" t="n"/>
      <c r="P1158" s="3" t="n"/>
      <c r="Q1158" s="3" t="n"/>
      <c r="R1158" s="5">
        <f>IF(Q1158&lt;&gt;"是","排除",IF(OR(L1158="",M1158=""),"",IF(OR(L1158="未知",M1158="未知"),"未知",IF(AND(L1158="真",M1158="真"),"TP",IF(AND(L1158="真",M1158="假"),"FP",IF(AND(L1158="假",M1158="真"),"FN","TN"))))))</f>
        <v/>
      </c>
      <c r="S1158" s="3" t="n"/>
      <c r="T1158" s="3" t="n"/>
      <c r="U1158" s="3" t="n"/>
      <c r="V1158" s="3" t="n"/>
    </row>
    <row r="1159">
      <c r="A1159" s="3" t="n"/>
      <c r="B1159" s="3" t="n"/>
      <c r="C1159" s="3" t="n"/>
      <c r="D1159" s="4" t="n"/>
      <c r="E1159" s="3" t="n"/>
      <c r="F1159" s="3" t="n"/>
      <c r="G1159" s="3" t="n"/>
      <c r="H1159" s="3" t="n"/>
      <c r="I1159" s="3" t="n"/>
      <c r="J1159" s="3" t="n"/>
      <c r="K1159" s="3" t="n"/>
      <c r="L1159" s="3" t="n"/>
      <c r="M1159" s="3" t="n"/>
      <c r="N1159" s="3" t="n"/>
      <c r="O1159" s="3" t="n"/>
      <c r="P1159" s="3" t="n"/>
      <c r="Q1159" s="3" t="n"/>
      <c r="R1159" s="5">
        <f>IF(Q1159&lt;&gt;"是","排除",IF(OR(L1159="",M1159=""),"",IF(OR(L1159="未知",M1159="未知"),"未知",IF(AND(L1159="真",M1159="真"),"TP",IF(AND(L1159="真",M1159="假"),"FP",IF(AND(L1159="假",M1159="真"),"FN","TN"))))))</f>
        <v/>
      </c>
      <c r="S1159" s="3" t="n"/>
      <c r="T1159" s="3" t="n"/>
      <c r="U1159" s="3" t="n"/>
      <c r="V1159" s="3" t="n"/>
    </row>
    <row r="1160">
      <c r="A1160" s="3" t="n"/>
      <c r="B1160" s="3" t="n"/>
      <c r="C1160" s="3" t="n"/>
      <c r="D1160" s="4" t="n"/>
      <c r="E1160" s="3" t="n"/>
      <c r="F1160" s="3" t="n"/>
      <c r="G1160" s="3" t="n"/>
      <c r="H1160" s="3" t="n"/>
      <c r="I1160" s="3" t="n"/>
      <c r="J1160" s="3" t="n"/>
      <c r="K1160" s="3" t="n"/>
      <c r="L1160" s="3" t="n"/>
      <c r="M1160" s="3" t="n"/>
      <c r="N1160" s="3" t="n"/>
      <c r="O1160" s="3" t="n"/>
      <c r="P1160" s="3" t="n"/>
      <c r="Q1160" s="3" t="n"/>
      <c r="R1160" s="5">
        <f>IF(Q1160&lt;&gt;"是","排除",IF(OR(L1160="",M1160=""),"",IF(OR(L1160="未知",M1160="未知"),"未知",IF(AND(L1160="真",M1160="真"),"TP",IF(AND(L1160="真",M1160="假"),"FP",IF(AND(L1160="假",M1160="真"),"FN","TN"))))))</f>
        <v/>
      </c>
      <c r="S1160" s="3" t="n"/>
      <c r="T1160" s="3" t="n"/>
      <c r="U1160" s="3" t="n"/>
      <c r="V1160" s="3" t="n"/>
    </row>
    <row r="1161">
      <c r="A1161" s="3" t="n"/>
      <c r="B1161" s="3" t="n"/>
      <c r="C1161" s="3" t="n"/>
      <c r="D1161" s="4" t="n"/>
      <c r="E1161" s="3" t="n"/>
      <c r="F1161" s="3" t="n"/>
      <c r="G1161" s="3" t="n"/>
      <c r="H1161" s="3" t="n"/>
      <c r="I1161" s="3" t="n"/>
      <c r="J1161" s="3" t="n"/>
      <c r="K1161" s="3" t="n"/>
      <c r="L1161" s="3" t="n"/>
      <c r="M1161" s="3" t="n"/>
      <c r="N1161" s="3" t="n"/>
      <c r="O1161" s="3" t="n"/>
      <c r="P1161" s="3" t="n"/>
      <c r="Q1161" s="3" t="n"/>
      <c r="R1161" s="5">
        <f>IF(Q1161&lt;&gt;"是","排除",IF(OR(L1161="",M1161=""),"",IF(OR(L1161="未知",M1161="未知"),"未知",IF(AND(L1161="真",M1161="真"),"TP",IF(AND(L1161="真",M1161="假"),"FP",IF(AND(L1161="假",M1161="真"),"FN","TN"))))))</f>
        <v/>
      </c>
      <c r="S1161" s="3" t="n"/>
      <c r="T1161" s="3" t="n"/>
      <c r="U1161" s="3" t="n"/>
      <c r="V1161" s="3" t="n"/>
    </row>
    <row r="1162">
      <c r="A1162" s="3" t="n"/>
      <c r="B1162" s="3" t="n"/>
      <c r="C1162" s="3" t="n"/>
      <c r="D1162" s="4" t="n"/>
      <c r="E1162" s="3" t="n"/>
      <c r="F1162" s="3" t="n"/>
      <c r="G1162" s="3" t="n"/>
      <c r="H1162" s="3" t="n"/>
      <c r="I1162" s="3" t="n"/>
      <c r="J1162" s="3" t="n"/>
      <c r="K1162" s="3" t="n"/>
      <c r="L1162" s="3" t="n"/>
      <c r="M1162" s="3" t="n"/>
      <c r="N1162" s="3" t="n"/>
      <c r="O1162" s="3" t="n"/>
      <c r="P1162" s="3" t="n"/>
      <c r="Q1162" s="3" t="n"/>
      <c r="R1162" s="5">
        <f>IF(Q1162&lt;&gt;"是","排除",IF(OR(L1162="",M1162=""),"",IF(OR(L1162="未知",M1162="未知"),"未知",IF(AND(L1162="真",M1162="真"),"TP",IF(AND(L1162="真",M1162="假"),"FP",IF(AND(L1162="假",M1162="真"),"FN","TN"))))))</f>
        <v/>
      </c>
      <c r="S1162" s="3" t="n"/>
      <c r="T1162" s="3" t="n"/>
      <c r="U1162" s="3" t="n"/>
      <c r="V1162" s="3" t="n"/>
    </row>
    <row r="1163">
      <c r="A1163" s="3" t="n"/>
      <c r="B1163" s="3" t="n"/>
      <c r="C1163" s="3" t="n"/>
      <c r="D1163" s="4" t="n"/>
      <c r="E1163" s="3" t="n"/>
      <c r="F1163" s="3" t="n"/>
      <c r="G1163" s="3" t="n"/>
      <c r="H1163" s="3" t="n"/>
      <c r="I1163" s="3" t="n"/>
      <c r="J1163" s="3" t="n"/>
      <c r="K1163" s="3" t="n"/>
      <c r="L1163" s="3" t="n"/>
      <c r="M1163" s="3" t="n"/>
      <c r="N1163" s="3" t="n"/>
      <c r="O1163" s="3" t="n"/>
      <c r="P1163" s="3" t="n"/>
      <c r="Q1163" s="3" t="n"/>
      <c r="R1163" s="5">
        <f>IF(Q1163&lt;&gt;"是","排除",IF(OR(L1163="",M1163=""),"",IF(OR(L1163="未知",M1163="未知"),"未知",IF(AND(L1163="真",M1163="真"),"TP",IF(AND(L1163="真",M1163="假"),"FP",IF(AND(L1163="假",M1163="真"),"FN","TN"))))))</f>
        <v/>
      </c>
      <c r="S1163" s="3" t="n"/>
      <c r="T1163" s="3" t="n"/>
      <c r="U1163" s="3" t="n"/>
      <c r="V1163" s="3" t="n"/>
    </row>
    <row r="1164">
      <c r="A1164" s="3" t="n"/>
      <c r="B1164" s="3" t="n"/>
      <c r="C1164" s="3" t="n"/>
      <c r="D1164" s="4" t="n"/>
      <c r="E1164" s="3" t="n"/>
      <c r="F1164" s="3" t="n"/>
      <c r="G1164" s="3" t="n"/>
      <c r="H1164" s="3" t="n"/>
      <c r="I1164" s="3" t="n"/>
      <c r="J1164" s="3" t="n"/>
      <c r="K1164" s="3" t="n"/>
      <c r="L1164" s="3" t="n"/>
      <c r="M1164" s="3" t="n"/>
      <c r="N1164" s="3" t="n"/>
      <c r="O1164" s="3" t="n"/>
      <c r="P1164" s="3" t="n"/>
      <c r="Q1164" s="3" t="n"/>
      <c r="R1164" s="5">
        <f>IF(Q1164&lt;&gt;"是","排除",IF(OR(L1164="",M1164=""),"",IF(OR(L1164="未知",M1164="未知"),"未知",IF(AND(L1164="真",M1164="真"),"TP",IF(AND(L1164="真",M1164="假"),"FP",IF(AND(L1164="假",M1164="真"),"FN","TN"))))))</f>
        <v/>
      </c>
      <c r="S1164" s="3" t="n"/>
      <c r="T1164" s="3" t="n"/>
      <c r="U1164" s="3" t="n"/>
      <c r="V1164" s="3" t="n"/>
    </row>
    <row r="1165">
      <c r="A1165" s="3" t="n"/>
      <c r="B1165" s="3" t="n"/>
      <c r="C1165" s="3" t="n"/>
      <c r="D1165" s="4" t="n"/>
      <c r="E1165" s="3" t="n"/>
      <c r="F1165" s="3" t="n"/>
      <c r="G1165" s="3" t="n"/>
      <c r="H1165" s="3" t="n"/>
      <c r="I1165" s="3" t="n"/>
      <c r="J1165" s="3" t="n"/>
      <c r="K1165" s="3" t="n"/>
      <c r="L1165" s="3" t="n"/>
      <c r="M1165" s="3" t="n"/>
      <c r="N1165" s="3" t="n"/>
      <c r="O1165" s="3" t="n"/>
      <c r="P1165" s="3" t="n"/>
      <c r="Q1165" s="3" t="n"/>
      <c r="R1165" s="5">
        <f>IF(Q1165&lt;&gt;"是","排除",IF(OR(L1165="",M1165=""),"",IF(OR(L1165="未知",M1165="未知"),"未知",IF(AND(L1165="真",M1165="真"),"TP",IF(AND(L1165="真",M1165="假"),"FP",IF(AND(L1165="假",M1165="真"),"FN","TN"))))))</f>
        <v/>
      </c>
      <c r="S1165" s="3" t="n"/>
      <c r="T1165" s="3" t="n"/>
      <c r="U1165" s="3" t="n"/>
      <c r="V1165" s="3" t="n"/>
    </row>
    <row r="1166">
      <c r="A1166" s="3" t="n"/>
      <c r="B1166" s="3" t="n"/>
      <c r="C1166" s="3" t="n"/>
      <c r="D1166" s="4" t="n"/>
      <c r="E1166" s="3" t="n"/>
      <c r="F1166" s="3" t="n"/>
      <c r="G1166" s="3" t="n"/>
      <c r="H1166" s="3" t="n"/>
      <c r="I1166" s="3" t="n"/>
      <c r="J1166" s="3" t="n"/>
      <c r="K1166" s="3" t="n"/>
      <c r="L1166" s="3" t="n"/>
      <c r="M1166" s="3" t="n"/>
      <c r="N1166" s="3" t="n"/>
      <c r="O1166" s="3" t="n"/>
      <c r="P1166" s="3" t="n"/>
      <c r="Q1166" s="3" t="n"/>
      <c r="R1166" s="5">
        <f>IF(Q1166&lt;&gt;"是","排除",IF(OR(L1166="",M1166=""),"",IF(OR(L1166="未知",M1166="未知"),"未知",IF(AND(L1166="真",M1166="真"),"TP",IF(AND(L1166="真",M1166="假"),"FP",IF(AND(L1166="假",M1166="真"),"FN","TN"))))))</f>
        <v/>
      </c>
      <c r="S1166" s="3" t="n"/>
      <c r="T1166" s="3" t="n"/>
      <c r="U1166" s="3" t="n"/>
      <c r="V1166" s="3" t="n"/>
    </row>
    <row r="1167">
      <c r="A1167" s="3" t="n"/>
      <c r="B1167" s="3" t="n"/>
      <c r="C1167" s="3" t="n"/>
      <c r="D1167" s="4" t="n"/>
      <c r="E1167" s="3" t="n"/>
      <c r="F1167" s="3" t="n"/>
      <c r="G1167" s="3" t="n"/>
      <c r="H1167" s="3" t="n"/>
      <c r="I1167" s="3" t="n"/>
      <c r="J1167" s="3" t="n"/>
      <c r="K1167" s="3" t="n"/>
      <c r="L1167" s="3" t="n"/>
      <c r="M1167" s="3" t="n"/>
      <c r="N1167" s="3" t="n"/>
      <c r="O1167" s="3" t="n"/>
      <c r="P1167" s="3" t="n"/>
      <c r="Q1167" s="3" t="n"/>
      <c r="R1167" s="5">
        <f>IF(Q1167&lt;&gt;"是","排除",IF(OR(L1167="",M1167=""),"",IF(OR(L1167="未知",M1167="未知"),"未知",IF(AND(L1167="真",M1167="真"),"TP",IF(AND(L1167="真",M1167="假"),"FP",IF(AND(L1167="假",M1167="真"),"FN","TN"))))))</f>
        <v/>
      </c>
      <c r="S1167" s="3" t="n"/>
      <c r="T1167" s="3" t="n"/>
      <c r="U1167" s="3" t="n"/>
      <c r="V1167" s="3" t="n"/>
    </row>
    <row r="1168">
      <c r="A1168" s="3" t="n"/>
      <c r="B1168" s="3" t="n"/>
      <c r="C1168" s="3" t="n"/>
      <c r="D1168" s="4" t="n"/>
      <c r="E1168" s="3" t="n"/>
      <c r="F1168" s="3" t="n"/>
      <c r="G1168" s="3" t="n"/>
      <c r="H1168" s="3" t="n"/>
      <c r="I1168" s="3" t="n"/>
      <c r="J1168" s="3" t="n"/>
      <c r="K1168" s="3" t="n"/>
      <c r="L1168" s="3" t="n"/>
      <c r="M1168" s="3" t="n"/>
      <c r="N1168" s="3" t="n"/>
      <c r="O1168" s="3" t="n"/>
      <c r="P1168" s="3" t="n"/>
      <c r="Q1168" s="3" t="n"/>
      <c r="R1168" s="5">
        <f>IF(Q1168&lt;&gt;"是","排除",IF(OR(L1168="",M1168=""),"",IF(OR(L1168="未知",M1168="未知"),"未知",IF(AND(L1168="真",M1168="真"),"TP",IF(AND(L1168="真",M1168="假"),"FP",IF(AND(L1168="假",M1168="真"),"FN","TN"))))))</f>
        <v/>
      </c>
      <c r="S1168" s="3" t="n"/>
      <c r="T1168" s="3" t="n"/>
      <c r="U1168" s="3" t="n"/>
      <c r="V1168" s="3" t="n"/>
    </row>
    <row r="1169">
      <c r="A1169" s="3" t="n"/>
      <c r="B1169" s="3" t="n"/>
      <c r="C1169" s="3" t="n"/>
      <c r="D1169" s="4" t="n"/>
      <c r="E1169" s="3" t="n"/>
      <c r="F1169" s="3" t="n"/>
      <c r="G1169" s="3" t="n"/>
      <c r="H1169" s="3" t="n"/>
      <c r="I1169" s="3" t="n"/>
      <c r="J1169" s="3" t="n"/>
      <c r="K1169" s="3" t="n"/>
      <c r="L1169" s="3" t="n"/>
      <c r="M1169" s="3" t="n"/>
      <c r="N1169" s="3" t="n"/>
      <c r="O1169" s="3" t="n"/>
      <c r="P1169" s="3" t="n"/>
      <c r="Q1169" s="3" t="n"/>
      <c r="R1169" s="5">
        <f>IF(Q1169&lt;&gt;"是","排除",IF(OR(L1169="",M1169=""),"",IF(OR(L1169="未知",M1169="未知"),"未知",IF(AND(L1169="真",M1169="真"),"TP",IF(AND(L1169="真",M1169="假"),"FP",IF(AND(L1169="假",M1169="真"),"FN","TN"))))))</f>
        <v/>
      </c>
      <c r="S1169" s="3" t="n"/>
      <c r="T1169" s="3" t="n"/>
      <c r="U1169" s="3" t="n"/>
      <c r="V1169" s="3" t="n"/>
    </row>
    <row r="1170">
      <c r="A1170" s="3" t="n"/>
      <c r="B1170" s="3" t="n"/>
      <c r="C1170" s="3" t="n"/>
      <c r="D1170" s="4" t="n"/>
      <c r="E1170" s="3" t="n"/>
      <c r="F1170" s="3" t="n"/>
      <c r="G1170" s="3" t="n"/>
      <c r="H1170" s="3" t="n"/>
      <c r="I1170" s="3" t="n"/>
      <c r="J1170" s="3" t="n"/>
      <c r="K1170" s="3" t="n"/>
      <c r="L1170" s="3" t="n"/>
      <c r="M1170" s="3" t="n"/>
      <c r="N1170" s="3" t="n"/>
      <c r="O1170" s="3" t="n"/>
      <c r="P1170" s="3" t="n"/>
      <c r="Q1170" s="3" t="n"/>
      <c r="R1170" s="5">
        <f>IF(Q1170&lt;&gt;"是","排除",IF(OR(L1170="",M1170=""),"",IF(OR(L1170="未知",M1170="未知"),"未知",IF(AND(L1170="真",M1170="真"),"TP",IF(AND(L1170="真",M1170="假"),"FP",IF(AND(L1170="假",M1170="真"),"FN","TN"))))))</f>
        <v/>
      </c>
      <c r="S1170" s="3" t="n"/>
      <c r="T1170" s="3" t="n"/>
      <c r="U1170" s="3" t="n"/>
      <c r="V1170" s="3" t="n"/>
    </row>
    <row r="1171">
      <c r="A1171" s="3" t="n"/>
      <c r="B1171" s="3" t="n"/>
      <c r="C1171" s="3" t="n"/>
      <c r="D1171" s="4" t="n"/>
      <c r="E1171" s="3" t="n"/>
      <c r="F1171" s="3" t="n"/>
      <c r="G1171" s="3" t="n"/>
      <c r="H1171" s="3" t="n"/>
      <c r="I1171" s="3" t="n"/>
      <c r="J1171" s="3" t="n"/>
      <c r="K1171" s="3" t="n"/>
      <c r="L1171" s="3" t="n"/>
      <c r="M1171" s="3" t="n"/>
      <c r="N1171" s="3" t="n"/>
      <c r="O1171" s="3" t="n"/>
      <c r="P1171" s="3" t="n"/>
      <c r="Q1171" s="3" t="n"/>
      <c r="R1171" s="5">
        <f>IF(Q1171&lt;&gt;"是","排除",IF(OR(L1171="",M1171=""),"",IF(OR(L1171="未知",M1171="未知"),"未知",IF(AND(L1171="真",M1171="真"),"TP",IF(AND(L1171="真",M1171="假"),"FP",IF(AND(L1171="假",M1171="真"),"FN","TN"))))))</f>
        <v/>
      </c>
      <c r="S1171" s="3" t="n"/>
      <c r="T1171" s="3" t="n"/>
      <c r="U1171" s="3" t="n"/>
      <c r="V1171" s="3" t="n"/>
    </row>
    <row r="1172">
      <c r="A1172" s="3" t="n"/>
      <c r="B1172" s="3" t="n"/>
      <c r="C1172" s="3" t="n"/>
      <c r="D1172" s="4" t="n"/>
      <c r="E1172" s="3" t="n"/>
      <c r="F1172" s="3" t="n"/>
      <c r="G1172" s="3" t="n"/>
      <c r="H1172" s="3" t="n"/>
      <c r="I1172" s="3" t="n"/>
      <c r="J1172" s="3" t="n"/>
      <c r="K1172" s="3" t="n"/>
      <c r="L1172" s="3" t="n"/>
      <c r="M1172" s="3" t="n"/>
      <c r="N1172" s="3" t="n"/>
      <c r="O1172" s="3" t="n"/>
      <c r="P1172" s="3" t="n"/>
      <c r="Q1172" s="3" t="n"/>
      <c r="R1172" s="5">
        <f>IF(Q1172&lt;&gt;"是","排除",IF(OR(L1172="",M1172=""),"",IF(OR(L1172="未知",M1172="未知"),"未知",IF(AND(L1172="真",M1172="真"),"TP",IF(AND(L1172="真",M1172="假"),"FP",IF(AND(L1172="假",M1172="真"),"FN","TN"))))))</f>
        <v/>
      </c>
      <c r="S1172" s="3" t="n"/>
      <c r="T1172" s="3" t="n"/>
      <c r="U1172" s="3" t="n"/>
      <c r="V1172" s="3" t="n"/>
    </row>
    <row r="1173">
      <c r="A1173" s="3" t="n"/>
      <c r="B1173" s="3" t="n"/>
      <c r="C1173" s="3" t="n"/>
      <c r="D1173" s="4" t="n"/>
      <c r="E1173" s="3" t="n"/>
      <c r="F1173" s="3" t="n"/>
      <c r="G1173" s="3" t="n"/>
      <c r="H1173" s="3" t="n"/>
      <c r="I1173" s="3" t="n"/>
      <c r="J1173" s="3" t="n"/>
      <c r="K1173" s="3" t="n"/>
      <c r="L1173" s="3" t="n"/>
      <c r="M1173" s="3" t="n"/>
      <c r="N1173" s="3" t="n"/>
      <c r="O1173" s="3" t="n"/>
      <c r="P1173" s="3" t="n"/>
      <c r="Q1173" s="3" t="n"/>
      <c r="R1173" s="5">
        <f>IF(Q1173&lt;&gt;"是","排除",IF(OR(L1173="",M1173=""),"",IF(OR(L1173="未知",M1173="未知"),"未知",IF(AND(L1173="真",M1173="真"),"TP",IF(AND(L1173="真",M1173="假"),"FP",IF(AND(L1173="假",M1173="真"),"FN","TN"))))))</f>
        <v/>
      </c>
      <c r="S1173" s="3" t="n"/>
      <c r="T1173" s="3" t="n"/>
      <c r="U1173" s="3" t="n"/>
      <c r="V1173" s="3" t="n"/>
    </row>
    <row r="1174">
      <c r="A1174" s="3" t="n"/>
      <c r="B1174" s="3" t="n"/>
      <c r="C1174" s="3" t="n"/>
      <c r="D1174" s="4" t="n"/>
      <c r="E1174" s="3" t="n"/>
      <c r="F1174" s="3" t="n"/>
      <c r="G1174" s="3" t="n"/>
      <c r="H1174" s="3" t="n"/>
      <c r="I1174" s="3" t="n"/>
      <c r="J1174" s="3" t="n"/>
      <c r="K1174" s="3" t="n"/>
      <c r="L1174" s="3" t="n"/>
      <c r="M1174" s="3" t="n"/>
      <c r="N1174" s="3" t="n"/>
      <c r="O1174" s="3" t="n"/>
      <c r="P1174" s="3" t="n"/>
      <c r="Q1174" s="3" t="n"/>
      <c r="R1174" s="5">
        <f>IF(Q1174&lt;&gt;"是","排除",IF(OR(L1174="",M1174=""),"",IF(OR(L1174="未知",M1174="未知"),"未知",IF(AND(L1174="真",M1174="真"),"TP",IF(AND(L1174="真",M1174="假"),"FP",IF(AND(L1174="假",M1174="真"),"FN","TN"))))))</f>
        <v/>
      </c>
      <c r="S1174" s="3" t="n"/>
      <c r="T1174" s="3" t="n"/>
      <c r="U1174" s="3" t="n"/>
      <c r="V1174" s="3" t="n"/>
    </row>
    <row r="1175">
      <c r="A1175" s="3" t="n"/>
      <c r="B1175" s="3" t="n"/>
      <c r="C1175" s="3" t="n"/>
      <c r="D1175" s="4" t="n"/>
      <c r="E1175" s="3" t="n"/>
      <c r="F1175" s="3" t="n"/>
      <c r="G1175" s="3" t="n"/>
      <c r="H1175" s="3" t="n"/>
      <c r="I1175" s="3" t="n"/>
      <c r="J1175" s="3" t="n"/>
      <c r="K1175" s="3" t="n"/>
      <c r="L1175" s="3" t="n"/>
      <c r="M1175" s="3" t="n"/>
      <c r="N1175" s="3" t="n"/>
      <c r="O1175" s="3" t="n"/>
      <c r="P1175" s="3" t="n"/>
      <c r="Q1175" s="3" t="n"/>
      <c r="R1175" s="5">
        <f>IF(Q1175&lt;&gt;"是","排除",IF(OR(L1175="",M1175=""),"",IF(OR(L1175="未知",M1175="未知"),"未知",IF(AND(L1175="真",M1175="真"),"TP",IF(AND(L1175="真",M1175="假"),"FP",IF(AND(L1175="假",M1175="真"),"FN","TN"))))))</f>
        <v/>
      </c>
      <c r="S1175" s="3" t="n"/>
      <c r="T1175" s="3" t="n"/>
      <c r="U1175" s="3" t="n"/>
      <c r="V1175" s="3" t="n"/>
    </row>
    <row r="1176">
      <c r="A1176" s="3" t="n"/>
      <c r="B1176" s="3" t="n"/>
      <c r="C1176" s="3" t="n"/>
      <c r="D1176" s="4" t="n"/>
      <c r="E1176" s="3" t="n"/>
      <c r="F1176" s="3" t="n"/>
      <c r="G1176" s="3" t="n"/>
      <c r="H1176" s="3" t="n"/>
      <c r="I1176" s="3" t="n"/>
      <c r="J1176" s="3" t="n"/>
      <c r="K1176" s="3" t="n"/>
      <c r="L1176" s="3" t="n"/>
      <c r="M1176" s="3" t="n"/>
      <c r="N1176" s="3" t="n"/>
      <c r="O1176" s="3" t="n"/>
      <c r="P1176" s="3" t="n"/>
      <c r="Q1176" s="3" t="n"/>
      <c r="R1176" s="5">
        <f>IF(Q1176&lt;&gt;"是","排除",IF(OR(L1176="",M1176=""),"",IF(OR(L1176="未知",M1176="未知"),"未知",IF(AND(L1176="真",M1176="真"),"TP",IF(AND(L1176="真",M1176="假"),"FP",IF(AND(L1176="假",M1176="真"),"FN","TN"))))))</f>
        <v/>
      </c>
      <c r="S1176" s="3" t="n"/>
      <c r="T1176" s="3" t="n"/>
      <c r="U1176" s="3" t="n"/>
      <c r="V1176" s="3" t="n"/>
    </row>
    <row r="1177">
      <c r="A1177" s="3" t="n"/>
      <c r="B1177" s="3" t="n"/>
      <c r="C1177" s="3" t="n"/>
      <c r="D1177" s="4" t="n"/>
      <c r="E1177" s="3" t="n"/>
      <c r="F1177" s="3" t="n"/>
      <c r="G1177" s="3" t="n"/>
      <c r="H1177" s="3" t="n"/>
      <c r="I1177" s="3" t="n"/>
      <c r="J1177" s="3" t="n"/>
      <c r="K1177" s="3" t="n"/>
      <c r="L1177" s="3" t="n"/>
      <c r="M1177" s="3" t="n"/>
      <c r="N1177" s="3" t="n"/>
      <c r="O1177" s="3" t="n"/>
      <c r="P1177" s="3" t="n"/>
      <c r="Q1177" s="3" t="n"/>
      <c r="R1177" s="5">
        <f>IF(Q1177&lt;&gt;"是","排除",IF(OR(L1177="",M1177=""),"",IF(OR(L1177="未知",M1177="未知"),"未知",IF(AND(L1177="真",M1177="真"),"TP",IF(AND(L1177="真",M1177="假"),"FP",IF(AND(L1177="假",M1177="真"),"FN","TN"))))))</f>
        <v/>
      </c>
      <c r="S1177" s="3" t="n"/>
      <c r="T1177" s="3" t="n"/>
      <c r="U1177" s="3" t="n"/>
      <c r="V1177" s="3" t="n"/>
    </row>
    <row r="1178">
      <c r="A1178" s="3" t="n"/>
      <c r="B1178" s="3" t="n"/>
      <c r="C1178" s="3" t="n"/>
      <c r="D1178" s="4" t="n"/>
      <c r="E1178" s="3" t="n"/>
      <c r="F1178" s="3" t="n"/>
      <c r="G1178" s="3" t="n"/>
      <c r="H1178" s="3" t="n"/>
      <c r="I1178" s="3" t="n"/>
      <c r="J1178" s="3" t="n"/>
      <c r="K1178" s="3" t="n"/>
      <c r="L1178" s="3" t="n"/>
      <c r="M1178" s="3" t="n"/>
      <c r="N1178" s="3" t="n"/>
      <c r="O1178" s="3" t="n"/>
      <c r="P1178" s="3" t="n"/>
      <c r="Q1178" s="3" t="n"/>
      <c r="R1178" s="5">
        <f>IF(Q1178&lt;&gt;"是","排除",IF(OR(L1178="",M1178=""),"",IF(OR(L1178="未知",M1178="未知"),"未知",IF(AND(L1178="真",M1178="真"),"TP",IF(AND(L1178="真",M1178="假"),"FP",IF(AND(L1178="假",M1178="真"),"FN","TN"))))))</f>
        <v/>
      </c>
      <c r="S1178" s="3" t="n"/>
      <c r="T1178" s="3" t="n"/>
      <c r="U1178" s="3" t="n"/>
      <c r="V1178" s="3" t="n"/>
    </row>
    <row r="1179">
      <c r="A1179" s="3" t="n"/>
      <c r="B1179" s="3" t="n"/>
      <c r="C1179" s="3" t="n"/>
      <c r="D1179" s="4" t="n"/>
      <c r="E1179" s="3" t="n"/>
      <c r="F1179" s="3" t="n"/>
      <c r="G1179" s="3" t="n"/>
      <c r="H1179" s="3" t="n"/>
      <c r="I1179" s="3" t="n"/>
      <c r="J1179" s="3" t="n"/>
      <c r="K1179" s="3" t="n"/>
      <c r="L1179" s="3" t="n"/>
      <c r="M1179" s="3" t="n"/>
      <c r="N1179" s="3" t="n"/>
      <c r="O1179" s="3" t="n"/>
      <c r="P1179" s="3" t="n"/>
      <c r="Q1179" s="3" t="n"/>
      <c r="R1179" s="5">
        <f>IF(Q1179&lt;&gt;"是","排除",IF(OR(L1179="",M1179=""),"",IF(OR(L1179="未知",M1179="未知"),"未知",IF(AND(L1179="真",M1179="真"),"TP",IF(AND(L1179="真",M1179="假"),"FP",IF(AND(L1179="假",M1179="真"),"FN","TN"))))))</f>
        <v/>
      </c>
      <c r="S1179" s="3" t="n"/>
      <c r="T1179" s="3" t="n"/>
      <c r="U1179" s="3" t="n"/>
      <c r="V1179" s="3" t="n"/>
    </row>
    <row r="1180">
      <c r="A1180" s="3" t="n"/>
      <c r="B1180" s="3" t="n"/>
      <c r="C1180" s="3" t="n"/>
      <c r="D1180" s="4" t="n"/>
      <c r="E1180" s="3" t="n"/>
      <c r="F1180" s="3" t="n"/>
      <c r="G1180" s="3" t="n"/>
      <c r="H1180" s="3" t="n"/>
      <c r="I1180" s="3" t="n"/>
      <c r="J1180" s="3" t="n"/>
      <c r="K1180" s="3" t="n"/>
      <c r="L1180" s="3" t="n"/>
      <c r="M1180" s="3" t="n"/>
      <c r="N1180" s="3" t="n"/>
      <c r="O1180" s="3" t="n"/>
      <c r="P1180" s="3" t="n"/>
      <c r="Q1180" s="3" t="n"/>
      <c r="R1180" s="5">
        <f>IF(Q1180&lt;&gt;"是","排除",IF(OR(L1180="",M1180=""),"",IF(OR(L1180="未知",M1180="未知"),"未知",IF(AND(L1180="真",M1180="真"),"TP",IF(AND(L1180="真",M1180="假"),"FP",IF(AND(L1180="假",M1180="真"),"FN","TN"))))))</f>
        <v/>
      </c>
      <c r="S1180" s="3" t="n"/>
      <c r="T1180" s="3" t="n"/>
      <c r="U1180" s="3" t="n"/>
      <c r="V1180" s="3" t="n"/>
    </row>
    <row r="1181">
      <c r="A1181" s="3" t="n"/>
      <c r="B1181" s="3" t="n"/>
      <c r="C1181" s="3" t="n"/>
      <c r="D1181" s="4" t="n"/>
      <c r="E1181" s="3" t="n"/>
      <c r="F1181" s="3" t="n"/>
      <c r="G1181" s="3" t="n"/>
      <c r="H1181" s="3" t="n"/>
      <c r="I1181" s="3" t="n"/>
      <c r="J1181" s="3" t="n"/>
      <c r="K1181" s="3" t="n"/>
      <c r="L1181" s="3" t="n"/>
      <c r="M1181" s="3" t="n"/>
      <c r="N1181" s="3" t="n"/>
      <c r="O1181" s="3" t="n"/>
      <c r="P1181" s="3" t="n"/>
      <c r="Q1181" s="3" t="n"/>
      <c r="R1181" s="5">
        <f>IF(Q1181&lt;&gt;"是","排除",IF(OR(L1181="",M1181=""),"",IF(OR(L1181="未知",M1181="未知"),"未知",IF(AND(L1181="真",M1181="真"),"TP",IF(AND(L1181="真",M1181="假"),"FP",IF(AND(L1181="假",M1181="真"),"FN","TN"))))))</f>
        <v/>
      </c>
      <c r="S1181" s="3" t="n"/>
      <c r="T1181" s="3" t="n"/>
      <c r="U1181" s="3" t="n"/>
      <c r="V1181" s="3" t="n"/>
    </row>
    <row r="1182">
      <c r="A1182" s="3" t="n"/>
      <c r="B1182" s="3" t="n"/>
      <c r="C1182" s="3" t="n"/>
      <c r="D1182" s="4" t="n"/>
      <c r="E1182" s="3" t="n"/>
      <c r="F1182" s="3" t="n"/>
      <c r="G1182" s="3" t="n"/>
      <c r="H1182" s="3" t="n"/>
      <c r="I1182" s="3" t="n"/>
      <c r="J1182" s="3" t="n"/>
      <c r="K1182" s="3" t="n"/>
      <c r="L1182" s="3" t="n"/>
      <c r="M1182" s="3" t="n"/>
      <c r="N1182" s="3" t="n"/>
      <c r="O1182" s="3" t="n"/>
      <c r="P1182" s="3" t="n"/>
      <c r="Q1182" s="3" t="n"/>
      <c r="R1182" s="5">
        <f>IF(Q1182&lt;&gt;"是","排除",IF(OR(L1182="",M1182=""),"",IF(OR(L1182="未知",M1182="未知"),"未知",IF(AND(L1182="真",M1182="真"),"TP",IF(AND(L1182="真",M1182="假"),"FP",IF(AND(L1182="假",M1182="真"),"FN","TN"))))))</f>
        <v/>
      </c>
      <c r="S1182" s="3" t="n"/>
      <c r="T1182" s="3" t="n"/>
      <c r="U1182" s="3" t="n"/>
      <c r="V1182" s="3" t="n"/>
    </row>
    <row r="1183">
      <c r="A1183" s="3" t="n"/>
      <c r="B1183" s="3" t="n"/>
      <c r="C1183" s="3" t="n"/>
      <c r="D1183" s="4" t="n"/>
      <c r="E1183" s="3" t="n"/>
      <c r="F1183" s="3" t="n"/>
      <c r="G1183" s="3" t="n"/>
      <c r="H1183" s="3" t="n"/>
      <c r="I1183" s="3" t="n"/>
      <c r="J1183" s="3" t="n"/>
      <c r="K1183" s="3" t="n"/>
      <c r="L1183" s="3" t="n"/>
      <c r="M1183" s="3" t="n"/>
      <c r="N1183" s="3" t="n"/>
      <c r="O1183" s="3" t="n"/>
      <c r="P1183" s="3" t="n"/>
      <c r="Q1183" s="3" t="n"/>
      <c r="R1183" s="5">
        <f>IF(Q1183&lt;&gt;"是","排除",IF(OR(L1183="",M1183=""),"",IF(OR(L1183="未知",M1183="未知"),"未知",IF(AND(L1183="真",M1183="真"),"TP",IF(AND(L1183="真",M1183="假"),"FP",IF(AND(L1183="假",M1183="真"),"FN","TN"))))))</f>
        <v/>
      </c>
      <c r="S1183" s="3" t="n"/>
      <c r="T1183" s="3" t="n"/>
      <c r="U1183" s="3" t="n"/>
      <c r="V1183" s="3" t="n"/>
    </row>
    <row r="1184">
      <c r="A1184" s="3" t="n"/>
      <c r="B1184" s="3" t="n"/>
      <c r="C1184" s="3" t="n"/>
      <c r="D1184" s="4" t="n"/>
      <c r="E1184" s="3" t="n"/>
      <c r="F1184" s="3" t="n"/>
      <c r="G1184" s="3" t="n"/>
      <c r="H1184" s="3" t="n"/>
      <c r="I1184" s="3" t="n"/>
      <c r="J1184" s="3" t="n"/>
      <c r="K1184" s="3" t="n"/>
      <c r="L1184" s="3" t="n"/>
      <c r="M1184" s="3" t="n"/>
      <c r="N1184" s="3" t="n"/>
      <c r="O1184" s="3" t="n"/>
      <c r="P1184" s="3" t="n"/>
      <c r="Q1184" s="3" t="n"/>
      <c r="R1184" s="5">
        <f>IF(Q1184&lt;&gt;"是","排除",IF(OR(L1184="",M1184=""),"",IF(OR(L1184="未知",M1184="未知"),"未知",IF(AND(L1184="真",M1184="真"),"TP",IF(AND(L1184="真",M1184="假"),"FP",IF(AND(L1184="假",M1184="真"),"FN","TN"))))))</f>
        <v/>
      </c>
      <c r="S1184" s="3" t="n"/>
      <c r="T1184" s="3" t="n"/>
      <c r="U1184" s="3" t="n"/>
      <c r="V1184" s="3" t="n"/>
    </row>
    <row r="1185">
      <c r="A1185" s="3" t="n"/>
      <c r="B1185" s="3" t="n"/>
      <c r="C1185" s="3" t="n"/>
      <c r="D1185" s="4" t="n"/>
      <c r="E1185" s="3" t="n"/>
      <c r="F1185" s="3" t="n"/>
      <c r="G1185" s="3" t="n"/>
      <c r="H1185" s="3" t="n"/>
      <c r="I1185" s="3" t="n"/>
      <c r="J1185" s="3" t="n"/>
      <c r="K1185" s="3" t="n"/>
      <c r="L1185" s="3" t="n"/>
      <c r="M1185" s="3" t="n"/>
      <c r="N1185" s="3" t="n"/>
      <c r="O1185" s="3" t="n"/>
      <c r="P1185" s="3" t="n"/>
      <c r="Q1185" s="3" t="n"/>
      <c r="R1185" s="5">
        <f>IF(Q1185&lt;&gt;"是","排除",IF(OR(L1185="",M1185=""),"",IF(OR(L1185="未知",M1185="未知"),"未知",IF(AND(L1185="真",M1185="真"),"TP",IF(AND(L1185="真",M1185="假"),"FP",IF(AND(L1185="假",M1185="真"),"FN","TN"))))))</f>
        <v/>
      </c>
      <c r="S1185" s="3" t="n"/>
      <c r="T1185" s="3" t="n"/>
      <c r="U1185" s="3" t="n"/>
      <c r="V1185" s="3" t="n"/>
    </row>
    <row r="1186">
      <c r="A1186" s="3" t="n"/>
      <c r="B1186" s="3" t="n"/>
      <c r="C1186" s="3" t="n"/>
      <c r="D1186" s="4" t="n"/>
      <c r="E1186" s="3" t="n"/>
      <c r="F1186" s="3" t="n"/>
      <c r="G1186" s="3" t="n"/>
      <c r="H1186" s="3" t="n"/>
      <c r="I1186" s="3" t="n"/>
      <c r="J1186" s="3" t="n"/>
      <c r="K1186" s="3" t="n"/>
      <c r="L1186" s="3" t="n"/>
      <c r="M1186" s="3" t="n"/>
      <c r="N1186" s="3" t="n"/>
      <c r="O1186" s="3" t="n"/>
      <c r="P1186" s="3" t="n"/>
      <c r="Q1186" s="3" t="n"/>
      <c r="R1186" s="5">
        <f>IF(Q1186&lt;&gt;"是","排除",IF(OR(L1186="",M1186=""),"",IF(OR(L1186="未知",M1186="未知"),"未知",IF(AND(L1186="真",M1186="真"),"TP",IF(AND(L1186="真",M1186="假"),"FP",IF(AND(L1186="假",M1186="真"),"FN","TN"))))))</f>
        <v/>
      </c>
      <c r="S1186" s="3" t="n"/>
      <c r="T1186" s="3" t="n"/>
      <c r="U1186" s="3" t="n"/>
      <c r="V1186" s="3" t="n"/>
    </row>
    <row r="1187">
      <c r="A1187" s="3" t="n"/>
      <c r="B1187" s="3" t="n"/>
      <c r="C1187" s="3" t="n"/>
      <c r="D1187" s="4" t="n"/>
      <c r="E1187" s="3" t="n"/>
      <c r="F1187" s="3" t="n"/>
      <c r="G1187" s="3" t="n"/>
      <c r="H1187" s="3" t="n"/>
      <c r="I1187" s="3" t="n"/>
      <c r="J1187" s="3" t="n"/>
      <c r="K1187" s="3" t="n"/>
      <c r="L1187" s="3" t="n"/>
      <c r="M1187" s="3" t="n"/>
      <c r="N1187" s="3" t="n"/>
      <c r="O1187" s="3" t="n"/>
      <c r="P1187" s="3" t="n"/>
      <c r="Q1187" s="3" t="n"/>
      <c r="R1187" s="5">
        <f>IF(Q1187&lt;&gt;"是","排除",IF(OR(L1187="",M1187=""),"",IF(OR(L1187="未知",M1187="未知"),"未知",IF(AND(L1187="真",M1187="真"),"TP",IF(AND(L1187="真",M1187="假"),"FP",IF(AND(L1187="假",M1187="真"),"FN","TN"))))))</f>
        <v/>
      </c>
      <c r="S1187" s="3" t="n"/>
      <c r="T1187" s="3" t="n"/>
      <c r="U1187" s="3" t="n"/>
      <c r="V1187" s="3" t="n"/>
    </row>
    <row r="1188">
      <c r="A1188" s="3" t="n"/>
      <c r="B1188" s="3" t="n"/>
      <c r="C1188" s="3" t="n"/>
      <c r="D1188" s="4" t="n"/>
      <c r="E1188" s="3" t="n"/>
      <c r="F1188" s="3" t="n"/>
      <c r="G1188" s="3" t="n"/>
      <c r="H1188" s="3" t="n"/>
      <c r="I1188" s="3" t="n"/>
      <c r="J1188" s="3" t="n"/>
      <c r="K1188" s="3" t="n"/>
      <c r="L1188" s="3" t="n"/>
      <c r="M1188" s="3" t="n"/>
      <c r="N1188" s="3" t="n"/>
      <c r="O1188" s="3" t="n"/>
      <c r="P1188" s="3" t="n"/>
      <c r="Q1188" s="3" t="n"/>
      <c r="R1188" s="5">
        <f>IF(Q1188&lt;&gt;"是","排除",IF(OR(L1188="",M1188=""),"",IF(OR(L1188="未知",M1188="未知"),"未知",IF(AND(L1188="真",M1188="真"),"TP",IF(AND(L1188="真",M1188="假"),"FP",IF(AND(L1188="假",M1188="真"),"FN","TN"))))))</f>
        <v/>
      </c>
      <c r="S1188" s="3" t="n"/>
      <c r="T1188" s="3" t="n"/>
      <c r="U1188" s="3" t="n"/>
      <c r="V1188" s="3" t="n"/>
    </row>
    <row r="1189">
      <c r="A1189" s="3" t="n"/>
      <c r="B1189" s="3" t="n"/>
      <c r="C1189" s="3" t="n"/>
      <c r="D1189" s="4" t="n"/>
      <c r="E1189" s="3" t="n"/>
      <c r="F1189" s="3" t="n"/>
      <c r="G1189" s="3" t="n"/>
      <c r="H1189" s="3" t="n"/>
      <c r="I1189" s="3" t="n"/>
      <c r="J1189" s="3" t="n"/>
      <c r="K1189" s="3" t="n"/>
      <c r="L1189" s="3" t="n"/>
      <c r="M1189" s="3" t="n"/>
      <c r="N1189" s="3" t="n"/>
      <c r="O1189" s="3" t="n"/>
      <c r="P1189" s="3" t="n"/>
      <c r="Q1189" s="3" t="n"/>
      <c r="R1189" s="5">
        <f>IF(Q1189&lt;&gt;"是","排除",IF(OR(L1189="",M1189=""),"",IF(OR(L1189="未知",M1189="未知"),"未知",IF(AND(L1189="真",M1189="真"),"TP",IF(AND(L1189="真",M1189="假"),"FP",IF(AND(L1189="假",M1189="真"),"FN","TN"))))))</f>
        <v/>
      </c>
      <c r="S1189" s="3" t="n"/>
      <c r="T1189" s="3" t="n"/>
      <c r="U1189" s="3" t="n"/>
      <c r="V1189" s="3" t="n"/>
    </row>
    <row r="1190">
      <c r="A1190" s="3" t="n"/>
      <c r="B1190" s="3" t="n"/>
      <c r="C1190" s="3" t="n"/>
      <c r="D1190" s="4" t="n"/>
      <c r="E1190" s="3" t="n"/>
      <c r="F1190" s="3" t="n"/>
      <c r="G1190" s="3" t="n"/>
      <c r="H1190" s="3" t="n"/>
      <c r="I1190" s="3" t="n"/>
      <c r="J1190" s="3" t="n"/>
      <c r="K1190" s="3" t="n"/>
      <c r="L1190" s="3" t="n"/>
      <c r="M1190" s="3" t="n"/>
      <c r="N1190" s="3" t="n"/>
      <c r="O1190" s="3" t="n"/>
      <c r="P1190" s="3" t="n"/>
      <c r="Q1190" s="3" t="n"/>
      <c r="R1190" s="5">
        <f>IF(Q1190&lt;&gt;"是","排除",IF(OR(L1190="",M1190=""),"",IF(OR(L1190="未知",M1190="未知"),"未知",IF(AND(L1190="真",M1190="真"),"TP",IF(AND(L1190="真",M1190="假"),"FP",IF(AND(L1190="假",M1190="真"),"FN","TN"))))))</f>
        <v/>
      </c>
      <c r="S1190" s="3" t="n"/>
      <c r="T1190" s="3" t="n"/>
      <c r="U1190" s="3" t="n"/>
      <c r="V1190" s="3" t="n"/>
    </row>
    <row r="1191">
      <c r="A1191" s="3" t="n"/>
      <c r="B1191" s="3" t="n"/>
      <c r="C1191" s="3" t="n"/>
      <c r="D1191" s="4" t="n"/>
      <c r="E1191" s="3" t="n"/>
      <c r="F1191" s="3" t="n"/>
      <c r="G1191" s="3" t="n"/>
      <c r="H1191" s="3" t="n"/>
      <c r="I1191" s="3" t="n"/>
      <c r="J1191" s="3" t="n"/>
      <c r="K1191" s="3" t="n"/>
      <c r="L1191" s="3" t="n"/>
      <c r="M1191" s="3" t="n"/>
      <c r="N1191" s="3" t="n"/>
      <c r="O1191" s="3" t="n"/>
      <c r="P1191" s="3" t="n"/>
      <c r="Q1191" s="3" t="n"/>
      <c r="R1191" s="5">
        <f>IF(Q1191&lt;&gt;"是","排除",IF(OR(L1191="",M1191=""),"",IF(OR(L1191="未知",M1191="未知"),"未知",IF(AND(L1191="真",M1191="真"),"TP",IF(AND(L1191="真",M1191="假"),"FP",IF(AND(L1191="假",M1191="真"),"FN","TN"))))))</f>
        <v/>
      </c>
      <c r="S1191" s="3" t="n"/>
      <c r="T1191" s="3" t="n"/>
      <c r="U1191" s="3" t="n"/>
      <c r="V1191" s="3" t="n"/>
    </row>
    <row r="1192">
      <c r="A1192" s="3" t="n"/>
      <c r="B1192" s="3" t="n"/>
      <c r="C1192" s="3" t="n"/>
      <c r="D1192" s="4" t="n"/>
      <c r="E1192" s="3" t="n"/>
      <c r="F1192" s="3" t="n"/>
      <c r="G1192" s="3" t="n"/>
      <c r="H1192" s="3" t="n"/>
      <c r="I1192" s="3" t="n"/>
      <c r="J1192" s="3" t="n"/>
      <c r="K1192" s="3" t="n"/>
      <c r="L1192" s="3" t="n"/>
      <c r="M1192" s="3" t="n"/>
      <c r="N1192" s="3" t="n"/>
      <c r="O1192" s="3" t="n"/>
      <c r="P1192" s="3" t="n"/>
      <c r="Q1192" s="3" t="n"/>
      <c r="R1192" s="5">
        <f>IF(Q1192&lt;&gt;"是","排除",IF(OR(L1192="",M1192=""),"",IF(OR(L1192="未知",M1192="未知"),"未知",IF(AND(L1192="真",M1192="真"),"TP",IF(AND(L1192="真",M1192="假"),"FP",IF(AND(L1192="假",M1192="真"),"FN","TN"))))))</f>
        <v/>
      </c>
      <c r="S1192" s="3" t="n"/>
      <c r="T1192" s="3" t="n"/>
      <c r="U1192" s="3" t="n"/>
      <c r="V1192" s="3" t="n"/>
    </row>
    <row r="1193">
      <c r="A1193" s="3" t="n"/>
      <c r="B1193" s="3" t="n"/>
      <c r="C1193" s="3" t="n"/>
      <c r="D1193" s="4" t="n"/>
      <c r="E1193" s="3" t="n"/>
      <c r="F1193" s="3" t="n"/>
      <c r="G1193" s="3" t="n"/>
      <c r="H1193" s="3" t="n"/>
      <c r="I1193" s="3" t="n"/>
      <c r="J1193" s="3" t="n"/>
      <c r="K1193" s="3" t="n"/>
      <c r="L1193" s="3" t="n"/>
      <c r="M1193" s="3" t="n"/>
      <c r="N1193" s="3" t="n"/>
      <c r="O1193" s="3" t="n"/>
      <c r="P1193" s="3" t="n"/>
      <c r="Q1193" s="3" t="n"/>
      <c r="R1193" s="5">
        <f>IF(Q1193&lt;&gt;"是","排除",IF(OR(L1193="",M1193=""),"",IF(OR(L1193="未知",M1193="未知"),"未知",IF(AND(L1193="真",M1193="真"),"TP",IF(AND(L1193="真",M1193="假"),"FP",IF(AND(L1193="假",M1193="真"),"FN","TN"))))))</f>
        <v/>
      </c>
      <c r="S1193" s="3" t="n"/>
      <c r="T1193" s="3" t="n"/>
      <c r="U1193" s="3" t="n"/>
      <c r="V1193" s="3" t="n"/>
    </row>
    <row r="1194">
      <c r="A1194" s="3" t="n"/>
      <c r="B1194" s="3" t="n"/>
      <c r="C1194" s="3" t="n"/>
      <c r="D1194" s="4" t="n"/>
      <c r="E1194" s="3" t="n"/>
      <c r="F1194" s="3" t="n"/>
      <c r="G1194" s="3" t="n"/>
      <c r="H1194" s="3" t="n"/>
      <c r="I1194" s="3" t="n"/>
      <c r="J1194" s="3" t="n"/>
      <c r="K1194" s="3" t="n"/>
      <c r="L1194" s="3" t="n"/>
      <c r="M1194" s="3" t="n"/>
      <c r="N1194" s="3" t="n"/>
      <c r="O1194" s="3" t="n"/>
      <c r="P1194" s="3" t="n"/>
      <c r="Q1194" s="3" t="n"/>
      <c r="R1194" s="5">
        <f>IF(Q1194&lt;&gt;"是","排除",IF(OR(L1194="",M1194=""),"",IF(OR(L1194="未知",M1194="未知"),"未知",IF(AND(L1194="真",M1194="真"),"TP",IF(AND(L1194="真",M1194="假"),"FP",IF(AND(L1194="假",M1194="真"),"FN","TN"))))))</f>
        <v/>
      </c>
      <c r="S1194" s="3" t="n"/>
      <c r="T1194" s="3" t="n"/>
      <c r="U1194" s="3" t="n"/>
      <c r="V1194" s="3" t="n"/>
    </row>
    <row r="1195">
      <c r="A1195" s="3" t="n"/>
      <c r="B1195" s="3" t="n"/>
      <c r="C1195" s="3" t="n"/>
      <c r="D1195" s="4" t="n"/>
      <c r="E1195" s="3" t="n"/>
      <c r="F1195" s="3" t="n"/>
      <c r="G1195" s="3" t="n"/>
      <c r="H1195" s="3" t="n"/>
      <c r="I1195" s="3" t="n"/>
      <c r="J1195" s="3" t="n"/>
      <c r="K1195" s="3" t="n"/>
      <c r="L1195" s="3" t="n"/>
      <c r="M1195" s="3" t="n"/>
      <c r="N1195" s="3" t="n"/>
      <c r="O1195" s="3" t="n"/>
      <c r="P1195" s="3" t="n"/>
      <c r="Q1195" s="3" t="n"/>
      <c r="R1195" s="5">
        <f>IF(Q1195&lt;&gt;"是","排除",IF(OR(L1195="",M1195=""),"",IF(OR(L1195="未知",M1195="未知"),"未知",IF(AND(L1195="真",M1195="真"),"TP",IF(AND(L1195="真",M1195="假"),"FP",IF(AND(L1195="假",M1195="真"),"FN","TN"))))))</f>
        <v/>
      </c>
      <c r="S1195" s="3" t="n"/>
      <c r="T1195" s="3" t="n"/>
      <c r="U1195" s="3" t="n"/>
      <c r="V1195" s="3" t="n"/>
    </row>
    <row r="1196">
      <c r="A1196" s="3" t="n"/>
      <c r="B1196" s="3" t="n"/>
      <c r="C1196" s="3" t="n"/>
      <c r="D1196" s="4" t="n"/>
      <c r="E1196" s="3" t="n"/>
      <c r="F1196" s="3" t="n"/>
      <c r="G1196" s="3" t="n"/>
      <c r="H1196" s="3" t="n"/>
      <c r="I1196" s="3" t="n"/>
      <c r="J1196" s="3" t="n"/>
      <c r="K1196" s="3" t="n"/>
      <c r="L1196" s="3" t="n"/>
      <c r="M1196" s="3" t="n"/>
      <c r="N1196" s="3" t="n"/>
      <c r="O1196" s="3" t="n"/>
      <c r="P1196" s="3" t="n"/>
      <c r="Q1196" s="3" t="n"/>
      <c r="R1196" s="5">
        <f>IF(Q1196&lt;&gt;"是","排除",IF(OR(L1196="",M1196=""),"",IF(OR(L1196="未知",M1196="未知"),"未知",IF(AND(L1196="真",M1196="真"),"TP",IF(AND(L1196="真",M1196="假"),"FP",IF(AND(L1196="假",M1196="真"),"FN","TN"))))))</f>
        <v/>
      </c>
      <c r="S1196" s="3" t="n"/>
      <c r="T1196" s="3" t="n"/>
      <c r="U1196" s="3" t="n"/>
      <c r="V1196" s="3" t="n"/>
    </row>
    <row r="1197">
      <c r="A1197" s="3" t="n"/>
      <c r="B1197" s="3" t="n"/>
      <c r="C1197" s="3" t="n"/>
      <c r="D1197" s="4" t="n"/>
      <c r="E1197" s="3" t="n"/>
      <c r="F1197" s="3" t="n"/>
      <c r="G1197" s="3" t="n"/>
      <c r="H1197" s="3" t="n"/>
      <c r="I1197" s="3" t="n"/>
      <c r="J1197" s="3" t="n"/>
      <c r="K1197" s="3" t="n"/>
      <c r="L1197" s="3" t="n"/>
      <c r="M1197" s="3" t="n"/>
      <c r="N1197" s="3" t="n"/>
      <c r="O1197" s="3" t="n"/>
      <c r="P1197" s="3" t="n"/>
      <c r="Q1197" s="3" t="n"/>
      <c r="R1197" s="5">
        <f>IF(Q1197&lt;&gt;"是","排除",IF(OR(L1197="",M1197=""),"",IF(OR(L1197="未知",M1197="未知"),"未知",IF(AND(L1197="真",M1197="真"),"TP",IF(AND(L1197="真",M1197="假"),"FP",IF(AND(L1197="假",M1197="真"),"FN","TN"))))))</f>
        <v/>
      </c>
      <c r="S1197" s="3" t="n"/>
      <c r="T1197" s="3" t="n"/>
      <c r="U1197" s="3" t="n"/>
      <c r="V1197" s="3" t="n"/>
    </row>
    <row r="1198">
      <c r="A1198" s="3" t="n"/>
      <c r="B1198" s="3" t="n"/>
      <c r="C1198" s="3" t="n"/>
      <c r="D1198" s="4" t="n"/>
      <c r="E1198" s="3" t="n"/>
      <c r="F1198" s="3" t="n"/>
      <c r="G1198" s="3" t="n"/>
      <c r="H1198" s="3" t="n"/>
      <c r="I1198" s="3" t="n"/>
      <c r="J1198" s="3" t="n"/>
      <c r="K1198" s="3" t="n"/>
      <c r="L1198" s="3" t="n"/>
      <c r="M1198" s="3" t="n"/>
      <c r="N1198" s="3" t="n"/>
      <c r="O1198" s="3" t="n"/>
      <c r="P1198" s="3" t="n"/>
      <c r="Q1198" s="3" t="n"/>
      <c r="R1198" s="5">
        <f>IF(Q1198&lt;&gt;"是","排除",IF(OR(L1198="",M1198=""),"",IF(OR(L1198="未知",M1198="未知"),"未知",IF(AND(L1198="真",M1198="真"),"TP",IF(AND(L1198="真",M1198="假"),"FP",IF(AND(L1198="假",M1198="真"),"FN","TN"))))))</f>
        <v/>
      </c>
      <c r="S1198" s="3" t="n"/>
      <c r="T1198" s="3" t="n"/>
      <c r="U1198" s="3" t="n"/>
      <c r="V1198" s="3" t="n"/>
    </row>
    <row r="1199">
      <c r="A1199" s="3" t="n"/>
      <c r="B1199" s="3" t="n"/>
      <c r="C1199" s="3" t="n"/>
      <c r="D1199" s="4" t="n"/>
      <c r="E1199" s="3" t="n"/>
      <c r="F1199" s="3" t="n"/>
      <c r="G1199" s="3" t="n"/>
      <c r="H1199" s="3" t="n"/>
      <c r="I1199" s="3" t="n"/>
      <c r="J1199" s="3" t="n"/>
      <c r="K1199" s="3" t="n"/>
      <c r="L1199" s="3" t="n"/>
      <c r="M1199" s="3" t="n"/>
      <c r="N1199" s="3" t="n"/>
      <c r="O1199" s="3" t="n"/>
      <c r="P1199" s="3" t="n"/>
      <c r="Q1199" s="3" t="n"/>
      <c r="R1199" s="5">
        <f>IF(Q1199&lt;&gt;"是","排除",IF(OR(L1199="",M1199=""),"",IF(OR(L1199="未知",M1199="未知"),"未知",IF(AND(L1199="真",M1199="真"),"TP",IF(AND(L1199="真",M1199="假"),"FP",IF(AND(L1199="假",M1199="真"),"FN","TN"))))))</f>
        <v/>
      </c>
      <c r="S1199" s="3" t="n"/>
      <c r="T1199" s="3" t="n"/>
      <c r="U1199" s="3" t="n"/>
      <c r="V1199" s="3" t="n"/>
    </row>
    <row r="1200">
      <c r="A1200" s="3" t="n"/>
      <c r="B1200" s="3" t="n"/>
      <c r="C1200" s="3" t="n"/>
      <c r="D1200" s="4" t="n"/>
      <c r="E1200" s="3" t="n"/>
      <c r="F1200" s="3" t="n"/>
      <c r="G1200" s="3" t="n"/>
      <c r="H1200" s="3" t="n"/>
      <c r="I1200" s="3" t="n"/>
      <c r="J1200" s="3" t="n"/>
      <c r="K1200" s="3" t="n"/>
      <c r="L1200" s="3" t="n"/>
      <c r="M1200" s="3" t="n"/>
      <c r="N1200" s="3" t="n"/>
      <c r="O1200" s="3" t="n"/>
      <c r="P1200" s="3" t="n"/>
      <c r="Q1200" s="3" t="n"/>
      <c r="R1200" s="5">
        <f>IF(Q1200&lt;&gt;"是","排除",IF(OR(L1200="",M1200=""),"",IF(OR(L1200="未知",M1200="未知"),"未知",IF(AND(L1200="真",M1200="真"),"TP",IF(AND(L1200="真",M1200="假"),"FP",IF(AND(L1200="假",M1200="真"),"FN","TN"))))))</f>
        <v/>
      </c>
      <c r="S1200" s="3" t="n"/>
      <c r="T1200" s="3" t="n"/>
      <c r="U1200" s="3" t="n"/>
      <c r="V1200" s="3" t="n"/>
    </row>
    <row r="1201">
      <c r="A1201" s="3" t="n"/>
      <c r="B1201" s="3" t="n"/>
      <c r="C1201" s="3" t="n"/>
      <c r="D1201" s="4" t="n"/>
      <c r="E1201" s="3" t="n"/>
      <c r="F1201" s="3" t="n"/>
      <c r="G1201" s="3" t="n"/>
      <c r="H1201" s="3" t="n"/>
      <c r="I1201" s="3" t="n"/>
      <c r="J1201" s="3" t="n"/>
      <c r="K1201" s="3" t="n"/>
      <c r="L1201" s="3" t="n"/>
      <c r="M1201" s="3" t="n"/>
      <c r="N1201" s="3" t="n"/>
      <c r="O1201" s="3" t="n"/>
      <c r="P1201" s="3" t="n"/>
      <c r="Q1201" s="3" t="n"/>
      <c r="R1201" s="5">
        <f>IF(Q1201&lt;&gt;"是","排除",IF(OR(L1201="",M1201=""),"",IF(OR(L1201="未知",M1201="未知"),"未知",IF(AND(L1201="真",M1201="真"),"TP",IF(AND(L1201="真",M1201="假"),"FP",IF(AND(L1201="假",M1201="真"),"FN","TN"))))))</f>
        <v/>
      </c>
      <c r="S1201" s="3" t="n"/>
      <c r="T1201" s="3" t="n"/>
      <c r="U1201" s="3" t="n"/>
      <c r="V1201" s="3" t="n"/>
    </row>
    <row r="1202">
      <c r="A1202" s="3" t="n"/>
      <c r="B1202" s="3" t="n"/>
      <c r="C1202" s="3" t="n"/>
      <c r="D1202" s="4" t="n"/>
      <c r="E1202" s="3" t="n"/>
      <c r="F1202" s="3" t="n"/>
      <c r="G1202" s="3" t="n"/>
      <c r="H1202" s="3" t="n"/>
      <c r="I1202" s="3" t="n"/>
      <c r="J1202" s="3" t="n"/>
      <c r="K1202" s="3" t="n"/>
      <c r="L1202" s="3" t="n"/>
      <c r="M1202" s="3" t="n"/>
      <c r="N1202" s="3" t="n"/>
      <c r="O1202" s="3" t="n"/>
      <c r="P1202" s="3" t="n"/>
      <c r="Q1202" s="3" t="n"/>
      <c r="R1202" s="5">
        <f>IF(Q1202&lt;&gt;"是","排除",IF(OR(L1202="",M1202=""),"",IF(OR(L1202="未知",M1202="未知"),"未知",IF(AND(L1202="真",M1202="真"),"TP",IF(AND(L1202="真",M1202="假"),"FP",IF(AND(L1202="假",M1202="真"),"FN","TN"))))))</f>
        <v/>
      </c>
      <c r="S1202" s="3" t="n"/>
      <c r="T1202" s="3" t="n"/>
      <c r="U1202" s="3" t="n"/>
      <c r="V1202" s="3" t="n"/>
    </row>
    <row r="1203">
      <c r="A1203" s="3" t="n"/>
      <c r="B1203" s="3" t="n"/>
      <c r="C1203" s="3" t="n"/>
      <c r="D1203" s="4" t="n"/>
      <c r="E1203" s="3" t="n"/>
      <c r="F1203" s="3" t="n"/>
      <c r="G1203" s="3" t="n"/>
      <c r="H1203" s="3" t="n"/>
      <c r="I1203" s="3" t="n"/>
      <c r="J1203" s="3" t="n"/>
      <c r="K1203" s="3" t="n"/>
      <c r="L1203" s="3" t="n"/>
      <c r="M1203" s="3" t="n"/>
      <c r="N1203" s="3" t="n"/>
      <c r="O1203" s="3" t="n"/>
      <c r="P1203" s="3" t="n"/>
      <c r="Q1203" s="3" t="n"/>
      <c r="R1203" s="5">
        <f>IF(Q1203&lt;&gt;"是","排除",IF(OR(L1203="",M1203=""),"",IF(OR(L1203="未知",M1203="未知"),"未知",IF(AND(L1203="真",M1203="真"),"TP",IF(AND(L1203="真",M1203="假"),"FP",IF(AND(L1203="假",M1203="真"),"FN","TN"))))))</f>
        <v/>
      </c>
      <c r="S1203" s="3" t="n"/>
      <c r="T1203" s="3" t="n"/>
      <c r="U1203" s="3" t="n"/>
      <c r="V1203" s="3" t="n"/>
    </row>
    <row r="1204">
      <c r="A1204" s="3" t="n"/>
      <c r="B1204" s="3" t="n"/>
      <c r="C1204" s="3" t="n"/>
      <c r="D1204" s="4" t="n"/>
      <c r="E1204" s="3" t="n"/>
      <c r="F1204" s="3" t="n"/>
      <c r="G1204" s="3" t="n"/>
      <c r="H1204" s="3" t="n"/>
      <c r="I1204" s="3" t="n"/>
      <c r="J1204" s="3" t="n"/>
      <c r="K1204" s="3" t="n"/>
      <c r="L1204" s="3" t="n"/>
      <c r="M1204" s="3" t="n"/>
      <c r="N1204" s="3" t="n"/>
      <c r="O1204" s="3" t="n"/>
      <c r="P1204" s="3" t="n"/>
      <c r="Q1204" s="3" t="n"/>
      <c r="R1204" s="5">
        <f>IF(Q1204&lt;&gt;"是","排除",IF(OR(L1204="",M1204=""),"",IF(OR(L1204="未知",M1204="未知"),"未知",IF(AND(L1204="真",M1204="真"),"TP",IF(AND(L1204="真",M1204="假"),"FP",IF(AND(L1204="假",M1204="真"),"FN","TN"))))))</f>
        <v/>
      </c>
      <c r="S1204" s="3" t="n"/>
      <c r="T1204" s="3" t="n"/>
      <c r="U1204" s="3" t="n"/>
      <c r="V1204" s="3" t="n"/>
    </row>
    <row r="1205">
      <c r="A1205" s="3" t="n"/>
      <c r="B1205" s="3" t="n"/>
      <c r="C1205" s="3" t="n"/>
      <c r="D1205" s="4" t="n"/>
      <c r="E1205" s="3" t="n"/>
      <c r="F1205" s="3" t="n"/>
      <c r="G1205" s="3" t="n"/>
      <c r="H1205" s="3" t="n"/>
      <c r="I1205" s="3" t="n"/>
      <c r="J1205" s="3" t="n"/>
      <c r="K1205" s="3" t="n"/>
      <c r="L1205" s="3" t="n"/>
      <c r="M1205" s="3" t="n"/>
      <c r="N1205" s="3" t="n"/>
      <c r="O1205" s="3" t="n"/>
      <c r="P1205" s="3" t="n"/>
      <c r="Q1205" s="3" t="n"/>
      <c r="R1205" s="5">
        <f>IF(Q1205&lt;&gt;"是","排除",IF(OR(L1205="",M1205=""),"",IF(OR(L1205="未知",M1205="未知"),"未知",IF(AND(L1205="真",M1205="真"),"TP",IF(AND(L1205="真",M1205="假"),"FP",IF(AND(L1205="假",M1205="真"),"FN","TN"))))))</f>
        <v/>
      </c>
      <c r="S1205" s="3" t="n"/>
      <c r="T1205" s="3" t="n"/>
      <c r="U1205" s="3" t="n"/>
      <c r="V1205" s="3" t="n"/>
    </row>
    <row r="1206">
      <c r="A1206" s="3" t="n"/>
      <c r="B1206" s="3" t="n"/>
      <c r="C1206" s="3" t="n"/>
      <c r="D1206" s="4" t="n"/>
      <c r="E1206" s="3" t="n"/>
      <c r="F1206" s="3" t="n"/>
      <c r="G1206" s="3" t="n"/>
      <c r="H1206" s="3" t="n"/>
      <c r="I1206" s="3" t="n"/>
      <c r="J1206" s="3" t="n"/>
      <c r="K1206" s="3" t="n"/>
      <c r="L1206" s="3" t="n"/>
      <c r="M1206" s="3" t="n"/>
      <c r="N1206" s="3" t="n"/>
      <c r="O1206" s="3" t="n"/>
      <c r="P1206" s="3" t="n"/>
      <c r="Q1206" s="3" t="n"/>
      <c r="R1206" s="5">
        <f>IF(Q1206&lt;&gt;"是","排除",IF(OR(L1206="",M1206=""),"",IF(OR(L1206="未知",M1206="未知"),"未知",IF(AND(L1206="真",M1206="真"),"TP",IF(AND(L1206="真",M1206="假"),"FP",IF(AND(L1206="假",M1206="真"),"FN","TN"))))))</f>
        <v/>
      </c>
      <c r="S1206" s="3" t="n"/>
      <c r="T1206" s="3" t="n"/>
      <c r="U1206" s="3" t="n"/>
      <c r="V1206" s="3" t="n"/>
    </row>
    <row r="1207">
      <c r="A1207" s="3" t="n"/>
      <c r="B1207" s="3" t="n"/>
      <c r="C1207" s="3" t="n"/>
      <c r="D1207" s="4" t="n"/>
      <c r="E1207" s="3" t="n"/>
      <c r="F1207" s="3" t="n"/>
      <c r="G1207" s="3" t="n"/>
      <c r="H1207" s="3" t="n"/>
      <c r="I1207" s="3" t="n"/>
      <c r="J1207" s="3" t="n"/>
      <c r="K1207" s="3" t="n"/>
      <c r="L1207" s="3" t="n"/>
      <c r="M1207" s="3" t="n"/>
      <c r="N1207" s="3" t="n"/>
      <c r="O1207" s="3" t="n"/>
      <c r="P1207" s="3" t="n"/>
      <c r="Q1207" s="3" t="n"/>
      <c r="R1207" s="5">
        <f>IF(Q1207&lt;&gt;"是","排除",IF(OR(L1207="",M1207=""),"",IF(OR(L1207="未知",M1207="未知"),"未知",IF(AND(L1207="真",M1207="真"),"TP",IF(AND(L1207="真",M1207="假"),"FP",IF(AND(L1207="假",M1207="真"),"FN","TN"))))))</f>
        <v/>
      </c>
      <c r="S1207" s="3" t="n"/>
      <c r="T1207" s="3" t="n"/>
      <c r="U1207" s="3" t="n"/>
      <c r="V1207" s="3" t="n"/>
    </row>
    <row r="1208">
      <c r="A1208" s="3" t="n"/>
      <c r="B1208" s="3" t="n"/>
      <c r="C1208" s="3" t="n"/>
      <c r="D1208" s="4" t="n"/>
      <c r="E1208" s="3" t="n"/>
      <c r="F1208" s="3" t="n"/>
      <c r="G1208" s="3" t="n"/>
      <c r="H1208" s="3" t="n"/>
      <c r="I1208" s="3" t="n"/>
      <c r="J1208" s="3" t="n"/>
      <c r="K1208" s="3" t="n"/>
      <c r="L1208" s="3" t="n"/>
      <c r="M1208" s="3" t="n"/>
      <c r="N1208" s="3" t="n"/>
      <c r="O1208" s="3" t="n"/>
      <c r="P1208" s="3" t="n"/>
      <c r="Q1208" s="3" t="n"/>
      <c r="R1208" s="5">
        <f>IF(Q1208&lt;&gt;"是","排除",IF(OR(L1208="",M1208=""),"",IF(OR(L1208="未知",M1208="未知"),"未知",IF(AND(L1208="真",M1208="真"),"TP",IF(AND(L1208="真",M1208="假"),"FP",IF(AND(L1208="假",M1208="真"),"FN","TN"))))))</f>
        <v/>
      </c>
      <c r="S1208" s="3" t="n"/>
      <c r="T1208" s="3" t="n"/>
      <c r="U1208" s="3" t="n"/>
      <c r="V1208" s="3" t="n"/>
    </row>
    <row r="1209">
      <c r="A1209" s="3" t="n"/>
      <c r="B1209" s="3" t="n"/>
      <c r="C1209" s="3" t="n"/>
      <c r="D1209" s="4" t="n"/>
      <c r="E1209" s="3" t="n"/>
      <c r="F1209" s="3" t="n"/>
      <c r="G1209" s="3" t="n"/>
      <c r="H1209" s="3" t="n"/>
      <c r="I1209" s="3" t="n"/>
      <c r="J1209" s="3" t="n"/>
      <c r="K1209" s="3" t="n"/>
      <c r="L1209" s="3" t="n"/>
      <c r="M1209" s="3" t="n"/>
      <c r="N1209" s="3" t="n"/>
      <c r="O1209" s="3" t="n"/>
      <c r="P1209" s="3" t="n"/>
      <c r="Q1209" s="3" t="n"/>
      <c r="R1209" s="5">
        <f>IF(Q1209&lt;&gt;"是","排除",IF(OR(L1209="",M1209=""),"",IF(OR(L1209="未知",M1209="未知"),"未知",IF(AND(L1209="真",M1209="真"),"TP",IF(AND(L1209="真",M1209="假"),"FP",IF(AND(L1209="假",M1209="真"),"FN","TN"))))))</f>
        <v/>
      </c>
      <c r="S1209" s="3" t="n"/>
      <c r="T1209" s="3" t="n"/>
      <c r="U1209" s="3" t="n"/>
      <c r="V1209" s="3" t="n"/>
    </row>
    <row r="1210">
      <c r="A1210" s="3" t="n"/>
      <c r="B1210" s="3" t="n"/>
      <c r="C1210" s="3" t="n"/>
      <c r="D1210" s="4" t="n"/>
      <c r="E1210" s="3" t="n"/>
      <c r="F1210" s="3" t="n"/>
      <c r="G1210" s="3" t="n"/>
      <c r="H1210" s="3" t="n"/>
      <c r="I1210" s="3" t="n"/>
      <c r="J1210" s="3" t="n"/>
      <c r="K1210" s="3" t="n"/>
      <c r="L1210" s="3" t="n"/>
      <c r="M1210" s="3" t="n"/>
      <c r="N1210" s="3" t="n"/>
      <c r="O1210" s="3" t="n"/>
      <c r="P1210" s="3" t="n"/>
      <c r="Q1210" s="3" t="n"/>
      <c r="R1210" s="5">
        <f>IF(Q1210&lt;&gt;"是","排除",IF(OR(L1210="",M1210=""),"",IF(OR(L1210="未知",M1210="未知"),"未知",IF(AND(L1210="真",M1210="真"),"TP",IF(AND(L1210="真",M1210="假"),"FP",IF(AND(L1210="假",M1210="真"),"FN","TN"))))))</f>
        <v/>
      </c>
      <c r="S1210" s="3" t="n"/>
      <c r="T1210" s="3" t="n"/>
      <c r="U1210" s="3" t="n"/>
      <c r="V1210" s="3" t="n"/>
    </row>
    <row r="1211">
      <c r="A1211" s="3" t="n"/>
      <c r="B1211" s="3" t="n"/>
      <c r="C1211" s="3" t="n"/>
      <c r="D1211" s="4" t="n"/>
      <c r="E1211" s="3" t="n"/>
      <c r="F1211" s="3" t="n"/>
      <c r="G1211" s="3" t="n"/>
      <c r="H1211" s="3" t="n"/>
      <c r="I1211" s="3" t="n"/>
      <c r="J1211" s="3" t="n"/>
      <c r="K1211" s="3" t="n"/>
      <c r="L1211" s="3" t="n"/>
      <c r="M1211" s="3" t="n"/>
      <c r="N1211" s="3" t="n"/>
      <c r="O1211" s="3" t="n"/>
      <c r="P1211" s="3" t="n"/>
      <c r="Q1211" s="3" t="n"/>
      <c r="R1211" s="5">
        <f>IF(Q1211&lt;&gt;"是","排除",IF(OR(L1211="",M1211=""),"",IF(OR(L1211="未知",M1211="未知"),"未知",IF(AND(L1211="真",M1211="真"),"TP",IF(AND(L1211="真",M1211="假"),"FP",IF(AND(L1211="假",M1211="真"),"FN","TN"))))))</f>
        <v/>
      </c>
      <c r="S1211" s="3" t="n"/>
      <c r="T1211" s="3" t="n"/>
      <c r="U1211" s="3" t="n"/>
      <c r="V1211" s="3" t="n"/>
    </row>
    <row r="1212">
      <c r="A1212" s="3" t="n"/>
      <c r="B1212" s="3" t="n"/>
      <c r="C1212" s="3" t="n"/>
      <c r="D1212" s="4" t="n"/>
      <c r="E1212" s="3" t="n"/>
      <c r="F1212" s="3" t="n"/>
      <c r="G1212" s="3" t="n"/>
      <c r="H1212" s="3" t="n"/>
      <c r="I1212" s="3" t="n"/>
      <c r="J1212" s="3" t="n"/>
      <c r="K1212" s="3" t="n"/>
      <c r="L1212" s="3" t="n"/>
      <c r="M1212" s="3" t="n"/>
      <c r="N1212" s="3" t="n"/>
      <c r="O1212" s="3" t="n"/>
      <c r="P1212" s="3" t="n"/>
      <c r="Q1212" s="3" t="n"/>
      <c r="R1212" s="5">
        <f>IF(Q1212&lt;&gt;"是","排除",IF(OR(L1212="",M1212=""),"",IF(OR(L1212="未知",M1212="未知"),"未知",IF(AND(L1212="真",M1212="真"),"TP",IF(AND(L1212="真",M1212="假"),"FP",IF(AND(L1212="假",M1212="真"),"FN","TN"))))))</f>
        <v/>
      </c>
      <c r="S1212" s="3" t="n"/>
      <c r="T1212" s="3" t="n"/>
      <c r="U1212" s="3" t="n"/>
      <c r="V1212" s="3" t="n"/>
    </row>
    <row r="1213">
      <c r="A1213" s="3" t="n"/>
      <c r="B1213" s="3" t="n"/>
      <c r="C1213" s="3" t="n"/>
      <c r="D1213" s="4" t="n"/>
      <c r="E1213" s="3" t="n"/>
      <c r="F1213" s="3" t="n"/>
      <c r="G1213" s="3" t="n"/>
      <c r="H1213" s="3" t="n"/>
      <c r="I1213" s="3" t="n"/>
      <c r="J1213" s="3" t="n"/>
      <c r="K1213" s="3" t="n"/>
      <c r="L1213" s="3" t="n"/>
      <c r="M1213" s="3" t="n"/>
      <c r="N1213" s="3" t="n"/>
      <c r="O1213" s="3" t="n"/>
      <c r="P1213" s="3" t="n"/>
      <c r="Q1213" s="3" t="n"/>
      <c r="R1213" s="5">
        <f>IF(Q1213&lt;&gt;"是","排除",IF(OR(L1213="",M1213=""),"",IF(OR(L1213="未知",M1213="未知"),"未知",IF(AND(L1213="真",M1213="真"),"TP",IF(AND(L1213="真",M1213="假"),"FP",IF(AND(L1213="假",M1213="真"),"FN","TN"))))))</f>
        <v/>
      </c>
      <c r="S1213" s="3" t="n"/>
      <c r="T1213" s="3" t="n"/>
      <c r="U1213" s="3" t="n"/>
      <c r="V1213" s="3" t="n"/>
    </row>
    <row r="1214">
      <c r="A1214" s="3" t="n"/>
      <c r="B1214" s="3" t="n"/>
      <c r="C1214" s="3" t="n"/>
      <c r="D1214" s="4" t="n"/>
      <c r="E1214" s="3" t="n"/>
      <c r="F1214" s="3" t="n"/>
      <c r="G1214" s="3" t="n"/>
      <c r="H1214" s="3" t="n"/>
      <c r="I1214" s="3" t="n"/>
      <c r="J1214" s="3" t="n"/>
      <c r="K1214" s="3" t="n"/>
      <c r="L1214" s="3" t="n"/>
      <c r="M1214" s="3" t="n"/>
      <c r="N1214" s="3" t="n"/>
      <c r="O1214" s="3" t="n"/>
      <c r="P1214" s="3" t="n"/>
      <c r="Q1214" s="3" t="n"/>
      <c r="R1214" s="5">
        <f>IF(Q1214&lt;&gt;"是","排除",IF(OR(L1214="",M1214=""),"",IF(OR(L1214="未知",M1214="未知"),"未知",IF(AND(L1214="真",M1214="真"),"TP",IF(AND(L1214="真",M1214="假"),"FP",IF(AND(L1214="假",M1214="真"),"FN","TN"))))))</f>
        <v/>
      </c>
      <c r="S1214" s="3" t="n"/>
      <c r="T1214" s="3" t="n"/>
      <c r="U1214" s="3" t="n"/>
      <c r="V1214" s="3" t="n"/>
    </row>
    <row r="1215">
      <c r="A1215" s="3" t="n"/>
      <c r="B1215" s="3" t="n"/>
      <c r="C1215" s="3" t="n"/>
      <c r="D1215" s="4" t="n"/>
      <c r="E1215" s="3" t="n"/>
      <c r="F1215" s="3" t="n"/>
      <c r="G1215" s="3" t="n"/>
      <c r="H1215" s="3" t="n"/>
      <c r="I1215" s="3" t="n"/>
      <c r="J1215" s="3" t="n"/>
      <c r="K1215" s="3" t="n"/>
      <c r="L1215" s="3" t="n"/>
      <c r="M1215" s="3" t="n"/>
      <c r="N1215" s="3" t="n"/>
      <c r="O1215" s="3" t="n"/>
      <c r="P1215" s="3" t="n"/>
      <c r="Q1215" s="3" t="n"/>
      <c r="R1215" s="5">
        <f>IF(Q1215&lt;&gt;"是","排除",IF(OR(L1215="",M1215=""),"",IF(OR(L1215="未知",M1215="未知"),"未知",IF(AND(L1215="真",M1215="真"),"TP",IF(AND(L1215="真",M1215="假"),"FP",IF(AND(L1215="假",M1215="真"),"FN","TN"))))))</f>
        <v/>
      </c>
      <c r="S1215" s="3" t="n"/>
      <c r="T1215" s="3" t="n"/>
      <c r="U1215" s="3" t="n"/>
      <c r="V1215" s="3" t="n"/>
    </row>
    <row r="1216">
      <c r="A1216" s="3" t="n"/>
      <c r="B1216" s="3" t="n"/>
      <c r="C1216" s="3" t="n"/>
      <c r="D1216" s="4" t="n"/>
      <c r="E1216" s="3" t="n"/>
      <c r="F1216" s="3" t="n"/>
      <c r="G1216" s="3" t="n"/>
      <c r="H1216" s="3" t="n"/>
      <c r="I1216" s="3" t="n"/>
      <c r="J1216" s="3" t="n"/>
      <c r="K1216" s="3" t="n"/>
      <c r="L1216" s="3" t="n"/>
      <c r="M1216" s="3" t="n"/>
      <c r="N1216" s="3" t="n"/>
      <c r="O1216" s="3" t="n"/>
      <c r="P1216" s="3" t="n"/>
      <c r="Q1216" s="3" t="n"/>
      <c r="R1216" s="5">
        <f>IF(Q1216&lt;&gt;"是","排除",IF(OR(L1216="",M1216=""),"",IF(OR(L1216="未知",M1216="未知"),"未知",IF(AND(L1216="真",M1216="真"),"TP",IF(AND(L1216="真",M1216="假"),"FP",IF(AND(L1216="假",M1216="真"),"FN","TN"))))))</f>
        <v/>
      </c>
      <c r="S1216" s="3" t="n"/>
      <c r="T1216" s="3" t="n"/>
      <c r="U1216" s="3" t="n"/>
      <c r="V1216" s="3" t="n"/>
    </row>
    <row r="1217">
      <c r="A1217" s="3" t="n"/>
      <c r="B1217" s="3" t="n"/>
      <c r="C1217" s="3" t="n"/>
      <c r="D1217" s="4" t="n"/>
      <c r="E1217" s="3" t="n"/>
      <c r="F1217" s="3" t="n"/>
      <c r="G1217" s="3" t="n"/>
      <c r="H1217" s="3" t="n"/>
      <c r="I1217" s="3" t="n"/>
      <c r="J1217" s="3" t="n"/>
      <c r="K1217" s="3" t="n"/>
      <c r="L1217" s="3" t="n"/>
      <c r="M1217" s="3" t="n"/>
      <c r="N1217" s="3" t="n"/>
      <c r="O1217" s="3" t="n"/>
      <c r="P1217" s="3" t="n"/>
      <c r="Q1217" s="3" t="n"/>
      <c r="R1217" s="5">
        <f>IF(Q1217&lt;&gt;"是","排除",IF(OR(L1217="",M1217=""),"",IF(OR(L1217="未知",M1217="未知"),"未知",IF(AND(L1217="真",M1217="真"),"TP",IF(AND(L1217="真",M1217="假"),"FP",IF(AND(L1217="假",M1217="真"),"FN","TN"))))))</f>
        <v/>
      </c>
      <c r="S1217" s="3" t="n"/>
      <c r="T1217" s="3" t="n"/>
      <c r="U1217" s="3" t="n"/>
      <c r="V1217" s="3" t="n"/>
    </row>
    <row r="1218">
      <c r="A1218" s="3" t="n"/>
      <c r="B1218" s="3" t="n"/>
      <c r="C1218" s="3" t="n"/>
      <c r="D1218" s="4" t="n"/>
      <c r="E1218" s="3" t="n"/>
      <c r="F1218" s="3" t="n"/>
      <c r="G1218" s="3" t="n"/>
      <c r="H1218" s="3" t="n"/>
      <c r="I1218" s="3" t="n"/>
      <c r="J1218" s="3" t="n"/>
      <c r="K1218" s="3" t="n"/>
      <c r="L1218" s="3" t="n"/>
      <c r="M1218" s="3" t="n"/>
      <c r="N1218" s="3" t="n"/>
      <c r="O1218" s="3" t="n"/>
      <c r="P1218" s="3" t="n"/>
      <c r="Q1218" s="3" t="n"/>
      <c r="R1218" s="5">
        <f>IF(Q1218&lt;&gt;"是","排除",IF(OR(L1218="",M1218=""),"",IF(OR(L1218="未知",M1218="未知"),"未知",IF(AND(L1218="真",M1218="真"),"TP",IF(AND(L1218="真",M1218="假"),"FP",IF(AND(L1218="假",M1218="真"),"FN","TN"))))))</f>
        <v/>
      </c>
      <c r="S1218" s="3" t="n"/>
      <c r="T1218" s="3" t="n"/>
      <c r="U1218" s="3" t="n"/>
      <c r="V1218" s="3" t="n"/>
    </row>
    <row r="1219">
      <c r="A1219" s="3" t="n"/>
      <c r="B1219" s="3" t="n"/>
      <c r="C1219" s="3" t="n"/>
      <c r="D1219" s="4" t="n"/>
      <c r="E1219" s="3" t="n"/>
      <c r="F1219" s="3" t="n"/>
      <c r="G1219" s="3" t="n"/>
      <c r="H1219" s="3" t="n"/>
      <c r="I1219" s="3" t="n"/>
      <c r="J1219" s="3" t="n"/>
      <c r="K1219" s="3" t="n"/>
      <c r="L1219" s="3" t="n"/>
      <c r="M1219" s="3" t="n"/>
      <c r="N1219" s="3" t="n"/>
      <c r="O1219" s="3" t="n"/>
      <c r="P1219" s="3" t="n"/>
      <c r="Q1219" s="3" t="n"/>
      <c r="R1219" s="5">
        <f>IF(Q1219&lt;&gt;"是","排除",IF(OR(L1219="",M1219=""),"",IF(OR(L1219="未知",M1219="未知"),"未知",IF(AND(L1219="真",M1219="真"),"TP",IF(AND(L1219="真",M1219="假"),"FP",IF(AND(L1219="假",M1219="真"),"FN","TN"))))))</f>
        <v/>
      </c>
      <c r="S1219" s="3" t="n"/>
      <c r="T1219" s="3" t="n"/>
      <c r="U1219" s="3" t="n"/>
      <c r="V1219" s="3" t="n"/>
    </row>
    <row r="1220">
      <c r="A1220" s="3" t="n"/>
      <c r="B1220" s="3" t="n"/>
      <c r="C1220" s="3" t="n"/>
      <c r="D1220" s="4" t="n"/>
      <c r="E1220" s="3" t="n"/>
      <c r="F1220" s="3" t="n"/>
      <c r="G1220" s="3" t="n"/>
      <c r="H1220" s="3" t="n"/>
      <c r="I1220" s="3" t="n"/>
      <c r="J1220" s="3" t="n"/>
      <c r="K1220" s="3" t="n"/>
      <c r="L1220" s="3" t="n"/>
      <c r="M1220" s="3" t="n"/>
      <c r="N1220" s="3" t="n"/>
      <c r="O1220" s="3" t="n"/>
      <c r="P1220" s="3" t="n"/>
      <c r="Q1220" s="3" t="n"/>
      <c r="R1220" s="5">
        <f>IF(Q1220&lt;&gt;"是","排除",IF(OR(L1220="",M1220=""),"",IF(OR(L1220="未知",M1220="未知"),"未知",IF(AND(L1220="真",M1220="真"),"TP",IF(AND(L1220="真",M1220="假"),"FP",IF(AND(L1220="假",M1220="真"),"FN","TN"))))))</f>
        <v/>
      </c>
      <c r="S1220" s="3" t="n"/>
      <c r="T1220" s="3" t="n"/>
      <c r="U1220" s="3" t="n"/>
      <c r="V1220" s="3" t="n"/>
    </row>
    <row r="1221">
      <c r="A1221" s="3" t="n"/>
      <c r="B1221" s="3" t="n"/>
      <c r="C1221" s="3" t="n"/>
      <c r="D1221" s="4" t="n"/>
      <c r="E1221" s="3" t="n"/>
      <c r="F1221" s="3" t="n"/>
      <c r="G1221" s="3" t="n"/>
      <c r="H1221" s="3" t="n"/>
      <c r="I1221" s="3" t="n"/>
      <c r="J1221" s="3" t="n"/>
      <c r="K1221" s="3" t="n"/>
      <c r="L1221" s="3" t="n"/>
      <c r="M1221" s="3" t="n"/>
      <c r="N1221" s="3" t="n"/>
      <c r="O1221" s="3" t="n"/>
      <c r="P1221" s="3" t="n"/>
      <c r="Q1221" s="3" t="n"/>
      <c r="R1221" s="5">
        <f>IF(Q1221&lt;&gt;"是","排除",IF(OR(L1221="",M1221=""),"",IF(OR(L1221="未知",M1221="未知"),"未知",IF(AND(L1221="真",M1221="真"),"TP",IF(AND(L1221="真",M1221="假"),"FP",IF(AND(L1221="假",M1221="真"),"FN","TN"))))))</f>
        <v/>
      </c>
      <c r="S1221" s="3" t="n"/>
      <c r="T1221" s="3" t="n"/>
      <c r="U1221" s="3" t="n"/>
      <c r="V1221" s="3" t="n"/>
    </row>
    <row r="1222">
      <c r="A1222" s="3" t="n"/>
      <c r="B1222" s="3" t="n"/>
      <c r="C1222" s="3" t="n"/>
      <c r="D1222" s="4" t="n"/>
      <c r="E1222" s="3" t="n"/>
      <c r="F1222" s="3" t="n"/>
      <c r="G1222" s="3" t="n"/>
      <c r="H1222" s="3" t="n"/>
      <c r="I1222" s="3" t="n"/>
      <c r="J1222" s="3" t="n"/>
      <c r="K1222" s="3" t="n"/>
      <c r="L1222" s="3" t="n"/>
      <c r="M1222" s="3" t="n"/>
      <c r="N1222" s="3" t="n"/>
      <c r="O1222" s="3" t="n"/>
      <c r="P1222" s="3" t="n"/>
      <c r="Q1222" s="3" t="n"/>
      <c r="R1222" s="5">
        <f>IF(Q1222&lt;&gt;"是","排除",IF(OR(L1222="",M1222=""),"",IF(OR(L1222="未知",M1222="未知"),"未知",IF(AND(L1222="真",M1222="真"),"TP",IF(AND(L1222="真",M1222="假"),"FP",IF(AND(L1222="假",M1222="真"),"FN","TN"))))))</f>
        <v/>
      </c>
      <c r="S1222" s="3" t="n"/>
      <c r="T1222" s="3" t="n"/>
      <c r="U1222" s="3" t="n"/>
      <c r="V1222" s="3" t="n"/>
    </row>
    <row r="1223">
      <c r="A1223" s="3" t="n"/>
      <c r="B1223" s="3" t="n"/>
      <c r="C1223" s="3" t="n"/>
      <c r="D1223" s="4" t="n"/>
      <c r="E1223" s="3" t="n"/>
      <c r="F1223" s="3" t="n"/>
      <c r="G1223" s="3" t="n"/>
      <c r="H1223" s="3" t="n"/>
      <c r="I1223" s="3" t="n"/>
      <c r="J1223" s="3" t="n"/>
      <c r="K1223" s="3" t="n"/>
      <c r="L1223" s="3" t="n"/>
      <c r="M1223" s="3" t="n"/>
      <c r="N1223" s="3" t="n"/>
      <c r="O1223" s="3" t="n"/>
      <c r="P1223" s="3" t="n"/>
      <c r="Q1223" s="3" t="n"/>
      <c r="R1223" s="5">
        <f>IF(Q1223&lt;&gt;"是","排除",IF(OR(L1223="",M1223=""),"",IF(OR(L1223="未知",M1223="未知"),"未知",IF(AND(L1223="真",M1223="真"),"TP",IF(AND(L1223="真",M1223="假"),"FP",IF(AND(L1223="假",M1223="真"),"FN","TN"))))))</f>
        <v/>
      </c>
      <c r="S1223" s="3" t="n"/>
      <c r="T1223" s="3" t="n"/>
      <c r="U1223" s="3" t="n"/>
      <c r="V1223" s="3" t="n"/>
    </row>
    <row r="1224">
      <c r="A1224" s="3" t="n"/>
      <c r="B1224" s="3" t="n"/>
      <c r="C1224" s="3" t="n"/>
      <c r="D1224" s="4" t="n"/>
      <c r="E1224" s="3" t="n"/>
      <c r="F1224" s="3" t="n"/>
      <c r="G1224" s="3" t="n"/>
      <c r="H1224" s="3" t="n"/>
      <c r="I1224" s="3" t="n"/>
      <c r="J1224" s="3" t="n"/>
      <c r="K1224" s="3" t="n"/>
      <c r="L1224" s="3" t="n"/>
      <c r="M1224" s="3" t="n"/>
      <c r="N1224" s="3" t="n"/>
      <c r="O1224" s="3" t="n"/>
      <c r="P1224" s="3" t="n"/>
      <c r="Q1224" s="3" t="n"/>
      <c r="R1224" s="5">
        <f>IF(Q1224&lt;&gt;"是","排除",IF(OR(L1224="",M1224=""),"",IF(OR(L1224="未知",M1224="未知"),"未知",IF(AND(L1224="真",M1224="真"),"TP",IF(AND(L1224="真",M1224="假"),"FP",IF(AND(L1224="假",M1224="真"),"FN","TN"))))))</f>
        <v/>
      </c>
      <c r="S1224" s="3" t="n"/>
      <c r="T1224" s="3" t="n"/>
      <c r="U1224" s="3" t="n"/>
      <c r="V1224" s="3" t="n"/>
    </row>
    <row r="1225">
      <c r="A1225" s="3" t="n"/>
      <c r="B1225" s="3" t="n"/>
      <c r="C1225" s="3" t="n"/>
      <c r="D1225" s="4" t="n"/>
      <c r="E1225" s="3" t="n"/>
      <c r="F1225" s="3" t="n"/>
      <c r="G1225" s="3" t="n"/>
      <c r="H1225" s="3" t="n"/>
      <c r="I1225" s="3" t="n"/>
      <c r="J1225" s="3" t="n"/>
      <c r="K1225" s="3" t="n"/>
      <c r="L1225" s="3" t="n"/>
      <c r="M1225" s="3" t="n"/>
      <c r="N1225" s="3" t="n"/>
      <c r="O1225" s="3" t="n"/>
      <c r="P1225" s="3" t="n"/>
      <c r="Q1225" s="3" t="n"/>
      <c r="R1225" s="5">
        <f>IF(Q1225&lt;&gt;"是","排除",IF(OR(L1225="",M1225=""),"",IF(OR(L1225="未知",M1225="未知"),"未知",IF(AND(L1225="真",M1225="真"),"TP",IF(AND(L1225="真",M1225="假"),"FP",IF(AND(L1225="假",M1225="真"),"FN","TN"))))))</f>
        <v/>
      </c>
      <c r="S1225" s="3" t="n"/>
      <c r="T1225" s="3" t="n"/>
      <c r="U1225" s="3" t="n"/>
      <c r="V1225" s="3" t="n"/>
    </row>
    <row r="1226">
      <c r="A1226" s="3" t="n"/>
      <c r="B1226" s="3" t="n"/>
      <c r="C1226" s="3" t="n"/>
      <c r="D1226" s="4" t="n"/>
      <c r="E1226" s="3" t="n"/>
      <c r="F1226" s="3" t="n"/>
      <c r="G1226" s="3" t="n"/>
      <c r="H1226" s="3" t="n"/>
      <c r="I1226" s="3" t="n"/>
      <c r="J1226" s="3" t="n"/>
      <c r="K1226" s="3" t="n"/>
      <c r="L1226" s="3" t="n"/>
      <c r="M1226" s="3" t="n"/>
      <c r="N1226" s="3" t="n"/>
      <c r="O1226" s="3" t="n"/>
      <c r="P1226" s="3" t="n"/>
      <c r="Q1226" s="3" t="n"/>
      <c r="R1226" s="5">
        <f>IF(Q1226&lt;&gt;"是","排除",IF(OR(L1226="",M1226=""),"",IF(OR(L1226="未知",M1226="未知"),"未知",IF(AND(L1226="真",M1226="真"),"TP",IF(AND(L1226="真",M1226="假"),"FP",IF(AND(L1226="假",M1226="真"),"FN","TN"))))))</f>
        <v/>
      </c>
      <c r="S1226" s="3" t="n"/>
      <c r="T1226" s="3" t="n"/>
      <c r="U1226" s="3" t="n"/>
      <c r="V1226" s="3" t="n"/>
    </row>
    <row r="1227">
      <c r="A1227" s="3" t="n"/>
      <c r="B1227" s="3" t="n"/>
      <c r="C1227" s="3" t="n"/>
      <c r="D1227" s="4" t="n"/>
      <c r="E1227" s="3" t="n"/>
      <c r="F1227" s="3" t="n"/>
      <c r="G1227" s="3" t="n"/>
      <c r="H1227" s="3" t="n"/>
      <c r="I1227" s="3" t="n"/>
      <c r="J1227" s="3" t="n"/>
      <c r="K1227" s="3" t="n"/>
      <c r="L1227" s="3" t="n"/>
      <c r="M1227" s="3" t="n"/>
      <c r="N1227" s="3" t="n"/>
      <c r="O1227" s="3" t="n"/>
      <c r="P1227" s="3" t="n"/>
      <c r="Q1227" s="3" t="n"/>
      <c r="R1227" s="5">
        <f>IF(Q1227&lt;&gt;"是","排除",IF(OR(L1227="",M1227=""),"",IF(OR(L1227="未知",M1227="未知"),"未知",IF(AND(L1227="真",M1227="真"),"TP",IF(AND(L1227="真",M1227="假"),"FP",IF(AND(L1227="假",M1227="真"),"FN","TN"))))))</f>
        <v/>
      </c>
      <c r="S1227" s="3" t="n"/>
      <c r="T1227" s="3" t="n"/>
      <c r="U1227" s="3" t="n"/>
      <c r="V1227" s="3" t="n"/>
    </row>
    <row r="1228">
      <c r="A1228" s="3" t="n"/>
      <c r="B1228" s="3" t="n"/>
      <c r="C1228" s="3" t="n"/>
      <c r="D1228" s="4" t="n"/>
      <c r="E1228" s="3" t="n"/>
      <c r="F1228" s="3" t="n"/>
      <c r="G1228" s="3" t="n"/>
      <c r="H1228" s="3" t="n"/>
      <c r="I1228" s="3" t="n"/>
      <c r="J1228" s="3" t="n"/>
      <c r="K1228" s="3" t="n"/>
      <c r="L1228" s="3" t="n"/>
      <c r="M1228" s="3" t="n"/>
      <c r="N1228" s="3" t="n"/>
      <c r="O1228" s="3" t="n"/>
      <c r="P1228" s="3" t="n"/>
      <c r="Q1228" s="3" t="n"/>
      <c r="R1228" s="5">
        <f>IF(Q1228&lt;&gt;"是","排除",IF(OR(L1228="",M1228=""),"",IF(OR(L1228="未知",M1228="未知"),"未知",IF(AND(L1228="真",M1228="真"),"TP",IF(AND(L1228="真",M1228="假"),"FP",IF(AND(L1228="假",M1228="真"),"FN","TN"))))))</f>
        <v/>
      </c>
      <c r="S1228" s="3" t="n"/>
      <c r="T1228" s="3" t="n"/>
      <c r="U1228" s="3" t="n"/>
      <c r="V1228" s="3" t="n"/>
    </row>
    <row r="1229">
      <c r="A1229" s="3" t="n"/>
      <c r="B1229" s="3" t="n"/>
      <c r="C1229" s="3" t="n"/>
      <c r="D1229" s="4" t="n"/>
      <c r="E1229" s="3" t="n"/>
      <c r="F1229" s="3" t="n"/>
      <c r="G1229" s="3" t="n"/>
      <c r="H1229" s="3" t="n"/>
      <c r="I1229" s="3" t="n"/>
      <c r="J1229" s="3" t="n"/>
      <c r="K1229" s="3" t="n"/>
      <c r="L1229" s="3" t="n"/>
      <c r="M1229" s="3" t="n"/>
      <c r="N1229" s="3" t="n"/>
      <c r="O1229" s="3" t="n"/>
      <c r="P1229" s="3" t="n"/>
      <c r="Q1229" s="3" t="n"/>
      <c r="R1229" s="5">
        <f>IF(Q1229&lt;&gt;"是","排除",IF(OR(L1229="",M1229=""),"",IF(OR(L1229="未知",M1229="未知"),"未知",IF(AND(L1229="真",M1229="真"),"TP",IF(AND(L1229="真",M1229="假"),"FP",IF(AND(L1229="假",M1229="真"),"FN","TN"))))))</f>
        <v/>
      </c>
      <c r="S1229" s="3" t="n"/>
      <c r="T1229" s="3" t="n"/>
      <c r="U1229" s="3" t="n"/>
      <c r="V1229" s="3" t="n"/>
    </row>
    <row r="1230">
      <c r="A1230" s="3" t="n"/>
      <c r="B1230" s="3" t="n"/>
      <c r="C1230" s="3" t="n"/>
      <c r="D1230" s="4" t="n"/>
      <c r="E1230" s="3" t="n"/>
      <c r="F1230" s="3" t="n"/>
      <c r="G1230" s="3" t="n"/>
      <c r="H1230" s="3" t="n"/>
      <c r="I1230" s="3" t="n"/>
      <c r="J1230" s="3" t="n"/>
      <c r="K1230" s="3" t="n"/>
      <c r="L1230" s="3" t="n"/>
      <c r="M1230" s="3" t="n"/>
      <c r="N1230" s="3" t="n"/>
      <c r="O1230" s="3" t="n"/>
      <c r="P1230" s="3" t="n"/>
      <c r="Q1230" s="3" t="n"/>
      <c r="R1230" s="5">
        <f>IF(Q1230&lt;&gt;"是","排除",IF(OR(L1230="",M1230=""),"",IF(OR(L1230="未知",M1230="未知"),"未知",IF(AND(L1230="真",M1230="真"),"TP",IF(AND(L1230="真",M1230="假"),"FP",IF(AND(L1230="假",M1230="真"),"FN","TN"))))))</f>
        <v/>
      </c>
      <c r="S1230" s="3" t="n"/>
      <c r="T1230" s="3" t="n"/>
      <c r="U1230" s="3" t="n"/>
      <c r="V1230" s="3" t="n"/>
    </row>
    <row r="1231">
      <c r="A1231" s="3" t="n"/>
      <c r="B1231" s="3" t="n"/>
      <c r="C1231" s="3" t="n"/>
      <c r="D1231" s="4" t="n"/>
      <c r="E1231" s="3" t="n"/>
      <c r="F1231" s="3" t="n"/>
      <c r="G1231" s="3" t="n"/>
      <c r="H1231" s="3" t="n"/>
      <c r="I1231" s="3" t="n"/>
      <c r="J1231" s="3" t="n"/>
      <c r="K1231" s="3" t="n"/>
      <c r="L1231" s="3" t="n"/>
      <c r="M1231" s="3" t="n"/>
      <c r="N1231" s="3" t="n"/>
      <c r="O1231" s="3" t="n"/>
      <c r="P1231" s="3" t="n"/>
      <c r="Q1231" s="3" t="n"/>
      <c r="R1231" s="5">
        <f>IF(Q1231&lt;&gt;"是","排除",IF(OR(L1231="",M1231=""),"",IF(OR(L1231="未知",M1231="未知"),"未知",IF(AND(L1231="真",M1231="真"),"TP",IF(AND(L1231="真",M1231="假"),"FP",IF(AND(L1231="假",M1231="真"),"FN","TN"))))))</f>
        <v/>
      </c>
      <c r="S1231" s="3" t="n"/>
      <c r="T1231" s="3" t="n"/>
      <c r="U1231" s="3" t="n"/>
      <c r="V1231" s="3" t="n"/>
    </row>
    <row r="1232">
      <c r="A1232" s="3" t="n"/>
      <c r="B1232" s="3" t="n"/>
      <c r="C1232" s="3" t="n"/>
      <c r="D1232" s="4" t="n"/>
      <c r="E1232" s="3" t="n"/>
      <c r="F1232" s="3" t="n"/>
      <c r="G1232" s="3" t="n"/>
      <c r="H1232" s="3" t="n"/>
      <c r="I1232" s="3" t="n"/>
      <c r="J1232" s="3" t="n"/>
      <c r="K1232" s="3" t="n"/>
      <c r="L1232" s="3" t="n"/>
      <c r="M1232" s="3" t="n"/>
      <c r="N1232" s="3" t="n"/>
      <c r="O1232" s="3" t="n"/>
      <c r="P1232" s="3" t="n"/>
      <c r="Q1232" s="3" t="n"/>
      <c r="R1232" s="5">
        <f>IF(Q1232&lt;&gt;"是","排除",IF(OR(L1232="",M1232=""),"",IF(OR(L1232="未知",M1232="未知"),"未知",IF(AND(L1232="真",M1232="真"),"TP",IF(AND(L1232="真",M1232="假"),"FP",IF(AND(L1232="假",M1232="真"),"FN","TN"))))))</f>
        <v/>
      </c>
      <c r="S1232" s="3" t="n"/>
      <c r="T1232" s="3" t="n"/>
      <c r="U1232" s="3" t="n"/>
      <c r="V1232" s="3" t="n"/>
    </row>
    <row r="1233">
      <c r="A1233" s="3" t="n"/>
      <c r="B1233" s="3" t="n"/>
      <c r="C1233" s="3" t="n"/>
      <c r="D1233" s="4" t="n"/>
      <c r="E1233" s="3" t="n"/>
      <c r="F1233" s="3" t="n"/>
      <c r="G1233" s="3" t="n"/>
      <c r="H1233" s="3" t="n"/>
      <c r="I1233" s="3" t="n"/>
      <c r="J1233" s="3" t="n"/>
      <c r="K1233" s="3" t="n"/>
      <c r="L1233" s="3" t="n"/>
      <c r="M1233" s="3" t="n"/>
      <c r="N1233" s="3" t="n"/>
      <c r="O1233" s="3" t="n"/>
      <c r="P1233" s="3" t="n"/>
      <c r="Q1233" s="3" t="n"/>
      <c r="R1233" s="5">
        <f>IF(Q1233&lt;&gt;"是","排除",IF(OR(L1233="",M1233=""),"",IF(OR(L1233="未知",M1233="未知"),"未知",IF(AND(L1233="真",M1233="真"),"TP",IF(AND(L1233="真",M1233="假"),"FP",IF(AND(L1233="假",M1233="真"),"FN","TN"))))))</f>
        <v/>
      </c>
      <c r="S1233" s="3" t="n"/>
      <c r="T1233" s="3" t="n"/>
      <c r="U1233" s="3" t="n"/>
      <c r="V1233" s="3" t="n"/>
    </row>
    <row r="1234">
      <c r="A1234" s="3" t="n"/>
      <c r="B1234" s="3" t="n"/>
      <c r="C1234" s="3" t="n"/>
      <c r="D1234" s="4" t="n"/>
      <c r="E1234" s="3" t="n"/>
      <c r="F1234" s="3" t="n"/>
      <c r="G1234" s="3" t="n"/>
      <c r="H1234" s="3" t="n"/>
      <c r="I1234" s="3" t="n"/>
      <c r="J1234" s="3" t="n"/>
      <c r="K1234" s="3" t="n"/>
      <c r="L1234" s="3" t="n"/>
      <c r="M1234" s="3" t="n"/>
      <c r="N1234" s="3" t="n"/>
      <c r="O1234" s="3" t="n"/>
      <c r="P1234" s="3" t="n"/>
      <c r="Q1234" s="3" t="n"/>
      <c r="R1234" s="5">
        <f>IF(Q1234&lt;&gt;"是","排除",IF(OR(L1234="",M1234=""),"",IF(OR(L1234="未知",M1234="未知"),"未知",IF(AND(L1234="真",M1234="真"),"TP",IF(AND(L1234="真",M1234="假"),"FP",IF(AND(L1234="假",M1234="真"),"FN","TN"))))))</f>
        <v/>
      </c>
      <c r="S1234" s="3" t="n"/>
      <c r="T1234" s="3" t="n"/>
      <c r="U1234" s="3" t="n"/>
      <c r="V1234" s="3" t="n"/>
    </row>
    <row r="1235">
      <c r="A1235" s="3" t="n"/>
      <c r="B1235" s="3" t="n"/>
      <c r="C1235" s="3" t="n"/>
      <c r="D1235" s="4" t="n"/>
      <c r="E1235" s="3" t="n"/>
      <c r="F1235" s="3" t="n"/>
      <c r="G1235" s="3" t="n"/>
      <c r="H1235" s="3" t="n"/>
      <c r="I1235" s="3" t="n"/>
      <c r="J1235" s="3" t="n"/>
      <c r="K1235" s="3" t="n"/>
      <c r="L1235" s="3" t="n"/>
      <c r="M1235" s="3" t="n"/>
      <c r="N1235" s="3" t="n"/>
      <c r="O1235" s="3" t="n"/>
      <c r="P1235" s="3" t="n"/>
      <c r="Q1235" s="3" t="n"/>
      <c r="R1235" s="5">
        <f>IF(Q1235&lt;&gt;"是","排除",IF(OR(L1235="",M1235=""),"",IF(OR(L1235="未知",M1235="未知"),"未知",IF(AND(L1235="真",M1235="真"),"TP",IF(AND(L1235="真",M1235="假"),"FP",IF(AND(L1235="假",M1235="真"),"FN","TN"))))))</f>
        <v/>
      </c>
      <c r="S1235" s="3" t="n"/>
      <c r="T1235" s="3" t="n"/>
      <c r="U1235" s="3" t="n"/>
      <c r="V1235" s="3" t="n"/>
    </row>
    <row r="1236">
      <c r="A1236" s="3" t="n"/>
      <c r="B1236" s="3" t="n"/>
      <c r="C1236" s="3" t="n"/>
      <c r="D1236" s="4" t="n"/>
      <c r="E1236" s="3" t="n"/>
      <c r="F1236" s="3" t="n"/>
      <c r="G1236" s="3" t="n"/>
      <c r="H1236" s="3" t="n"/>
      <c r="I1236" s="3" t="n"/>
      <c r="J1236" s="3" t="n"/>
      <c r="K1236" s="3" t="n"/>
      <c r="L1236" s="3" t="n"/>
      <c r="M1236" s="3" t="n"/>
      <c r="N1236" s="3" t="n"/>
      <c r="O1236" s="3" t="n"/>
      <c r="P1236" s="3" t="n"/>
      <c r="Q1236" s="3" t="n"/>
      <c r="R1236" s="5">
        <f>IF(Q1236&lt;&gt;"是","排除",IF(OR(L1236="",M1236=""),"",IF(OR(L1236="未知",M1236="未知"),"未知",IF(AND(L1236="真",M1236="真"),"TP",IF(AND(L1236="真",M1236="假"),"FP",IF(AND(L1236="假",M1236="真"),"FN","TN"))))))</f>
        <v/>
      </c>
      <c r="S1236" s="3" t="n"/>
      <c r="T1236" s="3" t="n"/>
      <c r="U1236" s="3" t="n"/>
      <c r="V1236" s="3" t="n"/>
    </row>
    <row r="1237">
      <c r="A1237" s="3" t="n"/>
      <c r="B1237" s="3" t="n"/>
      <c r="C1237" s="3" t="n"/>
      <c r="D1237" s="4" t="n"/>
      <c r="E1237" s="3" t="n"/>
      <c r="F1237" s="3" t="n"/>
      <c r="G1237" s="3" t="n"/>
      <c r="H1237" s="3" t="n"/>
      <c r="I1237" s="3" t="n"/>
      <c r="J1237" s="3" t="n"/>
      <c r="K1237" s="3" t="n"/>
      <c r="L1237" s="3" t="n"/>
      <c r="M1237" s="3" t="n"/>
      <c r="N1237" s="3" t="n"/>
      <c r="O1237" s="3" t="n"/>
      <c r="P1237" s="3" t="n"/>
      <c r="Q1237" s="3" t="n"/>
      <c r="R1237" s="5">
        <f>IF(Q1237&lt;&gt;"是","排除",IF(OR(L1237="",M1237=""),"",IF(OR(L1237="未知",M1237="未知"),"未知",IF(AND(L1237="真",M1237="真"),"TP",IF(AND(L1237="真",M1237="假"),"FP",IF(AND(L1237="假",M1237="真"),"FN","TN"))))))</f>
        <v/>
      </c>
      <c r="S1237" s="3" t="n"/>
      <c r="T1237" s="3" t="n"/>
      <c r="U1237" s="3" t="n"/>
      <c r="V1237" s="3" t="n"/>
    </row>
    <row r="1238">
      <c r="A1238" s="3" t="n"/>
      <c r="B1238" s="3" t="n"/>
      <c r="C1238" s="3" t="n"/>
      <c r="D1238" s="4" t="n"/>
      <c r="E1238" s="3" t="n"/>
      <c r="F1238" s="3" t="n"/>
      <c r="G1238" s="3" t="n"/>
      <c r="H1238" s="3" t="n"/>
      <c r="I1238" s="3" t="n"/>
      <c r="J1238" s="3" t="n"/>
      <c r="K1238" s="3" t="n"/>
      <c r="L1238" s="3" t="n"/>
      <c r="M1238" s="3" t="n"/>
      <c r="N1238" s="3" t="n"/>
      <c r="O1238" s="3" t="n"/>
      <c r="P1238" s="3" t="n"/>
      <c r="Q1238" s="3" t="n"/>
      <c r="R1238" s="5">
        <f>IF(Q1238&lt;&gt;"是","排除",IF(OR(L1238="",M1238=""),"",IF(OR(L1238="未知",M1238="未知"),"未知",IF(AND(L1238="真",M1238="真"),"TP",IF(AND(L1238="真",M1238="假"),"FP",IF(AND(L1238="假",M1238="真"),"FN","TN"))))))</f>
        <v/>
      </c>
      <c r="S1238" s="3" t="n"/>
      <c r="T1238" s="3" t="n"/>
      <c r="U1238" s="3" t="n"/>
      <c r="V1238" s="3" t="n"/>
    </row>
    <row r="1239">
      <c r="A1239" s="3" t="n"/>
      <c r="B1239" s="3" t="n"/>
      <c r="C1239" s="3" t="n"/>
      <c r="D1239" s="4" t="n"/>
      <c r="E1239" s="3" t="n"/>
      <c r="F1239" s="3" t="n"/>
      <c r="G1239" s="3" t="n"/>
      <c r="H1239" s="3" t="n"/>
      <c r="I1239" s="3" t="n"/>
      <c r="J1239" s="3" t="n"/>
      <c r="K1239" s="3" t="n"/>
      <c r="L1239" s="3" t="n"/>
      <c r="M1239" s="3" t="n"/>
      <c r="N1239" s="3" t="n"/>
      <c r="O1239" s="3" t="n"/>
      <c r="P1239" s="3" t="n"/>
      <c r="Q1239" s="3" t="n"/>
      <c r="R1239" s="5">
        <f>IF(Q1239&lt;&gt;"是","排除",IF(OR(L1239="",M1239=""),"",IF(OR(L1239="未知",M1239="未知"),"未知",IF(AND(L1239="真",M1239="真"),"TP",IF(AND(L1239="真",M1239="假"),"FP",IF(AND(L1239="假",M1239="真"),"FN","TN"))))))</f>
        <v/>
      </c>
      <c r="S1239" s="3" t="n"/>
      <c r="T1239" s="3" t="n"/>
      <c r="U1239" s="3" t="n"/>
      <c r="V1239" s="3" t="n"/>
    </row>
    <row r="1240">
      <c r="A1240" s="3" t="n"/>
      <c r="B1240" s="3" t="n"/>
      <c r="C1240" s="3" t="n"/>
      <c r="D1240" s="4" t="n"/>
      <c r="E1240" s="3" t="n"/>
      <c r="F1240" s="3" t="n"/>
      <c r="G1240" s="3" t="n"/>
      <c r="H1240" s="3" t="n"/>
      <c r="I1240" s="3" t="n"/>
      <c r="J1240" s="3" t="n"/>
      <c r="K1240" s="3" t="n"/>
      <c r="L1240" s="3" t="n"/>
      <c r="M1240" s="3" t="n"/>
      <c r="N1240" s="3" t="n"/>
      <c r="O1240" s="3" t="n"/>
      <c r="P1240" s="3" t="n"/>
      <c r="Q1240" s="3" t="n"/>
      <c r="R1240" s="5">
        <f>IF(Q1240&lt;&gt;"是","排除",IF(OR(L1240="",M1240=""),"",IF(OR(L1240="未知",M1240="未知"),"未知",IF(AND(L1240="真",M1240="真"),"TP",IF(AND(L1240="真",M1240="假"),"FP",IF(AND(L1240="假",M1240="真"),"FN","TN"))))))</f>
        <v/>
      </c>
      <c r="S1240" s="3" t="n"/>
      <c r="T1240" s="3" t="n"/>
      <c r="U1240" s="3" t="n"/>
      <c r="V1240" s="3" t="n"/>
    </row>
    <row r="1241">
      <c r="A1241" s="3" t="n"/>
      <c r="B1241" s="3" t="n"/>
      <c r="C1241" s="3" t="n"/>
      <c r="D1241" s="4" t="n"/>
      <c r="E1241" s="3" t="n"/>
      <c r="F1241" s="3" t="n"/>
      <c r="G1241" s="3" t="n"/>
      <c r="H1241" s="3" t="n"/>
      <c r="I1241" s="3" t="n"/>
      <c r="J1241" s="3" t="n"/>
      <c r="K1241" s="3" t="n"/>
      <c r="L1241" s="3" t="n"/>
      <c r="M1241" s="3" t="n"/>
      <c r="N1241" s="3" t="n"/>
      <c r="O1241" s="3" t="n"/>
      <c r="P1241" s="3" t="n"/>
      <c r="Q1241" s="3" t="n"/>
      <c r="R1241" s="5">
        <f>IF(Q1241&lt;&gt;"是","排除",IF(OR(L1241="",M1241=""),"",IF(OR(L1241="未知",M1241="未知"),"未知",IF(AND(L1241="真",M1241="真"),"TP",IF(AND(L1241="真",M1241="假"),"FP",IF(AND(L1241="假",M1241="真"),"FN","TN"))))))</f>
        <v/>
      </c>
      <c r="S1241" s="3" t="n"/>
      <c r="T1241" s="3" t="n"/>
      <c r="U1241" s="3" t="n"/>
      <c r="V1241" s="3" t="n"/>
    </row>
    <row r="1242">
      <c r="A1242" s="3" t="n"/>
      <c r="B1242" s="3" t="n"/>
      <c r="C1242" s="3" t="n"/>
      <c r="D1242" s="4" t="n"/>
      <c r="E1242" s="3" t="n"/>
      <c r="F1242" s="3" t="n"/>
      <c r="G1242" s="3" t="n"/>
      <c r="H1242" s="3" t="n"/>
      <c r="I1242" s="3" t="n"/>
      <c r="J1242" s="3" t="n"/>
      <c r="K1242" s="3" t="n"/>
      <c r="L1242" s="3" t="n"/>
      <c r="M1242" s="3" t="n"/>
      <c r="N1242" s="3" t="n"/>
      <c r="O1242" s="3" t="n"/>
      <c r="P1242" s="3" t="n"/>
      <c r="Q1242" s="3" t="n"/>
      <c r="R1242" s="5">
        <f>IF(Q1242&lt;&gt;"是","排除",IF(OR(L1242="",M1242=""),"",IF(OR(L1242="未知",M1242="未知"),"未知",IF(AND(L1242="真",M1242="真"),"TP",IF(AND(L1242="真",M1242="假"),"FP",IF(AND(L1242="假",M1242="真"),"FN","TN"))))))</f>
        <v/>
      </c>
      <c r="S1242" s="3" t="n"/>
      <c r="T1242" s="3" t="n"/>
      <c r="U1242" s="3" t="n"/>
      <c r="V1242" s="3" t="n"/>
    </row>
    <row r="1243">
      <c r="A1243" s="3" t="n"/>
      <c r="B1243" s="3" t="n"/>
      <c r="C1243" s="3" t="n"/>
      <c r="D1243" s="4" t="n"/>
      <c r="E1243" s="3" t="n"/>
      <c r="F1243" s="3" t="n"/>
      <c r="G1243" s="3" t="n"/>
      <c r="H1243" s="3" t="n"/>
      <c r="I1243" s="3" t="n"/>
      <c r="J1243" s="3" t="n"/>
      <c r="K1243" s="3" t="n"/>
      <c r="L1243" s="3" t="n"/>
      <c r="M1243" s="3" t="n"/>
      <c r="N1243" s="3" t="n"/>
      <c r="O1243" s="3" t="n"/>
      <c r="P1243" s="3" t="n"/>
      <c r="Q1243" s="3" t="n"/>
      <c r="R1243" s="5">
        <f>IF(Q1243&lt;&gt;"是","排除",IF(OR(L1243="",M1243=""),"",IF(OR(L1243="未知",M1243="未知"),"未知",IF(AND(L1243="真",M1243="真"),"TP",IF(AND(L1243="真",M1243="假"),"FP",IF(AND(L1243="假",M1243="真"),"FN","TN"))))))</f>
        <v/>
      </c>
      <c r="S1243" s="3" t="n"/>
      <c r="T1243" s="3" t="n"/>
      <c r="U1243" s="3" t="n"/>
      <c r="V1243" s="3" t="n"/>
    </row>
    <row r="1244">
      <c r="A1244" s="3" t="n"/>
      <c r="B1244" s="3" t="n"/>
      <c r="C1244" s="3" t="n"/>
      <c r="D1244" s="4" t="n"/>
      <c r="E1244" s="3" t="n"/>
      <c r="F1244" s="3" t="n"/>
      <c r="G1244" s="3" t="n"/>
      <c r="H1244" s="3" t="n"/>
      <c r="I1244" s="3" t="n"/>
      <c r="J1244" s="3" t="n"/>
      <c r="K1244" s="3" t="n"/>
      <c r="L1244" s="3" t="n"/>
      <c r="M1244" s="3" t="n"/>
      <c r="N1244" s="3" t="n"/>
      <c r="O1244" s="3" t="n"/>
      <c r="P1244" s="3" t="n"/>
      <c r="Q1244" s="3" t="n"/>
      <c r="R1244" s="5">
        <f>IF(Q1244&lt;&gt;"是","排除",IF(OR(L1244="",M1244=""),"",IF(OR(L1244="未知",M1244="未知"),"未知",IF(AND(L1244="真",M1244="真"),"TP",IF(AND(L1244="真",M1244="假"),"FP",IF(AND(L1244="假",M1244="真"),"FN","TN"))))))</f>
        <v/>
      </c>
      <c r="S1244" s="3" t="n"/>
      <c r="T1244" s="3" t="n"/>
      <c r="U1244" s="3" t="n"/>
      <c r="V1244" s="3" t="n"/>
    </row>
    <row r="1245">
      <c r="A1245" s="3" t="n"/>
      <c r="B1245" s="3" t="n"/>
      <c r="C1245" s="3" t="n"/>
      <c r="D1245" s="4" t="n"/>
      <c r="E1245" s="3" t="n"/>
      <c r="F1245" s="3" t="n"/>
      <c r="G1245" s="3" t="n"/>
      <c r="H1245" s="3" t="n"/>
      <c r="I1245" s="3" t="n"/>
      <c r="J1245" s="3" t="n"/>
      <c r="K1245" s="3" t="n"/>
      <c r="L1245" s="3" t="n"/>
      <c r="M1245" s="3" t="n"/>
      <c r="N1245" s="3" t="n"/>
      <c r="O1245" s="3" t="n"/>
      <c r="P1245" s="3" t="n"/>
      <c r="Q1245" s="3" t="n"/>
      <c r="R1245" s="5">
        <f>IF(Q1245&lt;&gt;"是","排除",IF(OR(L1245="",M1245=""),"",IF(OR(L1245="未知",M1245="未知"),"未知",IF(AND(L1245="真",M1245="真"),"TP",IF(AND(L1245="真",M1245="假"),"FP",IF(AND(L1245="假",M1245="真"),"FN","TN"))))))</f>
        <v/>
      </c>
      <c r="S1245" s="3" t="n"/>
      <c r="T1245" s="3" t="n"/>
      <c r="U1245" s="3" t="n"/>
      <c r="V1245" s="3" t="n"/>
    </row>
    <row r="1246">
      <c r="A1246" s="3" t="n"/>
      <c r="B1246" s="3" t="n"/>
      <c r="C1246" s="3" t="n"/>
      <c r="D1246" s="4" t="n"/>
      <c r="E1246" s="3" t="n"/>
      <c r="F1246" s="3" t="n"/>
      <c r="G1246" s="3" t="n"/>
      <c r="H1246" s="3" t="n"/>
      <c r="I1246" s="3" t="n"/>
      <c r="J1246" s="3" t="n"/>
      <c r="K1246" s="3" t="n"/>
      <c r="L1246" s="3" t="n"/>
      <c r="M1246" s="3" t="n"/>
      <c r="N1246" s="3" t="n"/>
      <c r="O1246" s="3" t="n"/>
      <c r="P1246" s="3" t="n"/>
      <c r="Q1246" s="3" t="n"/>
      <c r="R1246" s="5">
        <f>IF(Q1246&lt;&gt;"是","排除",IF(OR(L1246="",M1246=""),"",IF(OR(L1246="未知",M1246="未知"),"未知",IF(AND(L1246="真",M1246="真"),"TP",IF(AND(L1246="真",M1246="假"),"FP",IF(AND(L1246="假",M1246="真"),"FN","TN"))))))</f>
        <v/>
      </c>
      <c r="S1246" s="3" t="n"/>
      <c r="T1246" s="3" t="n"/>
      <c r="U1246" s="3" t="n"/>
      <c r="V1246" s="3" t="n"/>
    </row>
    <row r="1247">
      <c r="A1247" s="3" t="n"/>
      <c r="B1247" s="3" t="n"/>
      <c r="C1247" s="3" t="n"/>
      <c r="D1247" s="4" t="n"/>
      <c r="E1247" s="3" t="n"/>
      <c r="F1247" s="3" t="n"/>
      <c r="G1247" s="3" t="n"/>
      <c r="H1247" s="3" t="n"/>
      <c r="I1247" s="3" t="n"/>
      <c r="J1247" s="3" t="n"/>
      <c r="K1247" s="3" t="n"/>
      <c r="L1247" s="3" t="n"/>
      <c r="M1247" s="3" t="n"/>
      <c r="N1247" s="3" t="n"/>
      <c r="O1247" s="3" t="n"/>
      <c r="P1247" s="3" t="n"/>
      <c r="Q1247" s="3" t="n"/>
      <c r="R1247" s="5">
        <f>IF(Q1247&lt;&gt;"是","排除",IF(OR(L1247="",M1247=""),"",IF(OR(L1247="未知",M1247="未知"),"未知",IF(AND(L1247="真",M1247="真"),"TP",IF(AND(L1247="真",M1247="假"),"FP",IF(AND(L1247="假",M1247="真"),"FN","TN"))))))</f>
        <v/>
      </c>
      <c r="S1247" s="3" t="n"/>
      <c r="T1247" s="3" t="n"/>
      <c r="U1247" s="3" t="n"/>
      <c r="V1247" s="3" t="n"/>
    </row>
    <row r="1248">
      <c r="A1248" s="3" t="n"/>
      <c r="B1248" s="3" t="n"/>
      <c r="C1248" s="3" t="n"/>
      <c r="D1248" s="4" t="n"/>
      <c r="E1248" s="3" t="n"/>
      <c r="F1248" s="3" t="n"/>
      <c r="G1248" s="3" t="n"/>
      <c r="H1248" s="3" t="n"/>
      <c r="I1248" s="3" t="n"/>
      <c r="J1248" s="3" t="n"/>
      <c r="K1248" s="3" t="n"/>
      <c r="L1248" s="3" t="n"/>
      <c r="M1248" s="3" t="n"/>
      <c r="N1248" s="3" t="n"/>
      <c r="O1248" s="3" t="n"/>
      <c r="P1248" s="3" t="n"/>
      <c r="Q1248" s="3" t="n"/>
      <c r="R1248" s="5">
        <f>IF(Q1248&lt;&gt;"是","排除",IF(OR(L1248="",M1248=""),"",IF(OR(L1248="未知",M1248="未知"),"未知",IF(AND(L1248="真",M1248="真"),"TP",IF(AND(L1248="真",M1248="假"),"FP",IF(AND(L1248="假",M1248="真"),"FN","TN"))))))</f>
        <v/>
      </c>
      <c r="S1248" s="3" t="n"/>
      <c r="T1248" s="3" t="n"/>
      <c r="U1248" s="3" t="n"/>
      <c r="V1248" s="3" t="n"/>
    </row>
    <row r="1249">
      <c r="A1249" s="3" t="n"/>
      <c r="B1249" s="3" t="n"/>
      <c r="C1249" s="3" t="n"/>
      <c r="D1249" s="4" t="n"/>
      <c r="E1249" s="3" t="n"/>
      <c r="F1249" s="3" t="n"/>
      <c r="G1249" s="3" t="n"/>
      <c r="H1249" s="3" t="n"/>
      <c r="I1249" s="3" t="n"/>
      <c r="J1249" s="3" t="n"/>
      <c r="K1249" s="3" t="n"/>
      <c r="L1249" s="3" t="n"/>
      <c r="M1249" s="3" t="n"/>
      <c r="N1249" s="3" t="n"/>
      <c r="O1249" s="3" t="n"/>
      <c r="P1249" s="3" t="n"/>
      <c r="Q1249" s="3" t="n"/>
      <c r="R1249" s="5">
        <f>IF(Q1249&lt;&gt;"是","排除",IF(OR(L1249="",M1249=""),"",IF(OR(L1249="未知",M1249="未知"),"未知",IF(AND(L1249="真",M1249="真"),"TP",IF(AND(L1249="真",M1249="假"),"FP",IF(AND(L1249="假",M1249="真"),"FN","TN"))))))</f>
        <v/>
      </c>
      <c r="S1249" s="3" t="n"/>
      <c r="T1249" s="3" t="n"/>
      <c r="U1249" s="3" t="n"/>
      <c r="V1249" s="3" t="n"/>
    </row>
    <row r="1250">
      <c r="A1250" s="3" t="n"/>
      <c r="B1250" s="3" t="n"/>
      <c r="C1250" s="3" t="n"/>
      <c r="D1250" s="4" t="n"/>
      <c r="E1250" s="3" t="n"/>
      <c r="F1250" s="3" t="n"/>
      <c r="G1250" s="3" t="n"/>
      <c r="H1250" s="3" t="n"/>
      <c r="I1250" s="3" t="n"/>
      <c r="J1250" s="3" t="n"/>
      <c r="K1250" s="3" t="n"/>
      <c r="L1250" s="3" t="n"/>
      <c r="M1250" s="3" t="n"/>
      <c r="N1250" s="3" t="n"/>
      <c r="O1250" s="3" t="n"/>
      <c r="P1250" s="3" t="n"/>
      <c r="Q1250" s="3" t="n"/>
      <c r="R1250" s="5">
        <f>IF(Q1250&lt;&gt;"是","排除",IF(OR(L1250="",M1250=""),"",IF(OR(L1250="未知",M1250="未知"),"未知",IF(AND(L1250="真",M1250="真"),"TP",IF(AND(L1250="真",M1250="假"),"FP",IF(AND(L1250="假",M1250="真"),"FN","TN"))))))</f>
        <v/>
      </c>
      <c r="S1250" s="3" t="n"/>
      <c r="T1250" s="3" t="n"/>
      <c r="U1250" s="3" t="n"/>
      <c r="V1250" s="3" t="n"/>
    </row>
    <row r="1251">
      <c r="A1251" s="3" t="n"/>
      <c r="B1251" s="3" t="n"/>
      <c r="C1251" s="3" t="n"/>
      <c r="D1251" s="4" t="n"/>
      <c r="E1251" s="3" t="n"/>
      <c r="F1251" s="3" t="n"/>
      <c r="G1251" s="3" t="n"/>
      <c r="H1251" s="3" t="n"/>
      <c r="I1251" s="3" t="n"/>
      <c r="J1251" s="3" t="n"/>
      <c r="K1251" s="3" t="n"/>
      <c r="L1251" s="3" t="n"/>
      <c r="M1251" s="3" t="n"/>
      <c r="N1251" s="3" t="n"/>
      <c r="O1251" s="3" t="n"/>
      <c r="P1251" s="3" t="n"/>
      <c r="Q1251" s="3" t="n"/>
      <c r="R1251" s="5">
        <f>IF(Q1251&lt;&gt;"是","排除",IF(OR(L1251="",M1251=""),"",IF(OR(L1251="未知",M1251="未知"),"未知",IF(AND(L1251="真",M1251="真"),"TP",IF(AND(L1251="真",M1251="假"),"FP",IF(AND(L1251="假",M1251="真"),"FN","TN"))))))</f>
        <v/>
      </c>
      <c r="S1251" s="3" t="n"/>
      <c r="T1251" s="3" t="n"/>
      <c r="U1251" s="3" t="n"/>
      <c r="V1251" s="3" t="n"/>
    </row>
    <row r="1252">
      <c r="A1252" s="3" t="n"/>
      <c r="B1252" s="3" t="n"/>
      <c r="C1252" s="3" t="n"/>
      <c r="D1252" s="4" t="n"/>
      <c r="E1252" s="3" t="n"/>
      <c r="F1252" s="3" t="n"/>
      <c r="G1252" s="3" t="n"/>
      <c r="H1252" s="3" t="n"/>
      <c r="I1252" s="3" t="n"/>
      <c r="J1252" s="3" t="n"/>
      <c r="K1252" s="3" t="n"/>
      <c r="L1252" s="3" t="n"/>
      <c r="M1252" s="3" t="n"/>
      <c r="N1252" s="3" t="n"/>
      <c r="O1252" s="3" t="n"/>
      <c r="P1252" s="3" t="n"/>
      <c r="Q1252" s="3" t="n"/>
      <c r="R1252" s="5">
        <f>IF(Q1252&lt;&gt;"是","排除",IF(OR(L1252="",M1252=""),"",IF(OR(L1252="未知",M1252="未知"),"未知",IF(AND(L1252="真",M1252="真"),"TP",IF(AND(L1252="真",M1252="假"),"FP",IF(AND(L1252="假",M1252="真"),"FN","TN"))))))</f>
        <v/>
      </c>
      <c r="S1252" s="3" t="n"/>
      <c r="T1252" s="3" t="n"/>
      <c r="U1252" s="3" t="n"/>
      <c r="V1252" s="3" t="n"/>
    </row>
    <row r="1253">
      <c r="A1253" s="3" t="n"/>
      <c r="B1253" s="3" t="n"/>
      <c r="C1253" s="3" t="n"/>
      <c r="D1253" s="4" t="n"/>
      <c r="E1253" s="3" t="n"/>
      <c r="F1253" s="3" t="n"/>
      <c r="G1253" s="3" t="n"/>
      <c r="H1253" s="3" t="n"/>
      <c r="I1253" s="3" t="n"/>
      <c r="J1253" s="3" t="n"/>
      <c r="K1253" s="3" t="n"/>
      <c r="L1253" s="3" t="n"/>
      <c r="M1253" s="3" t="n"/>
      <c r="N1253" s="3" t="n"/>
      <c r="O1253" s="3" t="n"/>
      <c r="P1253" s="3" t="n"/>
      <c r="Q1253" s="3" t="n"/>
      <c r="R1253" s="5">
        <f>IF(Q1253&lt;&gt;"是","排除",IF(OR(L1253="",M1253=""),"",IF(OR(L1253="未知",M1253="未知"),"未知",IF(AND(L1253="真",M1253="真"),"TP",IF(AND(L1253="真",M1253="假"),"FP",IF(AND(L1253="假",M1253="真"),"FN","TN"))))))</f>
        <v/>
      </c>
      <c r="S1253" s="3" t="n"/>
      <c r="T1253" s="3" t="n"/>
      <c r="U1253" s="3" t="n"/>
      <c r="V1253" s="3" t="n"/>
    </row>
    <row r="1254">
      <c r="A1254" s="3" t="n"/>
      <c r="B1254" s="3" t="n"/>
      <c r="C1254" s="3" t="n"/>
      <c r="D1254" s="4" t="n"/>
      <c r="E1254" s="3" t="n"/>
      <c r="F1254" s="3" t="n"/>
      <c r="G1254" s="3" t="n"/>
      <c r="H1254" s="3" t="n"/>
      <c r="I1254" s="3" t="n"/>
      <c r="J1254" s="3" t="n"/>
      <c r="K1254" s="3" t="n"/>
      <c r="L1254" s="3" t="n"/>
      <c r="M1254" s="3" t="n"/>
      <c r="N1254" s="3" t="n"/>
      <c r="O1254" s="3" t="n"/>
      <c r="P1254" s="3" t="n"/>
      <c r="Q1254" s="3" t="n"/>
      <c r="R1254" s="5">
        <f>IF(Q1254&lt;&gt;"是","排除",IF(OR(L1254="",M1254=""),"",IF(OR(L1254="未知",M1254="未知"),"未知",IF(AND(L1254="真",M1254="真"),"TP",IF(AND(L1254="真",M1254="假"),"FP",IF(AND(L1254="假",M1254="真"),"FN","TN"))))))</f>
        <v/>
      </c>
      <c r="S1254" s="3" t="n"/>
      <c r="T1254" s="3" t="n"/>
      <c r="U1254" s="3" t="n"/>
      <c r="V1254" s="3" t="n"/>
    </row>
    <row r="1255">
      <c r="A1255" s="3" t="n"/>
      <c r="B1255" s="3" t="n"/>
      <c r="C1255" s="3" t="n"/>
      <c r="D1255" s="4" t="n"/>
      <c r="E1255" s="3" t="n"/>
      <c r="F1255" s="3" t="n"/>
      <c r="G1255" s="3" t="n"/>
      <c r="H1255" s="3" t="n"/>
      <c r="I1255" s="3" t="n"/>
      <c r="J1255" s="3" t="n"/>
      <c r="K1255" s="3" t="n"/>
      <c r="L1255" s="3" t="n"/>
      <c r="M1255" s="3" t="n"/>
      <c r="N1255" s="3" t="n"/>
      <c r="O1255" s="3" t="n"/>
      <c r="P1255" s="3" t="n"/>
      <c r="Q1255" s="3" t="n"/>
      <c r="R1255" s="5">
        <f>IF(Q1255&lt;&gt;"是","排除",IF(OR(L1255="",M1255=""),"",IF(OR(L1255="未知",M1255="未知"),"未知",IF(AND(L1255="真",M1255="真"),"TP",IF(AND(L1255="真",M1255="假"),"FP",IF(AND(L1255="假",M1255="真"),"FN","TN"))))))</f>
        <v/>
      </c>
      <c r="S1255" s="3" t="n"/>
      <c r="T1255" s="3" t="n"/>
      <c r="U1255" s="3" t="n"/>
      <c r="V1255" s="3" t="n"/>
    </row>
    <row r="1256">
      <c r="A1256" s="3" t="n"/>
      <c r="B1256" s="3" t="n"/>
      <c r="C1256" s="3" t="n"/>
      <c r="D1256" s="4" t="n"/>
      <c r="E1256" s="3" t="n"/>
      <c r="F1256" s="3" t="n"/>
      <c r="G1256" s="3" t="n"/>
      <c r="H1256" s="3" t="n"/>
      <c r="I1256" s="3" t="n"/>
      <c r="J1256" s="3" t="n"/>
      <c r="K1256" s="3" t="n"/>
      <c r="L1256" s="3" t="n"/>
      <c r="M1256" s="3" t="n"/>
      <c r="N1256" s="3" t="n"/>
      <c r="O1256" s="3" t="n"/>
      <c r="P1256" s="3" t="n"/>
      <c r="Q1256" s="3" t="n"/>
      <c r="R1256" s="5">
        <f>IF(Q1256&lt;&gt;"是","排除",IF(OR(L1256="",M1256=""),"",IF(OR(L1256="未知",M1256="未知"),"未知",IF(AND(L1256="真",M1256="真"),"TP",IF(AND(L1256="真",M1256="假"),"FP",IF(AND(L1256="假",M1256="真"),"FN","TN"))))))</f>
        <v/>
      </c>
      <c r="S1256" s="3" t="n"/>
      <c r="T1256" s="3" t="n"/>
      <c r="U1256" s="3" t="n"/>
      <c r="V1256" s="3" t="n"/>
    </row>
    <row r="1257">
      <c r="A1257" s="3" t="n"/>
      <c r="B1257" s="3" t="n"/>
      <c r="C1257" s="3" t="n"/>
      <c r="D1257" s="4" t="n"/>
      <c r="E1257" s="3" t="n"/>
      <c r="F1257" s="3" t="n"/>
      <c r="G1257" s="3" t="n"/>
      <c r="H1257" s="3" t="n"/>
      <c r="I1257" s="3" t="n"/>
      <c r="J1257" s="3" t="n"/>
      <c r="K1257" s="3" t="n"/>
      <c r="L1257" s="3" t="n"/>
      <c r="M1257" s="3" t="n"/>
      <c r="N1257" s="3" t="n"/>
      <c r="O1257" s="3" t="n"/>
      <c r="P1257" s="3" t="n"/>
      <c r="Q1257" s="3" t="n"/>
      <c r="R1257" s="5">
        <f>IF(Q1257&lt;&gt;"是","排除",IF(OR(L1257="",M1257=""),"",IF(OR(L1257="未知",M1257="未知"),"未知",IF(AND(L1257="真",M1257="真"),"TP",IF(AND(L1257="真",M1257="假"),"FP",IF(AND(L1257="假",M1257="真"),"FN","TN"))))))</f>
        <v/>
      </c>
      <c r="S1257" s="3" t="n"/>
      <c r="T1257" s="3" t="n"/>
      <c r="U1257" s="3" t="n"/>
      <c r="V1257" s="3" t="n"/>
    </row>
    <row r="1258">
      <c r="A1258" s="3" t="n"/>
      <c r="B1258" s="3" t="n"/>
      <c r="C1258" s="3" t="n"/>
      <c r="D1258" s="4" t="n"/>
      <c r="E1258" s="3" t="n"/>
      <c r="F1258" s="3" t="n"/>
      <c r="G1258" s="3" t="n"/>
      <c r="H1258" s="3" t="n"/>
      <c r="I1258" s="3" t="n"/>
      <c r="J1258" s="3" t="n"/>
      <c r="K1258" s="3" t="n"/>
      <c r="L1258" s="3" t="n"/>
      <c r="M1258" s="3" t="n"/>
      <c r="N1258" s="3" t="n"/>
      <c r="O1258" s="3" t="n"/>
      <c r="P1258" s="3" t="n"/>
      <c r="Q1258" s="3" t="n"/>
      <c r="R1258" s="5">
        <f>IF(Q1258&lt;&gt;"是","排除",IF(OR(L1258="",M1258=""),"",IF(OR(L1258="未知",M1258="未知"),"未知",IF(AND(L1258="真",M1258="真"),"TP",IF(AND(L1258="真",M1258="假"),"FP",IF(AND(L1258="假",M1258="真"),"FN","TN"))))))</f>
        <v/>
      </c>
      <c r="S1258" s="3" t="n"/>
      <c r="T1258" s="3" t="n"/>
      <c r="U1258" s="3" t="n"/>
      <c r="V1258" s="3" t="n"/>
    </row>
    <row r="1259">
      <c r="A1259" s="3" t="n"/>
      <c r="B1259" s="3" t="n"/>
      <c r="C1259" s="3" t="n"/>
      <c r="D1259" s="4" t="n"/>
      <c r="E1259" s="3" t="n"/>
      <c r="F1259" s="3" t="n"/>
      <c r="G1259" s="3" t="n"/>
      <c r="H1259" s="3" t="n"/>
      <c r="I1259" s="3" t="n"/>
      <c r="J1259" s="3" t="n"/>
      <c r="K1259" s="3" t="n"/>
      <c r="L1259" s="3" t="n"/>
      <c r="M1259" s="3" t="n"/>
      <c r="N1259" s="3" t="n"/>
      <c r="O1259" s="3" t="n"/>
      <c r="P1259" s="3" t="n"/>
      <c r="Q1259" s="3" t="n"/>
      <c r="R1259" s="5">
        <f>IF(Q1259&lt;&gt;"是","排除",IF(OR(L1259="",M1259=""),"",IF(OR(L1259="未知",M1259="未知"),"未知",IF(AND(L1259="真",M1259="真"),"TP",IF(AND(L1259="真",M1259="假"),"FP",IF(AND(L1259="假",M1259="真"),"FN","TN"))))))</f>
        <v/>
      </c>
      <c r="S1259" s="3" t="n"/>
      <c r="T1259" s="3" t="n"/>
      <c r="U1259" s="3" t="n"/>
      <c r="V1259" s="3" t="n"/>
    </row>
    <row r="1260">
      <c r="A1260" s="3" t="n"/>
      <c r="B1260" s="3" t="n"/>
      <c r="C1260" s="3" t="n"/>
      <c r="D1260" s="4" t="n"/>
      <c r="E1260" s="3" t="n"/>
      <c r="F1260" s="3" t="n"/>
      <c r="G1260" s="3" t="n"/>
      <c r="H1260" s="3" t="n"/>
      <c r="I1260" s="3" t="n"/>
      <c r="J1260" s="3" t="n"/>
      <c r="K1260" s="3" t="n"/>
      <c r="L1260" s="3" t="n"/>
      <c r="M1260" s="3" t="n"/>
      <c r="N1260" s="3" t="n"/>
      <c r="O1260" s="3" t="n"/>
      <c r="P1260" s="3" t="n"/>
      <c r="Q1260" s="3" t="n"/>
      <c r="R1260" s="5">
        <f>IF(Q1260&lt;&gt;"是","排除",IF(OR(L1260="",M1260=""),"",IF(OR(L1260="未知",M1260="未知"),"未知",IF(AND(L1260="真",M1260="真"),"TP",IF(AND(L1260="真",M1260="假"),"FP",IF(AND(L1260="假",M1260="真"),"FN","TN"))))))</f>
        <v/>
      </c>
      <c r="S1260" s="3" t="n"/>
      <c r="T1260" s="3" t="n"/>
      <c r="U1260" s="3" t="n"/>
      <c r="V1260" s="3" t="n"/>
    </row>
    <row r="1261">
      <c r="A1261" s="3" t="n"/>
      <c r="B1261" s="3" t="n"/>
      <c r="C1261" s="3" t="n"/>
      <c r="D1261" s="4" t="n"/>
      <c r="E1261" s="3" t="n"/>
      <c r="F1261" s="3" t="n"/>
      <c r="G1261" s="3" t="n"/>
      <c r="H1261" s="3" t="n"/>
      <c r="I1261" s="3" t="n"/>
      <c r="J1261" s="3" t="n"/>
      <c r="K1261" s="3" t="n"/>
      <c r="L1261" s="3" t="n"/>
      <c r="M1261" s="3" t="n"/>
      <c r="N1261" s="3" t="n"/>
      <c r="O1261" s="3" t="n"/>
      <c r="P1261" s="3" t="n"/>
      <c r="Q1261" s="3" t="n"/>
      <c r="R1261" s="5">
        <f>IF(Q1261&lt;&gt;"是","排除",IF(OR(L1261="",M1261=""),"",IF(OR(L1261="未知",M1261="未知"),"未知",IF(AND(L1261="真",M1261="真"),"TP",IF(AND(L1261="真",M1261="假"),"FP",IF(AND(L1261="假",M1261="真"),"FN","TN"))))))</f>
        <v/>
      </c>
      <c r="S1261" s="3" t="n"/>
      <c r="T1261" s="3" t="n"/>
      <c r="U1261" s="3" t="n"/>
      <c r="V1261" s="3" t="n"/>
    </row>
    <row r="1262">
      <c r="A1262" s="3" t="n"/>
      <c r="B1262" s="3" t="n"/>
      <c r="C1262" s="3" t="n"/>
      <c r="D1262" s="4" t="n"/>
      <c r="E1262" s="3" t="n"/>
      <c r="F1262" s="3" t="n"/>
      <c r="G1262" s="3" t="n"/>
      <c r="H1262" s="3" t="n"/>
      <c r="I1262" s="3" t="n"/>
      <c r="J1262" s="3" t="n"/>
      <c r="K1262" s="3" t="n"/>
      <c r="L1262" s="3" t="n"/>
      <c r="M1262" s="3" t="n"/>
      <c r="N1262" s="3" t="n"/>
      <c r="O1262" s="3" t="n"/>
      <c r="P1262" s="3" t="n"/>
      <c r="Q1262" s="3" t="n"/>
      <c r="R1262" s="5">
        <f>IF(Q1262&lt;&gt;"是","排除",IF(OR(L1262="",M1262=""),"",IF(OR(L1262="未知",M1262="未知"),"未知",IF(AND(L1262="真",M1262="真"),"TP",IF(AND(L1262="真",M1262="假"),"FP",IF(AND(L1262="假",M1262="真"),"FN","TN"))))))</f>
        <v/>
      </c>
      <c r="S1262" s="3" t="n"/>
      <c r="T1262" s="3" t="n"/>
      <c r="U1262" s="3" t="n"/>
      <c r="V1262" s="3" t="n"/>
    </row>
    <row r="1263">
      <c r="A1263" s="3" t="n"/>
      <c r="B1263" s="3" t="n"/>
      <c r="C1263" s="3" t="n"/>
      <c r="D1263" s="4" t="n"/>
      <c r="E1263" s="3" t="n"/>
      <c r="F1263" s="3" t="n"/>
      <c r="G1263" s="3" t="n"/>
      <c r="H1263" s="3" t="n"/>
      <c r="I1263" s="3" t="n"/>
      <c r="J1263" s="3" t="n"/>
      <c r="K1263" s="3" t="n"/>
      <c r="L1263" s="3" t="n"/>
      <c r="M1263" s="3" t="n"/>
      <c r="N1263" s="3" t="n"/>
      <c r="O1263" s="3" t="n"/>
      <c r="P1263" s="3" t="n"/>
      <c r="Q1263" s="3" t="n"/>
      <c r="R1263" s="5">
        <f>IF(Q1263&lt;&gt;"是","排除",IF(OR(L1263="",M1263=""),"",IF(OR(L1263="未知",M1263="未知"),"未知",IF(AND(L1263="真",M1263="真"),"TP",IF(AND(L1263="真",M1263="假"),"FP",IF(AND(L1263="假",M1263="真"),"FN","TN"))))))</f>
        <v/>
      </c>
      <c r="S1263" s="3" t="n"/>
      <c r="T1263" s="3" t="n"/>
      <c r="U1263" s="3" t="n"/>
      <c r="V1263" s="3" t="n"/>
    </row>
    <row r="1264">
      <c r="A1264" s="3" t="n"/>
      <c r="B1264" s="3" t="n"/>
      <c r="C1264" s="3" t="n"/>
      <c r="D1264" s="4" t="n"/>
      <c r="E1264" s="3" t="n"/>
      <c r="F1264" s="3" t="n"/>
      <c r="G1264" s="3" t="n"/>
      <c r="H1264" s="3" t="n"/>
      <c r="I1264" s="3" t="n"/>
      <c r="J1264" s="3" t="n"/>
      <c r="K1264" s="3" t="n"/>
      <c r="L1264" s="3" t="n"/>
      <c r="M1264" s="3" t="n"/>
      <c r="N1264" s="3" t="n"/>
      <c r="O1264" s="3" t="n"/>
      <c r="P1264" s="3" t="n"/>
      <c r="Q1264" s="3" t="n"/>
      <c r="R1264" s="5">
        <f>IF(Q1264&lt;&gt;"是","排除",IF(OR(L1264="",M1264=""),"",IF(OR(L1264="未知",M1264="未知"),"未知",IF(AND(L1264="真",M1264="真"),"TP",IF(AND(L1264="真",M1264="假"),"FP",IF(AND(L1264="假",M1264="真"),"FN","TN"))))))</f>
        <v/>
      </c>
      <c r="S1264" s="3" t="n"/>
      <c r="T1264" s="3" t="n"/>
      <c r="U1264" s="3" t="n"/>
      <c r="V1264" s="3" t="n"/>
    </row>
    <row r="1265">
      <c r="A1265" s="3" t="n"/>
      <c r="B1265" s="3" t="n"/>
      <c r="C1265" s="3" t="n"/>
      <c r="D1265" s="4" t="n"/>
      <c r="E1265" s="3" t="n"/>
      <c r="F1265" s="3" t="n"/>
      <c r="G1265" s="3" t="n"/>
      <c r="H1265" s="3" t="n"/>
      <c r="I1265" s="3" t="n"/>
      <c r="J1265" s="3" t="n"/>
      <c r="K1265" s="3" t="n"/>
      <c r="L1265" s="3" t="n"/>
      <c r="M1265" s="3" t="n"/>
      <c r="N1265" s="3" t="n"/>
      <c r="O1265" s="3" t="n"/>
      <c r="P1265" s="3" t="n"/>
      <c r="Q1265" s="3" t="n"/>
      <c r="R1265" s="5">
        <f>IF(Q1265&lt;&gt;"是","排除",IF(OR(L1265="",M1265=""),"",IF(OR(L1265="未知",M1265="未知"),"未知",IF(AND(L1265="真",M1265="真"),"TP",IF(AND(L1265="真",M1265="假"),"FP",IF(AND(L1265="假",M1265="真"),"FN","TN"))))))</f>
        <v/>
      </c>
      <c r="S1265" s="3" t="n"/>
      <c r="T1265" s="3" t="n"/>
      <c r="U1265" s="3" t="n"/>
      <c r="V1265" s="3" t="n"/>
    </row>
    <row r="1266">
      <c r="A1266" s="3" t="n"/>
      <c r="B1266" s="3" t="n"/>
      <c r="C1266" s="3" t="n"/>
      <c r="D1266" s="4" t="n"/>
      <c r="E1266" s="3" t="n"/>
      <c r="F1266" s="3" t="n"/>
      <c r="G1266" s="3" t="n"/>
      <c r="H1266" s="3" t="n"/>
      <c r="I1266" s="3" t="n"/>
      <c r="J1266" s="3" t="n"/>
      <c r="K1266" s="3" t="n"/>
      <c r="L1266" s="3" t="n"/>
      <c r="M1266" s="3" t="n"/>
      <c r="N1266" s="3" t="n"/>
      <c r="O1266" s="3" t="n"/>
      <c r="P1266" s="3" t="n"/>
      <c r="Q1266" s="3" t="n"/>
      <c r="R1266" s="5">
        <f>IF(Q1266&lt;&gt;"是","排除",IF(OR(L1266="",M1266=""),"",IF(OR(L1266="未知",M1266="未知"),"未知",IF(AND(L1266="真",M1266="真"),"TP",IF(AND(L1266="真",M1266="假"),"FP",IF(AND(L1266="假",M1266="真"),"FN","TN"))))))</f>
        <v/>
      </c>
      <c r="S1266" s="3" t="n"/>
      <c r="T1266" s="3" t="n"/>
      <c r="U1266" s="3" t="n"/>
      <c r="V1266" s="3" t="n"/>
    </row>
    <row r="1267">
      <c r="A1267" s="3" t="n"/>
      <c r="B1267" s="3" t="n"/>
      <c r="C1267" s="3" t="n"/>
      <c r="D1267" s="4" t="n"/>
      <c r="E1267" s="3" t="n"/>
      <c r="F1267" s="3" t="n"/>
      <c r="G1267" s="3" t="n"/>
      <c r="H1267" s="3" t="n"/>
      <c r="I1267" s="3" t="n"/>
      <c r="J1267" s="3" t="n"/>
      <c r="K1267" s="3" t="n"/>
      <c r="L1267" s="3" t="n"/>
      <c r="M1267" s="3" t="n"/>
      <c r="N1267" s="3" t="n"/>
      <c r="O1267" s="3" t="n"/>
      <c r="P1267" s="3" t="n"/>
      <c r="Q1267" s="3" t="n"/>
      <c r="R1267" s="5">
        <f>IF(Q1267&lt;&gt;"是","排除",IF(OR(L1267="",M1267=""),"",IF(OR(L1267="未知",M1267="未知"),"未知",IF(AND(L1267="真",M1267="真"),"TP",IF(AND(L1267="真",M1267="假"),"FP",IF(AND(L1267="假",M1267="真"),"FN","TN"))))))</f>
        <v/>
      </c>
      <c r="S1267" s="3" t="n"/>
      <c r="T1267" s="3" t="n"/>
      <c r="U1267" s="3" t="n"/>
      <c r="V1267" s="3" t="n"/>
    </row>
    <row r="1268">
      <c r="A1268" s="3" t="n"/>
      <c r="B1268" s="3" t="n"/>
      <c r="C1268" s="3" t="n"/>
      <c r="D1268" s="4" t="n"/>
      <c r="E1268" s="3" t="n"/>
      <c r="F1268" s="3" t="n"/>
      <c r="G1268" s="3" t="n"/>
      <c r="H1268" s="3" t="n"/>
      <c r="I1268" s="3" t="n"/>
      <c r="J1268" s="3" t="n"/>
      <c r="K1268" s="3" t="n"/>
      <c r="L1268" s="3" t="n"/>
      <c r="M1268" s="3" t="n"/>
      <c r="N1268" s="3" t="n"/>
      <c r="O1268" s="3" t="n"/>
      <c r="P1268" s="3" t="n"/>
      <c r="Q1268" s="3" t="n"/>
      <c r="R1268" s="5">
        <f>IF(Q1268&lt;&gt;"是","排除",IF(OR(L1268="",M1268=""),"",IF(OR(L1268="未知",M1268="未知"),"未知",IF(AND(L1268="真",M1268="真"),"TP",IF(AND(L1268="真",M1268="假"),"FP",IF(AND(L1268="假",M1268="真"),"FN","TN"))))))</f>
        <v/>
      </c>
      <c r="S1268" s="3" t="n"/>
      <c r="T1268" s="3" t="n"/>
      <c r="U1268" s="3" t="n"/>
      <c r="V1268" s="3" t="n"/>
    </row>
    <row r="1269">
      <c r="A1269" s="3" t="n"/>
      <c r="B1269" s="3" t="n"/>
      <c r="C1269" s="3" t="n"/>
      <c r="D1269" s="4" t="n"/>
      <c r="E1269" s="3" t="n"/>
      <c r="F1269" s="3" t="n"/>
      <c r="G1269" s="3" t="n"/>
      <c r="H1269" s="3" t="n"/>
      <c r="I1269" s="3" t="n"/>
      <c r="J1269" s="3" t="n"/>
      <c r="K1269" s="3" t="n"/>
      <c r="L1269" s="3" t="n"/>
      <c r="M1269" s="3" t="n"/>
      <c r="N1269" s="3" t="n"/>
      <c r="O1269" s="3" t="n"/>
      <c r="P1269" s="3" t="n"/>
      <c r="Q1269" s="3" t="n"/>
      <c r="R1269" s="5">
        <f>IF(Q1269&lt;&gt;"是","排除",IF(OR(L1269="",M1269=""),"",IF(OR(L1269="未知",M1269="未知"),"未知",IF(AND(L1269="真",M1269="真"),"TP",IF(AND(L1269="真",M1269="假"),"FP",IF(AND(L1269="假",M1269="真"),"FN","TN"))))))</f>
        <v/>
      </c>
      <c r="S1269" s="3" t="n"/>
      <c r="T1269" s="3" t="n"/>
      <c r="U1269" s="3" t="n"/>
      <c r="V1269" s="3" t="n"/>
    </row>
    <row r="1270">
      <c r="A1270" s="3" t="n"/>
      <c r="B1270" s="3" t="n"/>
      <c r="C1270" s="3" t="n"/>
      <c r="D1270" s="4" t="n"/>
      <c r="E1270" s="3" t="n"/>
      <c r="F1270" s="3" t="n"/>
      <c r="G1270" s="3" t="n"/>
      <c r="H1270" s="3" t="n"/>
      <c r="I1270" s="3" t="n"/>
      <c r="J1270" s="3" t="n"/>
      <c r="K1270" s="3" t="n"/>
      <c r="L1270" s="3" t="n"/>
      <c r="M1270" s="3" t="n"/>
      <c r="N1270" s="3" t="n"/>
      <c r="O1270" s="3" t="n"/>
      <c r="P1270" s="3" t="n"/>
      <c r="Q1270" s="3" t="n"/>
      <c r="R1270" s="5">
        <f>IF(Q1270&lt;&gt;"是","排除",IF(OR(L1270="",M1270=""),"",IF(OR(L1270="未知",M1270="未知"),"未知",IF(AND(L1270="真",M1270="真"),"TP",IF(AND(L1270="真",M1270="假"),"FP",IF(AND(L1270="假",M1270="真"),"FN","TN"))))))</f>
        <v/>
      </c>
      <c r="S1270" s="3" t="n"/>
      <c r="T1270" s="3" t="n"/>
      <c r="U1270" s="3" t="n"/>
      <c r="V1270" s="3" t="n"/>
    </row>
    <row r="1271">
      <c r="A1271" s="3" t="n"/>
      <c r="B1271" s="3" t="n"/>
      <c r="C1271" s="3" t="n"/>
      <c r="D1271" s="4" t="n"/>
      <c r="E1271" s="3" t="n"/>
      <c r="F1271" s="3" t="n"/>
      <c r="G1271" s="3" t="n"/>
      <c r="H1271" s="3" t="n"/>
      <c r="I1271" s="3" t="n"/>
      <c r="J1271" s="3" t="n"/>
      <c r="K1271" s="3" t="n"/>
      <c r="L1271" s="3" t="n"/>
      <c r="M1271" s="3" t="n"/>
      <c r="N1271" s="3" t="n"/>
      <c r="O1271" s="3" t="n"/>
      <c r="P1271" s="3" t="n"/>
      <c r="Q1271" s="3" t="n"/>
      <c r="R1271" s="5">
        <f>IF(Q1271&lt;&gt;"是","排除",IF(OR(L1271="",M1271=""),"",IF(OR(L1271="未知",M1271="未知"),"未知",IF(AND(L1271="真",M1271="真"),"TP",IF(AND(L1271="真",M1271="假"),"FP",IF(AND(L1271="假",M1271="真"),"FN","TN"))))))</f>
        <v/>
      </c>
      <c r="S1271" s="3" t="n"/>
      <c r="T1271" s="3" t="n"/>
      <c r="U1271" s="3" t="n"/>
      <c r="V1271" s="3" t="n"/>
    </row>
    <row r="1272">
      <c r="A1272" s="3" t="n"/>
      <c r="B1272" s="3" t="n"/>
      <c r="C1272" s="3" t="n"/>
      <c r="D1272" s="4" t="n"/>
      <c r="E1272" s="3" t="n"/>
      <c r="F1272" s="3" t="n"/>
      <c r="G1272" s="3" t="n"/>
      <c r="H1272" s="3" t="n"/>
      <c r="I1272" s="3" t="n"/>
      <c r="J1272" s="3" t="n"/>
      <c r="K1272" s="3" t="n"/>
      <c r="L1272" s="3" t="n"/>
      <c r="M1272" s="3" t="n"/>
      <c r="N1272" s="3" t="n"/>
      <c r="O1272" s="3" t="n"/>
      <c r="P1272" s="3" t="n"/>
      <c r="Q1272" s="3" t="n"/>
      <c r="R1272" s="5">
        <f>IF(Q1272&lt;&gt;"是","排除",IF(OR(L1272="",M1272=""),"",IF(OR(L1272="未知",M1272="未知"),"未知",IF(AND(L1272="真",M1272="真"),"TP",IF(AND(L1272="真",M1272="假"),"FP",IF(AND(L1272="假",M1272="真"),"FN","TN"))))))</f>
        <v/>
      </c>
      <c r="S1272" s="3" t="n"/>
      <c r="T1272" s="3" t="n"/>
      <c r="U1272" s="3" t="n"/>
      <c r="V1272" s="3" t="n"/>
    </row>
    <row r="1273">
      <c r="A1273" s="3" t="n"/>
      <c r="B1273" s="3" t="n"/>
      <c r="C1273" s="3" t="n"/>
      <c r="D1273" s="4" t="n"/>
      <c r="E1273" s="3" t="n"/>
      <c r="F1273" s="3" t="n"/>
      <c r="G1273" s="3" t="n"/>
      <c r="H1273" s="3" t="n"/>
      <c r="I1273" s="3" t="n"/>
      <c r="J1273" s="3" t="n"/>
      <c r="K1273" s="3" t="n"/>
      <c r="L1273" s="3" t="n"/>
      <c r="M1273" s="3" t="n"/>
      <c r="N1273" s="3" t="n"/>
      <c r="O1273" s="3" t="n"/>
      <c r="P1273" s="3" t="n"/>
      <c r="Q1273" s="3" t="n"/>
      <c r="R1273" s="5">
        <f>IF(Q1273&lt;&gt;"是","排除",IF(OR(L1273="",M1273=""),"",IF(OR(L1273="未知",M1273="未知"),"未知",IF(AND(L1273="真",M1273="真"),"TP",IF(AND(L1273="真",M1273="假"),"FP",IF(AND(L1273="假",M1273="真"),"FN","TN"))))))</f>
        <v/>
      </c>
      <c r="S1273" s="3" t="n"/>
      <c r="T1273" s="3" t="n"/>
      <c r="U1273" s="3" t="n"/>
      <c r="V1273" s="3" t="n"/>
    </row>
    <row r="1274">
      <c r="A1274" s="3" t="n"/>
      <c r="B1274" s="3" t="n"/>
      <c r="C1274" s="3" t="n"/>
      <c r="D1274" s="4" t="n"/>
      <c r="E1274" s="3" t="n"/>
      <c r="F1274" s="3" t="n"/>
      <c r="G1274" s="3" t="n"/>
      <c r="H1274" s="3" t="n"/>
      <c r="I1274" s="3" t="n"/>
      <c r="J1274" s="3" t="n"/>
      <c r="K1274" s="3" t="n"/>
      <c r="L1274" s="3" t="n"/>
      <c r="M1274" s="3" t="n"/>
      <c r="N1274" s="3" t="n"/>
      <c r="O1274" s="3" t="n"/>
      <c r="P1274" s="3" t="n"/>
      <c r="Q1274" s="3" t="n"/>
      <c r="R1274" s="5">
        <f>IF(Q1274&lt;&gt;"是","排除",IF(OR(L1274="",M1274=""),"",IF(OR(L1274="未知",M1274="未知"),"未知",IF(AND(L1274="真",M1274="真"),"TP",IF(AND(L1274="真",M1274="假"),"FP",IF(AND(L1274="假",M1274="真"),"FN","TN"))))))</f>
        <v/>
      </c>
      <c r="S1274" s="3" t="n"/>
      <c r="T1274" s="3" t="n"/>
      <c r="U1274" s="3" t="n"/>
      <c r="V1274" s="3" t="n"/>
    </row>
    <row r="1275">
      <c r="A1275" s="3" t="n"/>
      <c r="B1275" s="3" t="n"/>
      <c r="C1275" s="3" t="n"/>
      <c r="D1275" s="4" t="n"/>
      <c r="E1275" s="3" t="n"/>
      <c r="F1275" s="3" t="n"/>
      <c r="G1275" s="3" t="n"/>
      <c r="H1275" s="3" t="n"/>
      <c r="I1275" s="3" t="n"/>
      <c r="J1275" s="3" t="n"/>
      <c r="K1275" s="3" t="n"/>
      <c r="L1275" s="3" t="n"/>
      <c r="M1275" s="3" t="n"/>
      <c r="N1275" s="3" t="n"/>
      <c r="O1275" s="3" t="n"/>
      <c r="P1275" s="3" t="n"/>
      <c r="Q1275" s="3" t="n"/>
      <c r="R1275" s="5">
        <f>IF(Q1275&lt;&gt;"是","排除",IF(OR(L1275="",M1275=""),"",IF(OR(L1275="未知",M1275="未知"),"未知",IF(AND(L1275="真",M1275="真"),"TP",IF(AND(L1275="真",M1275="假"),"FP",IF(AND(L1275="假",M1275="真"),"FN","TN"))))))</f>
        <v/>
      </c>
      <c r="S1275" s="3" t="n"/>
      <c r="T1275" s="3" t="n"/>
      <c r="U1275" s="3" t="n"/>
      <c r="V1275" s="3" t="n"/>
    </row>
    <row r="1276">
      <c r="A1276" s="3" t="n"/>
      <c r="B1276" s="3" t="n"/>
      <c r="C1276" s="3" t="n"/>
      <c r="D1276" s="4" t="n"/>
      <c r="E1276" s="3" t="n"/>
      <c r="F1276" s="3" t="n"/>
      <c r="G1276" s="3" t="n"/>
      <c r="H1276" s="3" t="n"/>
      <c r="I1276" s="3" t="n"/>
      <c r="J1276" s="3" t="n"/>
      <c r="K1276" s="3" t="n"/>
      <c r="L1276" s="3" t="n"/>
      <c r="M1276" s="3" t="n"/>
      <c r="N1276" s="3" t="n"/>
      <c r="O1276" s="3" t="n"/>
      <c r="P1276" s="3" t="n"/>
      <c r="Q1276" s="3" t="n"/>
      <c r="R1276" s="5">
        <f>IF(Q1276&lt;&gt;"是","排除",IF(OR(L1276="",M1276=""),"",IF(OR(L1276="未知",M1276="未知"),"未知",IF(AND(L1276="真",M1276="真"),"TP",IF(AND(L1276="真",M1276="假"),"FP",IF(AND(L1276="假",M1276="真"),"FN","TN"))))))</f>
        <v/>
      </c>
      <c r="S1276" s="3" t="n"/>
      <c r="T1276" s="3" t="n"/>
      <c r="U1276" s="3" t="n"/>
      <c r="V1276" s="3" t="n"/>
    </row>
    <row r="1277">
      <c r="A1277" s="3" t="n"/>
      <c r="B1277" s="3" t="n"/>
      <c r="C1277" s="3" t="n"/>
      <c r="D1277" s="4" t="n"/>
      <c r="E1277" s="3" t="n"/>
      <c r="F1277" s="3" t="n"/>
      <c r="G1277" s="3" t="n"/>
      <c r="H1277" s="3" t="n"/>
      <c r="I1277" s="3" t="n"/>
      <c r="J1277" s="3" t="n"/>
      <c r="K1277" s="3" t="n"/>
      <c r="L1277" s="3" t="n"/>
      <c r="M1277" s="3" t="n"/>
      <c r="N1277" s="3" t="n"/>
      <c r="O1277" s="3" t="n"/>
      <c r="P1277" s="3" t="n"/>
      <c r="Q1277" s="3" t="n"/>
      <c r="R1277" s="5">
        <f>IF(Q1277&lt;&gt;"是","排除",IF(OR(L1277="",M1277=""),"",IF(OR(L1277="未知",M1277="未知"),"未知",IF(AND(L1277="真",M1277="真"),"TP",IF(AND(L1277="真",M1277="假"),"FP",IF(AND(L1277="假",M1277="真"),"FN","TN"))))))</f>
        <v/>
      </c>
      <c r="S1277" s="3" t="n"/>
      <c r="T1277" s="3" t="n"/>
      <c r="U1277" s="3" t="n"/>
      <c r="V1277" s="3" t="n"/>
    </row>
    <row r="1278">
      <c r="A1278" s="3" t="n"/>
      <c r="B1278" s="3" t="n"/>
      <c r="C1278" s="3" t="n"/>
      <c r="D1278" s="4" t="n"/>
      <c r="E1278" s="3" t="n"/>
      <c r="F1278" s="3" t="n"/>
      <c r="G1278" s="3" t="n"/>
      <c r="H1278" s="3" t="n"/>
      <c r="I1278" s="3" t="n"/>
      <c r="J1278" s="3" t="n"/>
      <c r="K1278" s="3" t="n"/>
      <c r="L1278" s="3" t="n"/>
      <c r="M1278" s="3" t="n"/>
      <c r="N1278" s="3" t="n"/>
      <c r="O1278" s="3" t="n"/>
      <c r="P1278" s="3" t="n"/>
      <c r="Q1278" s="3" t="n"/>
      <c r="R1278" s="5">
        <f>IF(Q1278&lt;&gt;"是","排除",IF(OR(L1278="",M1278=""),"",IF(OR(L1278="未知",M1278="未知"),"未知",IF(AND(L1278="真",M1278="真"),"TP",IF(AND(L1278="真",M1278="假"),"FP",IF(AND(L1278="假",M1278="真"),"FN","TN"))))))</f>
        <v/>
      </c>
      <c r="S1278" s="3" t="n"/>
      <c r="T1278" s="3" t="n"/>
      <c r="U1278" s="3" t="n"/>
      <c r="V1278" s="3" t="n"/>
    </row>
    <row r="1279">
      <c r="A1279" s="3" t="n"/>
      <c r="B1279" s="3" t="n"/>
      <c r="C1279" s="3" t="n"/>
      <c r="D1279" s="4" t="n"/>
      <c r="E1279" s="3" t="n"/>
      <c r="F1279" s="3" t="n"/>
      <c r="G1279" s="3" t="n"/>
      <c r="H1279" s="3" t="n"/>
      <c r="I1279" s="3" t="n"/>
      <c r="J1279" s="3" t="n"/>
      <c r="K1279" s="3" t="n"/>
      <c r="L1279" s="3" t="n"/>
      <c r="M1279" s="3" t="n"/>
      <c r="N1279" s="3" t="n"/>
      <c r="O1279" s="3" t="n"/>
      <c r="P1279" s="3" t="n"/>
      <c r="Q1279" s="3" t="n"/>
      <c r="R1279" s="5">
        <f>IF(Q1279&lt;&gt;"是","排除",IF(OR(L1279="",M1279=""),"",IF(OR(L1279="未知",M1279="未知"),"未知",IF(AND(L1279="真",M1279="真"),"TP",IF(AND(L1279="真",M1279="假"),"FP",IF(AND(L1279="假",M1279="真"),"FN","TN"))))))</f>
        <v/>
      </c>
      <c r="S1279" s="3" t="n"/>
      <c r="T1279" s="3" t="n"/>
      <c r="U1279" s="3" t="n"/>
      <c r="V1279" s="3" t="n"/>
    </row>
    <row r="1280">
      <c r="A1280" s="3" t="n"/>
      <c r="B1280" s="3" t="n"/>
      <c r="C1280" s="3" t="n"/>
      <c r="D1280" s="4" t="n"/>
      <c r="E1280" s="3" t="n"/>
      <c r="F1280" s="3" t="n"/>
      <c r="G1280" s="3" t="n"/>
      <c r="H1280" s="3" t="n"/>
      <c r="I1280" s="3" t="n"/>
      <c r="J1280" s="3" t="n"/>
      <c r="K1280" s="3" t="n"/>
      <c r="L1280" s="3" t="n"/>
      <c r="M1280" s="3" t="n"/>
      <c r="N1280" s="3" t="n"/>
      <c r="O1280" s="3" t="n"/>
      <c r="P1280" s="3" t="n"/>
      <c r="Q1280" s="3" t="n"/>
      <c r="R1280" s="5">
        <f>IF(Q1280&lt;&gt;"是","排除",IF(OR(L1280="",M1280=""),"",IF(OR(L1280="未知",M1280="未知"),"未知",IF(AND(L1280="真",M1280="真"),"TP",IF(AND(L1280="真",M1280="假"),"FP",IF(AND(L1280="假",M1280="真"),"FN","TN"))))))</f>
        <v/>
      </c>
      <c r="S1280" s="3" t="n"/>
      <c r="T1280" s="3" t="n"/>
      <c r="U1280" s="3" t="n"/>
      <c r="V1280" s="3" t="n"/>
    </row>
    <row r="1281">
      <c r="A1281" s="3" t="n"/>
      <c r="B1281" s="3" t="n"/>
      <c r="C1281" s="3" t="n"/>
      <c r="D1281" s="4" t="n"/>
      <c r="E1281" s="3" t="n"/>
      <c r="F1281" s="3" t="n"/>
      <c r="G1281" s="3" t="n"/>
      <c r="H1281" s="3" t="n"/>
      <c r="I1281" s="3" t="n"/>
      <c r="J1281" s="3" t="n"/>
      <c r="K1281" s="3" t="n"/>
      <c r="L1281" s="3" t="n"/>
      <c r="M1281" s="3" t="n"/>
      <c r="N1281" s="3" t="n"/>
      <c r="O1281" s="3" t="n"/>
      <c r="P1281" s="3" t="n"/>
      <c r="Q1281" s="3" t="n"/>
      <c r="R1281" s="5">
        <f>IF(Q1281&lt;&gt;"是","排除",IF(OR(L1281="",M1281=""),"",IF(OR(L1281="未知",M1281="未知"),"未知",IF(AND(L1281="真",M1281="真"),"TP",IF(AND(L1281="真",M1281="假"),"FP",IF(AND(L1281="假",M1281="真"),"FN","TN"))))))</f>
        <v/>
      </c>
      <c r="S1281" s="3" t="n"/>
      <c r="T1281" s="3" t="n"/>
      <c r="U1281" s="3" t="n"/>
      <c r="V1281" s="3" t="n"/>
    </row>
    <row r="1282">
      <c r="A1282" s="3" t="n"/>
      <c r="B1282" s="3" t="n"/>
      <c r="C1282" s="3" t="n"/>
      <c r="D1282" s="4" t="n"/>
      <c r="E1282" s="3" t="n"/>
      <c r="F1282" s="3" t="n"/>
      <c r="G1282" s="3" t="n"/>
      <c r="H1282" s="3" t="n"/>
      <c r="I1282" s="3" t="n"/>
      <c r="J1282" s="3" t="n"/>
      <c r="K1282" s="3" t="n"/>
      <c r="L1282" s="3" t="n"/>
      <c r="M1282" s="3" t="n"/>
      <c r="N1282" s="3" t="n"/>
      <c r="O1282" s="3" t="n"/>
      <c r="P1282" s="3" t="n"/>
      <c r="Q1282" s="3" t="n"/>
      <c r="R1282" s="5">
        <f>IF(Q1282&lt;&gt;"是","排除",IF(OR(L1282="",M1282=""),"",IF(OR(L1282="未知",M1282="未知"),"未知",IF(AND(L1282="真",M1282="真"),"TP",IF(AND(L1282="真",M1282="假"),"FP",IF(AND(L1282="假",M1282="真"),"FN","TN"))))))</f>
        <v/>
      </c>
      <c r="S1282" s="3" t="n"/>
      <c r="T1282" s="3" t="n"/>
      <c r="U1282" s="3" t="n"/>
      <c r="V1282" s="3" t="n"/>
    </row>
    <row r="1283">
      <c r="A1283" s="3" t="n"/>
      <c r="B1283" s="3" t="n"/>
      <c r="C1283" s="3" t="n"/>
      <c r="D1283" s="4" t="n"/>
      <c r="E1283" s="3" t="n"/>
      <c r="F1283" s="3" t="n"/>
      <c r="G1283" s="3" t="n"/>
      <c r="H1283" s="3" t="n"/>
      <c r="I1283" s="3" t="n"/>
      <c r="J1283" s="3" t="n"/>
      <c r="K1283" s="3" t="n"/>
      <c r="L1283" s="3" t="n"/>
      <c r="M1283" s="3" t="n"/>
      <c r="N1283" s="3" t="n"/>
      <c r="O1283" s="3" t="n"/>
      <c r="P1283" s="3" t="n"/>
      <c r="Q1283" s="3" t="n"/>
      <c r="R1283" s="5">
        <f>IF(Q1283&lt;&gt;"是","排除",IF(OR(L1283="",M1283=""),"",IF(OR(L1283="未知",M1283="未知"),"未知",IF(AND(L1283="真",M1283="真"),"TP",IF(AND(L1283="真",M1283="假"),"FP",IF(AND(L1283="假",M1283="真"),"FN","TN"))))))</f>
        <v/>
      </c>
      <c r="S1283" s="3" t="n"/>
      <c r="T1283" s="3" t="n"/>
      <c r="U1283" s="3" t="n"/>
      <c r="V1283" s="3" t="n"/>
    </row>
    <row r="1284">
      <c r="A1284" s="3" t="n"/>
      <c r="B1284" s="3" t="n"/>
      <c r="C1284" s="3" t="n"/>
      <c r="D1284" s="4" t="n"/>
      <c r="E1284" s="3" t="n"/>
      <c r="F1284" s="3" t="n"/>
      <c r="G1284" s="3" t="n"/>
      <c r="H1284" s="3" t="n"/>
      <c r="I1284" s="3" t="n"/>
      <c r="J1284" s="3" t="n"/>
      <c r="K1284" s="3" t="n"/>
      <c r="L1284" s="3" t="n"/>
      <c r="M1284" s="3" t="n"/>
      <c r="N1284" s="3" t="n"/>
      <c r="O1284" s="3" t="n"/>
      <c r="P1284" s="3" t="n"/>
      <c r="Q1284" s="3" t="n"/>
      <c r="R1284" s="5">
        <f>IF(Q1284&lt;&gt;"是","排除",IF(OR(L1284="",M1284=""),"",IF(OR(L1284="未知",M1284="未知"),"未知",IF(AND(L1284="真",M1284="真"),"TP",IF(AND(L1284="真",M1284="假"),"FP",IF(AND(L1284="假",M1284="真"),"FN","TN"))))))</f>
        <v/>
      </c>
      <c r="S1284" s="3" t="n"/>
      <c r="T1284" s="3" t="n"/>
      <c r="U1284" s="3" t="n"/>
      <c r="V1284" s="3" t="n"/>
    </row>
    <row r="1285">
      <c r="A1285" s="3" t="n"/>
      <c r="B1285" s="3" t="n"/>
      <c r="C1285" s="3" t="n"/>
      <c r="D1285" s="4" t="n"/>
      <c r="E1285" s="3" t="n"/>
      <c r="F1285" s="3" t="n"/>
      <c r="G1285" s="3" t="n"/>
      <c r="H1285" s="3" t="n"/>
      <c r="I1285" s="3" t="n"/>
      <c r="J1285" s="3" t="n"/>
      <c r="K1285" s="3" t="n"/>
      <c r="L1285" s="3" t="n"/>
      <c r="M1285" s="3" t="n"/>
      <c r="N1285" s="3" t="n"/>
      <c r="O1285" s="3" t="n"/>
      <c r="P1285" s="3" t="n"/>
      <c r="Q1285" s="3" t="n"/>
      <c r="R1285" s="5">
        <f>IF(Q1285&lt;&gt;"是","排除",IF(OR(L1285="",M1285=""),"",IF(OR(L1285="未知",M1285="未知"),"未知",IF(AND(L1285="真",M1285="真"),"TP",IF(AND(L1285="真",M1285="假"),"FP",IF(AND(L1285="假",M1285="真"),"FN","TN"))))))</f>
        <v/>
      </c>
      <c r="S1285" s="3" t="n"/>
      <c r="T1285" s="3" t="n"/>
      <c r="U1285" s="3" t="n"/>
      <c r="V1285" s="3" t="n"/>
    </row>
    <row r="1286">
      <c r="A1286" s="3" t="n"/>
      <c r="B1286" s="3" t="n"/>
      <c r="C1286" s="3" t="n"/>
      <c r="D1286" s="4" t="n"/>
      <c r="E1286" s="3" t="n"/>
      <c r="F1286" s="3" t="n"/>
      <c r="G1286" s="3" t="n"/>
      <c r="H1286" s="3" t="n"/>
      <c r="I1286" s="3" t="n"/>
      <c r="J1286" s="3" t="n"/>
      <c r="K1286" s="3" t="n"/>
      <c r="L1286" s="3" t="n"/>
      <c r="M1286" s="3" t="n"/>
      <c r="N1286" s="3" t="n"/>
      <c r="O1286" s="3" t="n"/>
      <c r="P1286" s="3" t="n"/>
      <c r="Q1286" s="3" t="n"/>
      <c r="R1286" s="5">
        <f>IF(Q1286&lt;&gt;"是","排除",IF(OR(L1286="",M1286=""),"",IF(OR(L1286="未知",M1286="未知"),"未知",IF(AND(L1286="真",M1286="真"),"TP",IF(AND(L1286="真",M1286="假"),"FP",IF(AND(L1286="假",M1286="真"),"FN","TN"))))))</f>
        <v/>
      </c>
      <c r="S1286" s="3" t="n"/>
      <c r="T1286" s="3" t="n"/>
      <c r="U1286" s="3" t="n"/>
      <c r="V1286" s="3" t="n"/>
    </row>
    <row r="1287">
      <c r="A1287" s="3" t="n"/>
      <c r="B1287" s="3" t="n"/>
      <c r="C1287" s="3" t="n"/>
      <c r="D1287" s="4" t="n"/>
      <c r="E1287" s="3" t="n"/>
      <c r="F1287" s="3" t="n"/>
      <c r="G1287" s="3" t="n"/>
      <c r="H1287" s="3" t="n"/>
      <c r="I1287" s="3" t="n"/>
      <c r="J1287" s="3" t="n"/>
      <c r="K1287" s="3" t="n"/>
      <c r="L1287" s="3" t="n"/>
      <c r="M1287" s="3" t="n"/>
      <c r="N1287" s="3" t="n"/>
      <c r="O1287" s="3" t="n"/>
      <c r="P1287" s="3" t="n"/>
      <c r="Q1287" s="3" t="n"/>
      <c r="R1287" s="5">
        <f>IF(Q1287&lt;&gt;"是","排除",IF(OR(L1287="",M1287=""),"",IF(OR(L1287="未知",M1287="未知"),"未知",IF(AND(L1287="真",M1287="真"),"TP",IF(AND(L1287="真",M1287="假"),"FP",IF(AND(L1287="假",M1287="真"),"FN","TN"))))))</f>
        <v/>
      </c>
      <c r="S1287" s="3" t="n"/>
      <c r="T1287" s="3" t="n"/>
      <c r="U1287" s="3" t="n"/>
      <c r="V1287" s="3" t="n"/>
    </row>
    <row r="1288">
      <c r="A1288" s="3" t="n"/>
      <c r="B1288" s="3" t="n"/>
      <c r="C1288" s="3" t="n"/>
      <c r="D1288" s="4" t="n"/>
      <c r="E1288" s="3" t="n"/>
      <c r="F1288" s="3" t="n"/>
      <c r="G1288" s="3" t="n"/>
      <c r="H1288" s="3" t="n"/>
      <c r="I1288" s="3" t="n"/>
      <c r="J1288" s="3" t="n"/>
      <c r="K1288" s="3" t="n"/>
      <c r="L1288" s="3" t="n"/>
      <c r="M1288" s="3" t="n"/>
      <c r="N1288" s="3" t="n"/>
      <c r="O1288" s="3" t="n"/>
      <c r="P1288" s="3" t="n"/>
      <c r="Q1288" s="3" t="n"/>
      <c r="R1288" s="5">
        <f>IF(Q1288&lt;&gt;"是","排除",IF(OR(L1288="",M1288=""),"",IF(OR(L1288="未知",M1288="未知"),"未知",IF(AND(L1288="真",M1288="真"),"TP",IF(AND(L1288="真",M1288="假"),"FP",IF(AND(L1288="假",M1288="真"),"FN","TN"))))))</f>
        <v/>
      </c>
      <c r="S1288" s="3" t="n"/>
      <c r="T1288" s="3" t="n"/>
      <c r="U1288" s="3" t="n"/>
      <c r="V1288" s="3" t="n"/>
    </row>
    <row r="1289">
      <c r="A1289" s="3" t="n"/>
      <c r="B1289" s="3" t="n"/>
      <c r="C1289" s="3" t="n"/>
      <c r="D1289" s="4" t="n"/>
      <c r="E1289" s="3" t="n"/>
      <c r="F1289" s="3" t="n"/>
      <c r="G1289" s="3" t="n"/>
      <c r="H1289" s="3" t="n"/>
      <c r="I1289" s="3" t="n"/>
      <c r="J1289" s="3" t="n"/>
      <c r="K1289" s="3" t="n"/>
      <c r="L1289" s="3" t="n"/>
      <c r="M1289" s="3" t="n"/>
      <c r="N1289" s="3" t="n"/>
      <c r="O1289" s="3" t="n"/>
      <c r="P1289" s="3" t="n"/>
      <c r="Q1289" s="3" t="n"/>
      <c r="R1289" s="5">
        <f>IF(Q1289&lt;&gt;"是","排除",IF(OR(L1289="",M1289=""),"",IF(OR(L1289="未知",M1289="未知"),"未知",IF(AND(L1289="真",M1289="真"),"TP",IF(AND(L1289="真",M1289="假"),"FP",IF(AND(L1289="假",M1289="真"),"FN","TN"))))))</f>
        <v/>
      </c>
      <c r="S1289" s="3" t="n"/>
      <c r="T1289" s="3" t="n"/>
      <c r="U1289" s="3" t="n"/>
      <c r="V1289" s="3" t="n"/>
    </row>
    <row r="1290">
      <c r="A1290" s="3" t="n"/>
      <c r="B1290" s="3" t="n"/>
      <c r="C1290" s="3" t="n"/>
      <c r="D1290" s="4" t="n"/>
      <c r="E1290" s="3" t="n"/>
      <c r="F1290" s="3" t="n"/>
      <c r="G1290" s="3" t="n"/>
      <c r="H1290" s="3" t="n"/>
      <c r="I1290" s="3" t="n"/>
      <c r="J1290" s="3" t="n"/>
      <c r="K1290" s="3" t="n"/>
      <c r="L1290" s="3" t="n"/>
      <c r="M1290" s="3" t="n"/>
      <c r="N1290" s="3" t="n"/>
      <c r="O1290" s="3" t="n"/>
      <c r="P1290" s="3" t="n"/>
      <c r="Q1290" s="3" t="n"/>
      <c r="R1290" s="5">
        <f>IF(Q1290&lt;&gt;"是","排除",IF(OR(L1290="",M1290=""),"",IF(OR(L1290="未知",M1290="未知"),"未知",IF(AND(L1290="真",M1290="真"),"TP",IF(AND(L1290="真",M1290="假"),"FP",IF(AND(L1290="假",M1290="真"),"FN","TN"))))))</f>
        <v/>
      </c>
      <c r="S1290" s="3" t="n"/>
      <c r="T1290" s="3" t="n"/>
      <c r="U1290" s="3" t="n"/>
      <c r="V1290" s="3" t="n"/>
    </row>
    <row r="1291">
      <c r="A1291" s="3" t="n"/>
      <c r="B1291" s="3" t="n"/>
      <c r="C1291" s="3" t="n"/>
      <c r="D1291" s="4" t="n"/>
      <c r="E1291" s="3" t="n"/>
      <c r="F1291" s="3" t="n"/>
      <c r="G1291" s="3" t="n"/>
      <c r="H1291" s="3" t="n"/>
      <c r="I1291" s="3" t="n"/>
      <c r="J1291" s="3" t="n"/>
      <c r="K1291" s="3" t="n"/>
      <c r="L1291" s="3" t="n"/>
      <c r="M1291" s="3" t="n"/>
      <c r="N1291" s="3" t="n"/>
      <c r="O1291" s="3" t="n"/>
      <c r="P1291" s="3" t="n"/>
      <c r="Q1291" s="3" t="n"/>
      <c r="R1291" s="5">
        <f>IF(Q1291&lt;&gt;"是","排除",IF(OR(L1291="",M1291=""),"",IF(OR(L1291="未知",M1291="未知"),"未知",IF(AND(L1291="真",M1291="真"),"TP",IF(AND(L1291="真",M1291="假"),"FP",IF(AND(L1291="假",M1291="真"),"FN","TN"))))))</f>
        <v/>
      </c>
      <c r="S1291" s="3" t="n"/>
      <c r="T1291" s="3" t="n"/>
      <c r="U1291" s="3" t="n"/>
      <c r="V1291" s="3" t="n"/>
    </row>
    <row r="1292">
      <c r="A1292" s="3" t="n"/>
      <c r="B1292" s="3" t="n"/>
      <c r="C1292" s="3" t="n"/>
      <c r="D1292" s="4" t="n"/>
      <c r="E1292" s="3" t="n"/>
      <c r="F1292" s="3" t="n"/>
      <c r="G1292" s="3" t="n"/>
      <c r="H1292" s="3" t="n"/>
      <c r="I1292" s="3" t="n"/>
      <c r="J1292" s="3" t="n"/>
      <c r="K1292" s="3" t="n"/>
      <c r="L1292" s="3" t="n"/>
      <c r="M1292" s="3" t="n"/>
      <c r="N1292" s="3" t="n"/>
      <c r="O1292" s="3" t="n"/>
      <c r="P1292" s="3" t="n"/>
      <c r="Q1292" s="3" t="n"/>
      <c r="R1292" s="5">
        <f>IF(Q1292&lt;&gt;"是","排除",IF(OR(L1292="",M1292=""),"",IF(OR(L1292="未知",M1292="未知"),"未知",IF(AND(L1292="真",M1292="真"),"TP",IF(AND(L1292="真",M1292="假"),"FP",IF(AND(L1292="假",M1292="真"),"FN","TN"))))))</f>
        <v/>
      </c>
      <c r="S1292" s="3" t="n"/>
      <c r="T1292" s="3" t="n"/>
      <c r="U1292" s="3" t="n"/>
      <c r="V1292" s="3" t="n"/>
    </row>
    <row r="1293">
      <c r="A1293" s="3" t="n"/>
      <c r="B1293" s="3" t="n"/>
      <c r="C1293" s="3" t="n"/>
      <c r="D1293" s="4" t="n"/>
      <c r="E1293" s="3" t="n"/>
      <c r="F1293" s="3" t="n"/>
      <c r="G1293" s="3" t="n"/>
      <c r="H1293" s="3" t="n"/>
      <c r="I1293" s="3" t="n"/>
      <c r="J1293" s="3" t="n"/>
      <c r="K1293" s="3" t="n"/>
      <c r="L1293" s="3" t="n"/>
      <c r="M1293" s="3" t="n"/>
      <c r="N1293" s="3" t="n"/>
      <c r="O1293" s="3" t="n"/>
      <c r="P1293" s="3" t="n"/>
      <c r="Q1293" s="3" t="n"/>
      <c r="R1293" s="5">
        <f>IF(Q1293&lt;&gt;"是","排除",IF(OR(L1293="",M1293=""),"",IF(OR(L1293="未知",M1293="未知"),"未知",IF(AND(L1293="真",M1293="真"),"TP",IF(AND(L1293="真",M1293="假"),"FP",IF(AND(L1293="假",M1293="真"),"FN","TN"))))))</f>
        <v/>
      </c>
      <c r="S1293" s="3" t="n"/>
      <c r="T1293" s="3" t="n"/>
      <c r="U1293" s="3" t="n"/>
      <c r="V1293" s="3" t="n"/>
    </row>
    <row r="1294">
      <c r="A1294" s="3" t="n"/>
      <c r="B1294" s="3" t="n"/>
      <c r="C1294" s="3" t="n"/>
      <c r="D1294" s="4" t="n"/>
      <c r="E1294" s="3" t="n"/>
      <c r="F1294" s="3" t="n"/>
      <c r="G1294" s="3" t="n"/>
      <c r="H1294" s="3" t="n"/>
      <c r="I1294" s="3" t="n"/>
      <c r="J1294" s="3" t="n"/>
      <c r="K1294" s="3" t="n"/>
      <c r="L1294" s="3" t="n"/>
      <c r="M1294" s="3" t="n"/>
      <c r="N1294" s="3" t="n"/>
      <c r="O1294" s="3" t="n"/>
      <c r="P1294" s="3" t="n"/>
      <c r="Q1294" s="3" t="n"/>
      <c r="R1294" s="5">
        <f>IF(Q1294&lt;&gt;"是","排除",IF(OR(L1294="",M1294=""),"",IF(OR(L1294="未知",M1294="未知"),"未知",IF(AND(L1294="真",M1294="真"),"TP",IF(AND(L1294="真",M1294="假"),"FP",IF(AND(L1294="假",M1294="真"),"FN","TN"))))))</f>
        <v/>
      </c>
      <c r="S1294" s="3" t="n"/>
      <c r="T1294" s="3" t="n"/>
      <c r="U1294" s="3" t="n"/>
      <c r="V1294" s="3" t="n"/>
    </row>
    <row r="1295">
      <c r="A1295" s="3" t="n"/>
      <c r="B1295" s="3" t="n"/>
      <c r="C1295" s="3" t="n"/>
      <c r="D1295" s="4" t="n"/>
      <c r="E1295" s="3" t="n"/>
      <c r="F1295" s="3" t="n"/>
      <c r="G1295" s="3" t="n"/>
      <c r="H1295" s="3" t="n"/>
      <c r="I1295" s="3" t="n"/>
      <c r="J1295" s="3" t="n"/>
      <c r="K1295" s="3" t="n"/>
      <c r="L1295" s="3" t="n"/>
      <c r="M1295" s="3" t="n"/>
      <c r="N1295" s="3" t="n"/>
      <c r="O1295" s="3" t="n"/>
      <c r="P1295" s="3" t="n"/>
      <c r="Q1295" s="3" t="n"/>
      <c r="R1295" s="5">
        <f>IF(Q1295&lt;&gt;"是","排除",IF(OR(L1295="",M1295=""),"",IF(OR(L1295="未知",M1295="未知"),"未知",IF(AND(L1295="真",M1295="真"),"TP",IF(AND(L1295="真",M1295="假"),"FP",IF(AND(L1295="假",M1295="真"),"FN","TN"))))))</f>
        <v/>
      </c>
      <c r="S1295" s="3" t="n"/>
      <c r="T1295" s="3" t="n"/>
      <c r="U1295" s="3" t="n"/>
      <c r="V1295" s="3" t="n"/>
    </row>
    <row r="1296">
      <c r="A1296" s="3" t="n"/>
      <c r="B1296" s="3" t="n"/>
      <c r="C1296" s="3" t="n"/>
      <c r="D1296" s="4" t="n"/>
      <c r="E1296" s="3" t="n"/>
      <c r="F1296" s="3" t="n"/>
      <c r="G1296" s="3" t="n"/>
      <c r="H1296" s="3" t="n"/>
      <c r="I1296" s="3" t="n"/>
      <c r="J1296" s="3" t="n"/>
      <c r="K1296" s="3" t="n"/>
      <c r="L1296" s="3" t="n"/>
      <c r="M1296" s="3" t="n"/>
      <c r="N1296" s="3" t="n"/>
      <c r="O1296" s="3" t="n"/>
      <c r="P1296" s="3" t="n"/>
      <c r="Q1296" s="3" t="n"/>
      <c r="R1296" s="5">
        <f>IF(Q1296&lt;&gt;"是","排除",IF(OR(L1296="",M1296=""),"",IF(OR(L1296="未知",M1296="未知"),"未知",IF(AND(L1296="真",M1296="真"),"TP",IF(AND(L1296="真",M1296="假"),"FP",IF(AND(L1296="假",M1296="真"),"FN","TN"))))))</f>
        <v/>
      </c>
      <c r="S1296" s="3" t="n"/>
      <c r="T1296" s="3" t="n"/>
      <c r="U1296" s="3" t="n"/>
      <c r="V1296" s="3" t="n"/>
    </row>
    <row r="1297">
      <c r="A1297" s="3" t="n"/>
      <c r="B1297" s="3" t="n"/>
      <c r="C1297" s="3" t="n"/>
      <c r="D1297" s="4" t="n"/>
      <c r="E1297" s="3" t="n"/>
      <c r="F1297" s="3" t="n"/>
      <c r="G1297" s="3" t="n"/>
      <c r="H1297" s="3" t="n"/>
      <c r="I1297" s="3" t="n"/>
      <c r="J1297" s="3" t="n"/>
      <c r="K1297" s="3" t="n"/>
      <c r="L1297" s="3" t="n"/>
      <c r="M1297" s="3" t="n"/>
      <c r="N1297" s="3" t="n"/>
      <c r="O1297" s="3" t="n"/>
      <c r="P1297" s="3" t="n"/>
      <c r="Q1297" s="3" t="n"/>
      <c r="R1297" s="5">
        <f>IF(Q1297&lt;&gt;"是","排除",IF(OR(L1297="",M1297=""),"",IF(OR(L1297="未知",M1297="未知"),"未知",IF(AND(L1297="真",M1297="真"),"TP",IF(AND(L1297="真",M1297="假"),"FP",IF(AND(L1297="假",M1297="真"),"FN","TN"))))))</f>
        <v/>
      </c>
      <c r="S1297" s="3" t="n"/>
      <c r="T1297" s="3" t="n"/>
      <c r="U1297" s="3" t="n"/>
      <c r="V1297" s="3" t="n"/>
    </row>
    <row r="1298">
      <c r="A1298" s="3" t="n"/>
      <c r="B1298" s="3" t="n"/>
      <c r="C1298" s="3" t="n"/>
      <c r="D1298" s="4" t="n"/>
      <c r="E1298" s="3" t="n"/>
      <c r="F1298" s="3" t="n"/>
      <c r="G1298" s="3" t="n"/>
      <c r="H1298" s="3" t="n"/>
      <c r="I1298" s="3" t="n"/>
      <c r="J1298" s="3" t="n"/>
      <c r="K1298" s="3" t="n"/>
      <c r="L1298" s="3" t="n"/>
      <c r="M1298" s="3" t="n"/>
      <c r="N1298" s="3" t="n"/>
      <c r="O1298" s="3" t="n"/>
      <c r="P1298" s="3" t="n"/>
      <c r="Q1298" s="3" t="n"/>
      <c r="R1298" s="5">
        <f>IF(Q1298&lt;&gt;"是","排除",IF(OR(L1298="",M1298=""),"",IF(OR(L1298="未知",M1298="未知"),"未知",IF(AND(L1298="真",M1298="真"),"TP",IF(AND(L1298="真",M1298="假"),"FP",IF(AND(L1298="假",M1298="真"),"FN","TN"))))))</f>
        <v/>
      </c>
      <c r="S1298" s="3" t="n"/>
      <c r="T1298" s="3" t="n"/>
      <c r="U1298" s="3" t="n"/>
      <c r="V1298" s="3" t="n"/>
    </row>
    <row r="1299">
      <c r="A1299" s="3" t="n"/>
      <c r="B1299" s="3" t="n"/>
      <c r="C1299" s="3" t="n"/>
      <c r="D1299" s="4" t="n"/>
      <c r="E1299" s="3" t="n"/>
      <c r="F1299" s="3" t="n"/>
      <c r="G1299" s="3" t="n"/>
      <c r="H1299" s="3" t="n"/>
      <c r="I1299" s="3" t="n"/>
      <c r="J1299" s="3" t="n"/>
      <c r="K1299" s="3" t="n"/>
      <c r="L1299" s="3" t="n"/>
      <c r="M1299" s="3" t="n"/>
      <c r="N1299" s="3" t="n"/>
      <c r="O1299" s="3" t="n"/>
      <c r="P1299" s="3" t="n"/>
      <c r="Q1299" s="3" t="n"/>
      <c r="R1299" s="5">
        <f>IF(Q1299&lt;&gt;"是","排除",IF(OR(L1299="",M1299=""),"",IF(OR(L1299="未知",M1299="未知"),"未知",IF(AND(L1299="真",M1299="真"),"TP",IF(AND(L1299="真",M1299="假"),"FP",IF(AND(L1299="假",M1299="真"),"FN","TN"))))))</f>
        <v/>
      </c>
      <c r="S1299" s="3" t="n"/>
      <c r="T1299" s="3" t="n"/>
      <c r="U1299" s="3" t="n"/>
      <c r="V1299" s="3" t="n"/>
    </row>
    <row r="1300">
      <c r="A1300" s="3" t="n"/>
      <c r="B1300" s="3" t="n"/>
      <c r="C1300" s="3" t="n"/>
      <c r="D1300" s="4" t="n"/>
      <c r="E1300" s="3" t="n"/>
      <c r="F1300" s="3" t="n"/>
      <c r="G1300" s="3" t="n"/>
      <c r="H1300" s="3" t="n"/>
      <c r="I1300" s="3" t="n"/>
      <c r="J1300" s="3" t="n"/>
      <c r="K1300" s="3" t="n"/>
      <c r="L1300" s="3" t="n"/>
      <c r="M1300" s="3" t="n"/>
      <c r="N1300" s="3" t="n"/>
      <c r="O1300" s="3" t="n"/>
      <c r="P1300" s="3" t="n"/>
      <c r="Q1300" s="3" t="n"/>
      <c r="R1300" s="5">
        <f>IF(Q1300&lt;&gt;"是","排除",IF(OR(L1300="",M1300=""),"",IF(OR(L1300="未知",M1300="未知"),"未知",IF(AND(L1300="真",M1300="真"),"TP",IF(AND(L1300="真",M1300="假"),"FP",IF(AND(L1300="假",M1300="真"),"FN","TN"))))))</f>
        <v/>
      </c>
      <c r="S1300" s="3" t="n"/>
      <c r="T1300" s="3" t="n"/>
      <c r="U1300" s="3" t="n"/>
      <c r="V1300" s="3" t="n"/>
    </row>
    <row r="1301">
      <c r="A1301" s="3" t="n"/>
      <c r="B1301" s="3" t="n"/>
      <c r="C1301" s="3" t="n"/>
      <c r="D1301" s="4" t="n"/>
      <c r="E1301" s="3" t="n"/>
      <c r="F1301" s="3" t="n"/>
      <c r="G1301" s="3" t="n"/>
      <c r="H1301" s="3" t="n"/>
      <c r="I1301" s="3" t="n"/>
      <c r="J1301" s="3" t="n"/>
      <c r="K1301" s="3" t="n"/>
      <c r="L1301" s="3" t="n"/>
      <c r="M1301" s="3" t="n"/>
      <c r="N1301" s="3" t="n"/>
      <c r="O1301" s="3" t="n"/>
      <c r="P1301" s="3" t="n"/>
      <c r="Q1301" s="3" t="n"/>
      <c r="R1301" s="5">
        <f>IF(Q1301&lt;&gt;"是","排除",IF(OR(L1301="",M1301=""),"",IF(OR(L1301="未知",M1301="未知"),"未知",IF(AND(L1301="真",M1301="真"),"TP",IF(AND(L1301="真",M1301="假"),"FP",IF(AND(L1301="假",M1301="真"),"FN","TN"))))))</f>
        <v/>
      </c>
      <c r="S1301" s="3" t="n"/>
      <c r="T1301" s="3" t="n"/>
      <c r="U1301" s="3" t="n"/>
      <c r="V1301" s="3" t="n"/>
    </row>
    <row r="1302">
      <c r="A1302" s="3" t="n"/>
      <c r="B1302" s="3" t="n"/>
      <c r="C1302" s="3" t="n"/>
      <c r="D1302" s="4" t="n"/>
      <c r="E1302" s="3" t="n"/>
      <c r="F1302" s="3" t="n"/>
      <c r="G1302" s="3" t="n"/>
      <c r="H1302" s="3" t="n"/>
      <c r="I1302" s="3" t="n"/>
      <c r="J1302" s="3" t="n"/>
      <c r="K1302" s="3" t="n"/>
      <c r="L1302" s="3" t="n"/>
      <c r="M1302" s="3" t="n"/>
      <c r="N1302" s="3" t="n"/>
      <c r="O1302" s="3" t="n"/>
      <c r="P1302" s="3" t="n"/>
      <c r="Q1302" s="3" t="n"/>
      <c r="R1302" s="5">
        <f>IF(Q1302&lt;&gt;"是","排除",IF(OR(L1302="",M1302=""),"",IF(OR(L1302="未知",M1302="未知"),"未知",IF(AND(L1302="真",M1302="真"),"TP",IF(AND(L1302="真",M1302="假"),"FP",IF(AND(L1302="假",M1302="真"),"FN","TN"))))))</f>
        <v/>
      </c>
      <c r="S1302" s="3" t="n"/>
      <c r="T1302" s="3" t="n"/>
      <c r="U1302" s="3" t="n"/>
      <c r="V1302" s="3" t="n"/>
    </row>
    <row r="1303">
      <c r="A1303" s="3" t="n"/>
      <c r="B1303" s="3" t="n"/>
      <c r="C1303" s="3" t="n"/>
      <c r="D1303" s="4" t="n"/>
      <c r="E1303" s="3" t="n"/>
      <c r="F1303" s="3" t="n"/>
      <c r="G1303" s="3" t="n"/>
      <c r="H1303" s="3" t="n"/>
      <c r="I1303" s="3" t="n"/>
      <c r="J1303" s="3" t="n"/>
      <c r="K1303" s="3" t="n"/>
      <c r="L1303" s="3" t="n"/>
      <c r="M1303" s="3" t="n"/>
      <c r="N1303" s="3" t="n"/>
      <c r="O1303" s="3" t="n"/>
      <c r="P1303" s="3" t="n"/>
      <c r="Q1303" s="3" t="n"/>
      <c r="R1303" s="5">
        <f>IF(Q1303&lt;&gt;"是","排除",IF(OR(L1303="",M1303=""),"",IF(OR(L1303="未知",M1303="未知"),"未知",IF(AND(L1303="真",M1303="真"),"TP",IF(AND(L1303="真",M1303="假"),"FP",IF(AND(L1303="假",M1303="真"),"FN","TN"))))))</f>
        <v/>
      </c>
      <c r="S1303" s="3" t="n"/>
      <c r="T1303" s="3" t="n"/>
      <c r="U1303" s="3" t="n"/>
      <c r="V1303" s="3" t="n"/>
    </row>
    <row r="1304">
      <c r="A1304" s="3" t="n"/>
      <c r="B1304" s="3" t="n"/>
      <c r="C1304" s="3" t="n"/>
      <c r="D1304" s="4" t="n"/>
      <c r="E1304" s="3" t="n"/>
      <c r="F1304" s="3" t="n"/>
      <c r="G1304" s="3" t="n"/>
      <c r="H1304" s="3" t="n"/>
      <c r="I1304" s="3" t="n"/>
      <c r="J1304" s="3" t="n"/>
      <c r="K1304" s="3" t="n"/>
      <c r="L1304" s="3" t="n"/>
      <c r="M1304" s="3" t="n"/>
      <c r="N1304" s="3" t="n"/>
      <c r="O1304" s="3" t="n"/>
      <c r="P1304" s="3" t="n"/>
      <c r="Q1304" s="3" t="n"/>
      <c r="R1304" s="5">
        <f>IF(Q1304&lt;&gt;"是","排除",IF(OR(L1304="",M1304=""),"",IF(OR(L1304="未知",M1304="未知"),"未知",IF(AND(L1304="真",M1304="真"),"TP",IF(AND(L1304="真",M1304="假"),"FP",IF(AND(L1304="假",M1304="真"),"FN","TN"))))))</f>
        <v/>
      </c>
      <c r="S1304" s="3" t="n"/>
      <c r="T1304" s="3" t="n"/>
      <c r="U1304" s="3" t="n"/>
      <c r="V1304" s="3" t="n"/>
    </row>
    <row r="1305">
      <c r="A1305" s="3" t="n"/>
      <c r="B1305" s="3" t="n"/>
      <c r="C1305" s="3" t="n"/>
      <c r="D1305" s="4" t="n"/>
      <c r="E1305" s="3" t="n"/>
      <c r="F1305" s="3" t="n"/>
      <c r="G1305" s="3" t="n"/>
      <c r="H1305" s="3" t="n"/>
      <c r="I1305" s="3" t="n"/>
      <c r="J1305" s="3" t="n"/>
      <c r="K1305" s="3" t="n"/>
      <c r="L1305" s="3" t="n"/>
      <c r="M1305" s="3" t="n"/>
      <c r="N1305" s="3" t="n"/>
      <c r="O1305" s="3" t="n"/>
      <c r="P1305" s="3" t="n"/>
      <c r="Q1305" s="3" t="n"/>
      <c r="R1305" s="5">
        <f>IF(Q1305&lt;&gt;"是","排除",IF(OR(L1305="",M1305=""),"",IF(OR(L1305="未知",M1305="未知"),"未知",IF(AND(L1305="真",M1305="真"),"TP",IF(AND(L1305="真",M1305="假"),"FP",IF(AND(L1305="假",M1305="真"),"FN","TN"))))))</f>
        <v/>
      </c>
      <c r="S1305" s="3" t="n"/>
      <c r="T1305" s="3" t="n"/>
      <c r="U1305" s="3" t="n"/>
      <c r="V1305" s="3" t="n"/>
    </row>
    <row r="1306">
      <c r="A1306" s="3" t="n"/>
      <c r="B1306" s="3" t="n"/>
      <c r="C1306" s="3" t="n"/>
      <c r="D1306" s="4" t="n"/>
      <c r="E1306" s="3" t="n"/>
      <c r="F1306" s="3" t="n"/>
      <c r="G1306" s="3" t="n"/>
      <c r="H1306" s="3" t="n"/>
      <c r="I1306" s="3" t="n"/>
      <c r="J1306" s="3" t="n"/>
      <c r="K1306" s="3" t="n"/>
      <c r="L1306" s="3" t="n"/>
      <c r="M1306" s="3" t="n"/>
      <c r="N1306" s="3" t="n"/>
      <c r="O1306" s="3" t="n"/>
      <c r="P1306" s="3" t="n"/>
      <c r="Q1306" s="3" t="n"/>
      <c r="R1306" s="5">
        <f>IF(Q1306&lt;&gt;"是","排除",IF(OR(L1306="",M1306=""),"",IF(OR(L1306="未知",M1306="未知"),"未知",IF(AND(L1306="真",M1306="真"),"TP",IF(AND(L1306="真",M1306="假"),"FP",IF(AND(L1306="假",M1306="真"),"FN","TN"))))))</f>
        <v/>
      </c>
      <c r="S1306" s="3" t="n"/>
      <c r="T1306" s="3" t="n"/>
      <c r="U1306" s="3" t="n"/>
      <c r="V1306" s="3" t="n"/>
    </row>
    <row r="1307">
      <c r="A1307" s="3" t="n"/>
      <c r="B1307" s="3" t="n"/>
      <c r="C1307" s="3" t="n"/>
      <c r="D1307" s="4" t="n"/>
      <c r="E1307" s="3" t="n"/>
      <c r="F1307" s="3" t="n"/>
      <c r="G1307" s="3" t="n"/>
      <c r="H1307" s="3" t="n"/>
      <c r="I1307" s="3" t="n"/>
      <c r="J1307" s="3" t="n"/>
      <c r="K1307" s="3" t="n"/>
      <c r="L1307" s="3" t="n"/>
      <c r="M1307" s="3" t="n"/>
      <c r="N1307" s="3" t="n"/>
      <c r="O1307" s="3" t="n"/>
      <c r="P1307" s="3" t="n"/>
      <c r="Q1307" s="3" t="n"/>
      <c r="R1307" s="5">
        <f>IF(Q1307&lt;&gt;"是","排除",IF(OR(L1307="",M1307=""),"",IF(OR(L1307="未知",M1307="未知"),"未知",IF(AND(L1307="真",M1307="真"),"TP",IF(AND(L1307="真",M1307="假"),"FP",IF(AND(L1307="假",M1307="真"),"FN","TN"))))))</f>
        <v/>
      </c>
      <c r="S1307" s="3" t="n"/>
      <c r="T1307" s="3" t="n"/>
      <c r="U1307" s="3" t="n"/>
      <c r="V1307" s="3" t="n"/>
    </row>
    <row r="1308">
      <c r="A1308" s="3" t="n"/>
      <c r="B1308" s="3" t="n"/>
      <c r="C1308" s="3" t="n"/>
      <c r="D1308" s="4" t="n"/>
      <c r="E1308" s="3" t="n"/>
      <c r="F1308" s="3" t="n"/>
      <c r="G1308" s="3" t="n"/>
      <c r="H1308" s="3" t="n"/>
      <c r="I1308" s="3" t="n"/>
      <c r="J1308" s="3" t="n"/>
      <c r="K1308" s="3" t="n"/>
      <c r="L1308" s="3" t="n"/>
      <c r="M1308" s="3" t="n"/>
      <c r="N1308" s="3" t="n"/>
      <c r="O1308" s="3" t="n"/>
      <c r="P1308" s="3" t="n"/>
      <c r="Q1308" s="3" t="n"/>
      <c r="R1308" s="5">
        <f>IF(Q1308&lt;&gt;"是","排除",IF(OR(L1308="",M1308=""),"",IF(OR(L1308="未知",M1308="未知"),"未知",IF(AND(L1308="真",M1308="真"),"TP",IF(AND(L1308="真",M1308="假"),"FP",IF(AND(L1308="假",M1308="真"),"FN","TN"))))))</f>
        <v/>
      </c>
      <c r="S1308" s="3" t="n"/>
      <c r="T1308" s="3" t="n"/>
      <c r="U1308" s="3" t="n"/>
      <c r="V1308" s="3" t="n"/>
    </row>
    <row r="1309">
      <c r="A1309" s="3" t="n"/>
      <c r="B1309" s="3" t="n"/>
      <c r="C1309" s="3" t="n"/>
      <c r="D1309" s="4" t="n"/>
      <c r="E1309" s="3" t="n"/>
      <c r="F1309" s="3" t="n"/>
      <c r="G1309" s="3" t="n"/>
      <c r="H1309" s="3" t="n"/>
      <c r="I1309" s="3" t="n"/>
      <c r="J1309" s="3" t="n"/>
      <c r="K1309" s="3" t="n"/>
      <c r="L1309" s="3" t="n"/>
      <c r="M1309" s="3" t="n"/>
      <c r="N1309" s="3" t="n"/>
      <c r="O1309" s="3" t="n"/>
      <c r="P1309" s="3" t="n"/>
      <c r="Q1309" s="3" t="n"/>
      <c r="R1309" s="5">
        <f>IF(Q1309&lt;&gt;"是","排除",IF(OR(L1309="",M1309=""),"",IF(OR(L1309="未知",M1309="未知"),"未知",IF(AND(L1309="真",M1309="真"),"TP",IF(AND(L1309="真",M1309="假"),"FP",IF(AND(L1309="假",M1309="真"),"FN","TN"))))))</f>
        <v/>
      </c>
      <c r="S1309" s="3" t="n"/>
      <c r="T1309" s="3" t="n"/>
      <c r="U1309" s="3" t="n"/>
      <c r="V1309" s="3" t="n"/>
    </row>
    <row r="1310">
      <c r="A1310" s="3" t="n"/>
      <c r="B1310" s="3" t="n"/>
      <c r="C1310" s="3" t="n"/>
      <c r="D1310" s="4" t="n"/>
      <c r="E1310" s="3" t="n"/>
      <c r="F1310" s="3" t="n"/>
      <c r="G1310" s="3" t="n"/>
      <c r="H1310" s="3" t="n"/>
      <c r="I1310" s="3" t="n"/>
      <c r="J1310" s="3" t="n"/>
      <c r="K1310" s="3" t="n"/>
      <c r="L1310" s="3" t="n"/>
      <c r="M1310" s="3" t="n"/>
      <c r="N1310" s="3" t="n"/>
      <c r="O1310" s="3" t="n"/>
      <c r="P1310" s="3" t="n"/>
      <c r="Q1310" s="3" t="n"/>
      <c r="R1310" s="5">
        <f>IF(Q1310&lt;&gt;"是","排除",IF(OR(L1310="",M1310=""),"",IF(OR(L1310="未知",M1310="未知"),"未知",IF(AND(L1310="真",M1310="真"),"TP",IF(AND(L1310="真",M1310="假"),"FP",IF(AND(L1310="假",M1310="真"),"FN","TN"))))))</f>
        <v/>
      </c>
      <c r="S1310" s="3" t="n"/>
      <c r="T1310" s="3" t="n"/>
      <c r="U1310" s="3" t="n"/>
      <c r="V1310" s="3" t="n"/>
    </row>
    <row r="1311">
      <c r="A1311" s="3" t="n"/>
      <c r="B1311" s="3" t="n"/>
      <c r="C1311" s="3" t="n"/>
      <c r="D1311" s="4" t="n"/>
      <c r="E1311" s="3" t="n"/>
      <c r="F1311" s="3" t="n"/>
      <c r="G1311" s="3" t="n"/>
      <c r="H1311" s="3" t="n"/>
      <c r="I1311" s="3" t="n"/>
      <c r="J1311" s="3" t="n"/>
      <c r="K1311" s="3" t="n"/>
      <c r="L1311" s="3" t="n"/>
      <c r="M1311" s="3" t="n"/>
      <c r="N1311" s="3" t="n"/>
      <c r="O1311" s="3" t="n"/>
      <c r="P1311" s="3" t="n"/>
      <c r="Q1311" s="3" t="n"/>
      <c r="R1311" s="5">
        <f>IF(Q1311&lt;&gt;"是","排除",IF(OR(L1311="",M1311=""),"",IF(OR(L1311="未知",M1311="未知"),"未知",IF(AND(L1311="真",M1311="真"),"TP",IF(AND(L1311="真",M1311="假"),"FP",IF(AND(L1311="假",M1311="真"),"FN","TN"))))))</f>
        <v/>
      </c>
      <c r="S1311" s="3" t="n"/>
      <c r="T1311" s="3" t="n"/>
      <c r="U1311" s="3" t="n"/>
      <c r="V1311" s="3" t="n"/>
    </row>
    <row r="1312">
      <c r="A1312" s="3" t="n"/>
      <c r="B1312" s="3" t="n"/>
      <c r="C1312" s="3" t="n"/>
      <c r="D1312" s="4" t="n"/>
      <c r="E1312" s="3" t="n"/>
      <c r="F1312" s="3" t="n"/>
      <c r="G1312" s="3" t="n"/>
      <c r="H1312" s="3" t="n"/>
      <c r="I1312" s="3" t="n"/>
      <c r="J1312" s="3" t="n"/>
      <c r="K1312" s="3" t="n"/>
      <c r="L1312" s="3" t="n"/>
      <c r="M1312" s="3" t="n"/>
      <c r="N1312" s="3" t="n"/>
      <c r="O1312" s="3" t="n"/>
      <c r="P1312" s="3" t="n"/>
      <c r="Q1312" s="3" t="n"/>
      <c r="R1312" s="5">
        <f>IF(Q1312&lt;&gt;"是","排除",IF(OR(L1312="",M1312=""),"",IF(OR(L1312="未知",M1312="未知"),"未知",IF(AND(L1312="真",M1312="真"),"TP",IF(AND(L1312="真",M1312="假"),"FP",IF(AND(L1312="假",M1312="真"),"FN","TN"))))))</f>
        <v/>
      </c>
      <c r="S1312" s="3" t="n"/>
      <c r="T1312" s="3" t="n"/>
      <c r="U1312" s="3" t="n"/>
      <c r="V1312" s="3" t="n"/>
    </row>
    <row r="1313">
      <c r="A1313" s="3" t="n"/>
      <c r="B1313" s="3" t="n"/>
      <c r="C1313" s="3" t="n"/>
      <c r="D1313" s="4" t="n"/>
      <c r="E1313" s="3" t="n"/>
      <c r="F1313" s="3" t="n"/>
      <c r="G1313" s="3" t="n"/>
      <c r="H1313" s="3" t="n"/>
      <c r="I1313" s="3" t="n"/>
      <c r="J1313" s="3" t="n"/>
      <c r="K1313" s="3" t="n"/>
      <c r="L1313" s="3" t="n"/>
      <c r="M1313" s="3" t="n"/>
      <c r="N1313" s="3" t="n"/>
      <c r="O1313" s="3" t="n"/>
      <c r="P1313" s="3" t="n"/>
      <c r="Q1313" s="3" t="n"/>
      <c r="R1313" s="5">
        <f>IF(Q1313&lt;&gt;"是","排除",IF(OR(L1313="",M1313=""),"",IF(OR(L1313="未知",M1313="未知"),"未知",IF(AND(L1313="真",M1313="真"),"TP",IF(AND(L1313="真",M1313="假"),"FP",IF(AND(L1313="假",M1313="真"),"FN","TN"))))))</f>
        <v/>
      </c>
      <c r="S1313" s="3" t="n"/>
      <c r="T1313" s="3" t="n"/>
      <c r="U1313" s="3" t="n"/>
      <c r="V1313" s="3" t="n"/>
    </row>
    <row r="1314">
      <c r="A1314" s="3" t="n"/>
      <c r="B1314" s="3" t="n"/>
      <c r="C1314" s="3" t="n"/>
      <c r="D1314" s="4" t="n"/>
      <c r="E1314" s="3" t="n"/>
      <c r="F1314" s="3" t="n"/>
      <c r="G1314" s="3" t="n"/>
      <c r="H1314" s="3" t="n"/>
      <c r="I1314" s="3" t="n"/>
      <c r="J1314" s="3" t="n"/>
      <c r="K1314" s="3" t="n"/>
      <c r="L1314" s="3" t="n"/>
      <c r="M1314" s="3" t="n"/>
      <c r="N1314" s="3" t="n"/>
      <c r="O1314" s="3" t="n"/>
      <c r="P1314" s="3" t="n"/>
      <c r="Q1314" s="3" t="n"/>
      <c r="R1314" s="5">
        <f>IF(Q1314&lt;&gt;"是","排除",IF(OR(L1314="",M1314=""),"",IF(OR(L1314="未知",M1314="未知"),"未知",IF(AND(L1314="真",M1314="真"),"TP",IF(AND(L1314="真",M1314="假"),"FP",IF(AND(L1314="假",M1314="真"),"FN","TN"))))))</f>
        <v/>
      </c>
      <c r="S1314" s="3" t="n"/>
      <c r="T1314" s="3" t="n"/>
      <c r="U1314" s="3" t="n"/>
      <c r="V1314" s="3" t="n"/>
    </row>
    <row r="1315">
      <c r="A1315" s="3" t="n"/>
      <c r="B1315" s="3" t="n"/>
      <c r="C1315" s="3" t="n"/>
      <c r="D1315" s="4" t="n"/>
      <c r="E1315" s="3" t="n"/>
      <c r="F1315" s="3" t="n"/>
      <c r="G1315" s="3" t="n"/>
      <c r="H1315" s="3" t="n"/>
      <c r="I1315" s="3" t="n"/>
      <c r="J1315" s="3" t="n"/>
      <c r="K1315" s="3" t="n"/>
      <c r="L1315" s="3" t="n"/>
      <c r="M1315" s="3" t="n"/>
      <c r="N1315" s="3" t="n"/>
      <c r="O1315" s="3" t="n"/>
      <c r="P1315" s="3" t="n"/>
      <c r="Q1315" s="3" t="n"/>
      <c r="R1315" s="5">
        <f>IF(Q1315&lt;&gt;"是","排除",IF(OR(L1315="",M1315=""),"",IF(OR(L1315="未知",M1315="未知"),"未知",IF(AND(L1315="真",M1315="真"),"TP",IF(AND(L1315="真",M1315="假"),"FP",IF(AND(L1315="假",M1315="真"),"FN","TN"))))))</f>
        <v/>
      </c>
      <c r="S1315" s="3" t="n"/>
      <c r="T1315" s="3" t="n"/>
      <c r="U1315" s="3" t="n"/>
      <c r="V1315" s="3" t="n"/>
    </row>
    <row r="1316">
      <c r="A1316" s="3" t="n"/>
      <c r="B1316" s="3" t="n"/>
      <c r="C1316" s="3" t="n"/>
      <c r="D1316" s="4" t="n"/>
      <c r="E1316" s="3" t="n"/>
      <c r="F1316" s="3" t="n"/>
      <c r="G1316" s="3" t="n"/>
      <c r="H1316" s="3" t="n"/>
      <c r="I1316" s="3" t="n"/>
      <c r="J1316" s="3" t="n"/>
      <c r="K1316" s="3" t="n"/>
      <c r="L1316" s="3" t="n"/>
      <c r="M1316" s="3" t="n"/>
      <c r="N1316" s="3" t="n"/>
      <c r="O1316" s="3" t="n"/>
      <c r="P1316" s="3" t="n"/>
      <c r="Q1316" s="3" t="n"/>
      <c r="R1316" s="5">
        <f>IF(Q1316&lt;&gt;"是","排除",IF(OR(L1316="",M1316=""),"",IF(OR(L1316="未知",M1316="未知"),"未知",IF(AND(L1316="真",M1316="真"),"TP",IF(AND(L1316="真",M1316="假"),"FP",IF(AND(L1316="假",M1316="真"),"FN","TN"))))))</f>
        <v/>
      </c>
      <c r="S1316" s="3" t="n"/>
      <c r="T1316" s="3" t="n"/>
      <c r="U1316" s="3" t="n"/>
      <c r="V1316" s="3" t="n"/>
    </row>
    <row r="1317">
      <c r="A1317" s="3" t="n"/>
      <c r="B1317" s="3" t="n"/>
      <c r="C1317" s="3" t="n"/>
      <c r="D1317" s="4" t="n"/>
      <c r="E1317" s="3" t="n"/>
      <c r="F1317" s="3" t="n"/>
      <c r="G1317" s="3" t="n"/>
      <c r="H1317" s="3" t="n"/>
      <c r="I1317" s="3" t="n"/>
      <c r="J1317" s="3" t="n"/>
      <c r="K1317" s="3" t="n"/>
      <c r="L1317" s="3" t="n"/>
      <c r="M1317" s="3" t="n"/>
      <c r="N1317" s="3" t="n"/>
      <c r="O1317" s="3" t="n"/>
      <c r="P1317" s="3" t="n"/>
      <c r="Q1317" s="3" t="n"/>
      <c r="R1317" s="5">
        <f>IF(Q1317&lt;&gt;"是","排除",IF(OR(L1317="",M1317=""),"",IF(OR(L1317="未知",M1317="未知"),"未知",IF(AND(L1317="真",M1317="真"),"TP",IF(AND(L1317="真",M1317="假"),"FP",IF(AND(L1317="假",M1317="真"),"FN","TN"))))))</f>
        <v/>
      </c>
      <c r="S1317" s="3" t="n"/>
      <c r="T1317" s="3" t="n"/>
      <c r="U1317" s="3" t="n"/>
      <c r="V1317" s="3" t="n"/>
    </row>
    <row r="1318">
      <c r="A1318" s="3" t="n"/>
      <c r="B1318" s="3" t="n"/>
      <c r="C1318" s="3" t="n"/>
      <c r="D1318" s="4" t="n"/>
      <c r="E1318" s="3" t="n"/>
      <c r="F1318" s="3" t="n"/>
      <c r="G1318" s="3" t="n"/>
      <c r="H1318" s="3" t="n"/>
      <c r="I1318" s="3" t="n"/>
      <c r="J1318" s="3" t="n"/>
      <c r="K1318" s="3" t="n"/>
      <c r="L1318" s="3" t="n"/>
      <c r="M1318" s="3" t="n"/>
      <c r="N1318" s="3" t="n"/>
      <c r="O1318" s="3" t="n"/>
      <c r="P1318" s="3" t="n"/>
      <c r="Q1318" s="3" t="n"/>
      <c r="R1318" s="5">
        <f>IF(Q1318&lt;&gt;"是","排除",IF(OR(L1318="",M1318=""),"",IF(OR(L1318="未知",M1318="未知"),"未知",IF(AND(L1318="真",M1318="真"),"TP",IF(AND(L1318="真",M1318="假"),"FP",IF(AND(L1318="假",M1318="真"),"FN","TN"))))))</f>
        <v/>
      </c>
      <c r="S1318" s="3" t="n"/>
      <c r="T1318" s="3" t="n"/>
      <c r="U1318" s="3" t="n"/>
      <c r="V1318" s="3" t="n"/>
    </row>
    <row r="1319">
      <c r="A1319" s="3" t="n"/>
      <c r="B1319" s="3" t="n"/>
      <c r="C1319" s="3" t="n"/>
      <c r="D1319" s="4" t="n"/>
      <c r="E1319" s="3" t="n"/>
      <c r="F1319" s="3" t="n"/>
      <c r="G1319" s="3" t="n"/>
      <c r="H1319" s="3" t="n"/>
      <c r="I1319" s="3" t="n"/>
      <c r="J1319" s="3" t="n"/>
      <c r="K1319" s="3" t="n"/>
      <c r="L1319" s="3" t="n"/>
      <c r="M1319" s="3" t="n"/>
      <c r="N1319" s="3" t="n"/>
      <c r="O1319" s="3" t="n"/>
      <c r="P1319" s="3" t="n"/>
      <c r="Q1319" s="3" t="n"/>
      <c r="R1319" s="5">
        <f>IF(Q1319&lt;&gt;"是","排除",IF(OR(L1319="",M1319=""),"",IF(OR(L1319="未知",M1319="未知"),"未知",IF(AND(L1319="真",M1319="真"),"TP",IF(AND(L1319="真",M1319="假"),"FP",IF(AND(L1319="假",M1319="真"),"FN","TN"))))))</f>
        <v/>
      </c>
      <c r="S1319" s="3" t="n"/>
      <c r="T1319" s="3" t="n"/>
      <c r="U1319" s="3" t="n"/>
      <c r="V1319" s="3" t="n"/>
    </row>
    <row r="1320">
      <c r="A1320" s="3" t="n"/>
      <c r="B1320" s="3" t="n"/>
      <c r="C1320" s="3" t="n"/>
      <c r="D1320" s="4" t="n"/>
      <c r="E1320" s="3" t="n"/>
      <c r="F1320" s="3" t="n"/>
      <c r="G1320" s="3" t="n"/>
      <c r="H1320" s="3" t="n"/>
      <c r="I1320" s="3" t="n"/>
      <c r="J1320" s="3" t="n"/>
      <c r="K1320" s="3" t="n"/>
      <c r="L1320" s="3" t="n"/>
      <c r="M1320" s="3" t="n"/>
      <c r="N1320" s="3" t="n"/>
      <c r="O1320" s="3" t="n"/>
      <c r="P1320" s="3" t="n"/>
      <c r="Q1320" s="3" t="n"/>
      <c r="R1320" s="5">
        <f>IF(Q1320&lt;&gt;"是","排除",IF(OR(L1320="",M1320=""),"",IF(OR(L1320="未知",M1320="未知"),"未知",IF(AND(L1320="真",M1320="真"),"TP",IF(AND(L1320="真",M1320="假"),"FP",IF(AND(L1320="假",M1320="真"),"FN","TN"))))))</f>
        <v/>
      </c>
      <c r="S1320" s="3" t="n"/>
      <c r="T1320" s="3" t="n"/>
      <c r="U1320" s="3" t="n"/>
      <c r="V1320" s="3" t="n"/>
    </row>
    <row r="1321">
      <c r="A1321" s="3" t="n"/>
      <c r="B1321" s="3" t="n"/>
      <c r="C1321" s="3" t="n"/>
      <c r="D1321" s="4" t="n"/>
      <c r="E1321" s="3" t="n"/>
      <c r="F1321" s="3" t="n"/>
      <c r="G1321" s="3" t="n"/>
      <c r="H1321" s="3" t="n"/>
      <c r="I1321" s="3" t="n"/>
      <c r="J1321" s="3" t="n"/>
      <c r="K1321" s="3" t="n"/>
      <c r="L1321" s="3" t="n"/>
      <c r="M1321" s="3" t="n"/>
      <c r="N1321" s="3" t="n"/>
      <c r="O1321" s="3" t="n"/>
      <c r="P1321" s="3" t="n"/>
      <c r="Q1321" s="3" t="n"/>
      <c r="R1321" s="5">
        <f>IF(Q1321&lt;&gt;"是","排除",IF(OR(L1321="",M1321=""),"",IF(OR(L1321="未知",M1321="未知"),"未知",IF(AND(L1321="真",M1321="真"),"TP",IF(AND(L1321="真",M1321="假"),"FP",IF(AND(L1321="假",M1321="真"),"FN","TN"))))))</f>
        <v/>
      </c>
      <c r="S1321" s="3" t="n"/>
      <c r="T1321" s="3" t="n"/>
      <c r="U1321" s="3" t="n"/>
      <c r="V1321" s="3" t="n"/>
    </row>
    <row r="1322">
      <c r="A1322" s="3" t="n"/>
      <c r="B1322" s="3" t="n"/>
      <c r="C1322" s="3" t="n"/>
      <c r="D1322" s="4" t="n"/>
      <c r="E1322" s="3" t="n"/>
      <c r="F1322" s="3" t="n"/>
      <c r="G1322" s="3" t="n"/>
      <c r="H1322" s="3" t="n"/>
      <c r="I1322" s="3" t="n"/>
      <c r="J1322" s="3" t="n"/>
      <c r="K1322" s="3" t="n"/>
      <c r="L1322" s="3" t="n"/>
      <c r="M1322" s="3" t="n"/>
      <c r="N1322" s="3" t="n"/>
      <c r="O1322" s="3" t="n"/>
      <c r="P1322" s="3" t="n"/>
      <c r="Q1322" s="3" t="n"/>
      <c r="R1322" s="5">
        <f>IF(Q1322&lt;&gt;"是","排除",IF(OR(L1322="",M1322=""),"",IF(OR(L1322="未知",M1322="未知"),"未知",IF(AND(L1322="真",M1322="真"),"TP",IF(AND(L1322="真",M1322="假"),"FP",IF(AND(L1322="假",M1322="真"),"FN","TN"))))))</f>
        <v/>
      </c>
      <c r="S1322" s="3" t="n"/>
      <c r="T1322" s="3" t="n"/>
      <c r="U1322" s="3" t="n"/>
      <c r="V1322" s="3" t="n"/>
    </row>
    <row r="1323">
      <c r="A1323" s="3" t="n"/>
      <c r="B1323" s="3" t="n"/>
      <c r="C1323" s="3" t="n"/>
      <c r="D1323" s="4" t="n"/>
      <c r="E1323" s="3" t="n"/>
      <c r="F1323" s="3" t="n"/>
      <c r="G1323" s="3" t="n"/>
      <c r="H1323" s="3" t="n"/>
      <c r="I1323" s="3" t="n"/>
      <c r="J1323" s="3" t="n"/>
      <c r="K1323" s="3" t="n"/>
      <c r="L1323" s="3" t="n"/>
      <c r="M1323" s="3" t="n"/>
      <c r="N1323" s="3" t="n"/>
      <c r="O1323" s="3" t="n"/>
      <c r="P1323" s="3" t="n"/>
      <c r="Q1323" s="3" t="n"/>
      <c r="R1323" s="5">
        <f>IF(Q1323&lt;&gt;"是","排除",IF(OR(L1323="",M1323=""),"",IF(OR(L1323="未知",M1323="未知"),"未知",IF(AND(L1323="真",M1323="真"),"TP",IF(AND(L1323="真",M1323="假"),"FP",IF(AND(L1323="假",M1323="真"),"FN","TN"))))))</f>
        <v/>
      </c>
      <c r="S1323" s="3" t="n"/>
      <c r="T1323" s="3" t="n"/>
      <c r="U1323" s="3" t="n"/>
      <c r="V1323" s="3" t="n"/>
    </row>
    <row r="1324">
      <c r="A1324" s="3" t="n"/>
      <c r="B1324" s="3" t="n"/>
      <c r="C1324" s="3" t="n"/>
      <c r="D1324" s="4" t="n"/>
      <c r="E1324" s="3" t="n"/>
      <c r="F1324" s="3" t="n"/>
      <c r="G1324" s="3" t="n"/>
      <c r="H1324" s="3" t="n"/>
      <c r="I1324" s="3" t="n"/>
      <c r="J1324" s="3" t="n"/>
      <c r="K1324" s="3" t="n"/>
      <c r="L1324" s="3" t="n"/>
      <c r="M1324" s="3" t="n"/>
      <c r="N1324" s="3" t="n"/>
      <c r="O1324" s="3" t="n"/>
      <c r="P1324" s="3" t="n"/>
      <c r="Q1324" s="3" t="n"/>
      <c r="R1324" s="5">
        <f>IF(Q1324&lt;&gt;"是","排除",IF(OR(L1324="",M1324=""),"",IF(OR(L1324="未知",M1324="未知"),"未知",IF(AND(L1324="真",M1324="真"),"TP",IF(AND(L1324="真",M1324="假"),"FP",IF(AND(L1324="假",M1324="真"),"FN","TN"))))))</f>
        <v/>
      </c>
      <c r="S1324" s="3" t="n"/>
      <c r="T1324" s="3" t="n"/>
      <c r="U1324" s="3" t="n"/>
      <c r="V1324" s="3" t="n"/>
    </row>
    <row r="1325">
      <c r="A1325" s="3" t="n"/>
      <c r="B1325" s="3" t="n"/>
      <c r="C1325" s="3" t="n"/>
      <c r="D1325" s="4" t="n"/>
      <c r="E1325" s="3" t="n"/>
      <c r="F1325" s="3" t="n"/>
      <c r="G1325" s="3" t="n"/>
      <c r="H1325" s="3" t="n"/>
      <c r="I1325" s="3" t="n"/>
      <c r="J1325" s="3" t="n"/>
      <c r="K1325" s="3" t="n"/>
      <c r="L1325" s="3" t="n"/>
      <c r="M1325" s="3" t="n"/>
      <c r="N1325" s="3" t="n"/>
      <c r="O1325" s="3" t="n"/>
      <c r="P1325" s="3" t="n"/>
      <c r="Q1325" s="3" t="n"/>
      <c r="R1325" s="5">
        <f>IF(Q1325&lt;&gt;"是","排除",IF(OR(L1325="",M1325=""),"",IF(OR(L1325="未知",M1325="未知"),"未知",IF(AND(L1325="真",M1325="真"),"TP",IF(AND(L1325="真",M1325="假"),"FP",IF(AND(L1325="假",M1325="真"),"FN","TN"))))))</f>
        <v/>
      </c>
      <c r="S1325" s="3" t="n"/>
      <c r="T1325" s="3" t="n"/>
      <c r="U1325" s="3" t="n"/>
      <c r="V1325" s="3" t="n"/>
    </row>
    <row r="1326">
      <c r="A1326" s="3" t="n"/>
      <c r="B1326" s="3" t="n"/>
      <c r="C1326" s="3" t="n"/>
      <c r="D1326" s="4" t="n"/>
      <c r="E1326" s="3" t="n"/>
      <c r="F1326" s="3" t="n"/>
      <c r="G1326" s="3" t="n"/>
      <c r="H1326" s="3" t="n"/>
      <c r="I1326" s="3" t="n"/>
      <c r="J1326" s="3" t="n"/>
      <c r="K1326" s="3" t="n"/>
      <c r="L1326" s="3" t="n"/>
      <c r="M1326" s="3" t="n"/>
      <c r="N1326" s="3" t="n"/>
      <c r="O1326" s="3" t="n"/>
      <c r="P1326" s="3" t="n"/>
      <c r="Q1326" s="3" t="n"/>
      <c r="R1326" s="5">
        <f>IF(Q1326&lt;&gt;"是","排除",IF(OR(L1326="",M1326=""),"",IF(OR(L1326="未知",M1326="未知"),"未知",IF(AND(L1326="真",M1326="真"),"TP",IF(AND(L1326="真",M1326="假"),"FP",IF(AND(L1326="假",M1326="真"),"FN","TN"))))))</f>
        <v/>
      </c>
      <c r="S1326" s="3" t="n"/>
      <c r="T1326" s="3" t="n"/>
      <c r="U1326" s="3" t="n"/>
      <c r="V1326" s="3" t="n"/>
    </row>
    <row r="1327">
      <c r="A1327" s="3" t="n"/>
      <c r="B1327" s="3" t="n"/>
      <c r="C1327" s="3" t="n"/>
      <c r="D1327" s="4" t="n"/>
      <c r="E1327" s="3" t="n"/>
      <c r="F1327" s="3" t="n"/>
      <c r="G1327" s="3" t="n"/>
      <c r="H1327" s="3" t="n"/>
      <c r="I1327" s="3" t="n"/>
      <c r="J1327" s="3" t="n"/>
      <c r="K1327" s="3" t="n"/>
      <c r="L1327" s="3" t="n"/>
      <c r="M1327" s="3" t="n"/>
      <c r="N1327" s="3" t="n"/>
      <c r="O1327" s="3" t="n"/>
      <c r="P1327" s="3" t="n"/>
      <c r="Q1327" s="3" t="n"/>
      <c r="R1327" s="5">
        <f>IF(Q1327&lt;&gt;"是","排除",IF(OR(L1327="",M1327=""),"",IF(OR(L1327="未知",M1327="未知"),"未知",IF(AND(L1327="真",M1327="真"),"TP",IF(AND(L1327="真",M1327="假"),"FP",IF(AND(L1327="假",M1327="真"),"FN","TN"))))))</f>
        <v/>
      </c>
      <c r="S1327" s="3" t="n"/>
      <c r="T1327" s="3" t="n"/>
      <c r="U1327" s="3" t="n"/>
      <c r="V1327" s="3" t="n"/>
    </row>
    <row r="1328">
      <c r="A1328" s="3" t="n"/>
      <c r="B1328" s="3" t="n"/>
      <c r="C1328" s="3" t="n"/>
      <c r="D1328" s="4" t="n"/>
      <c r="E1328" s="3" t="n"/>
      <c r="F1328" s="3" t="n"/>
      <c r="G1328" s="3" t="n"/>
      <c r="H1328" s="3" t="n"/>
      <c r="I1328" s="3" t="n"/>
      <c r="J1328" s="3" t="n"/>
      <c r="K1328" s="3" t="n"/>
      <c r="L1328" s="3" t="n"/>
      <c r="M1328" s="3" t="n"/>
      <c r="N1328" s="3" t="n"/>
      <c r="O1328" s="3" t="n"/>
      <c r="P1328" s="3" t="n"/>
      <c r="Q1328" s="3" t="n"/>
      <c r="R1328" s="5">
        <f>IF(Q1328&lt;&gt;"是","排除",IF(OR(L1328="",M1328=""),"",IF(OR(L1328="未知",M1328="未知"),"未知",IF(AND(L1328="真",M1328="真"),"TP",IF(AND(L1328="真",M1328="假"),"FP",IF(AND(L1328="假",M1328="真"),"FN","TN"))))))</f>
        <v/>
      </c>
      <c r="S1328" s="3" t="n"/>
      <c r="T1328" s="3" t="n"/>
      <c r="U1328" s="3" t="n"/>
      <c r="V1328" s="3" t="n"/>
    </row>
    <row r="1329">
      <c r="A1329" s="3" t="n"/>
      <c r="B1329" s="3" t="n"/>
      <c r="C1329" s="3" t="n"/>
      <c r="D1329" s="4" t="n"/>
      <c r="E1329" s="3" t="n"/>
      <c r="F1329" s="3" t="n"/>
      <c r="G1329" s="3" t="n"/>
      <c r="H1329" s="3" t="n"/>
      <c r="I1329" s="3" t="n"/>
      <c r="J1329" s="3" t="n"/>
      <c r="K1329" s="3" t="n"/>
      <c r="L1329" s="3" t="n"/>
      <c r="M1329" s="3" t="n"/>
      <c r="N1329" s="3" t="n"/>
      <c r="O1329" s="3" t="n"/>
      <c r="P1329" s="3" t="n"/>
      <c r="Q1329" s="3" t="n"/>
      <c r="R1329" s="5">
        <f>IF(Q1329&lt;&gt;"是","排除",IF(OR(L1329="",M1329=""),"",IF(OR(L1329="未知",M1329="未知"),"未知",IF(AND(L1329="真",M1329="真"),"TP",IF(AND(L1329="真",M1329="假"),"FP",IF(AND(L1329="假",M1329="真"),"FN","TN"))))))</f>
        <v/>
      </c>
      <c r="S1329" s="3" t="n"/>
      <c r="T1329" s="3" t="n"/>
      <c r="U1329" s="3" t="n"/>
      <c r="V1329" s="3" t="n"/>
    </row>
    <row r="1330">
      <c r="A1330" s="3" t="n"/>
      <c r="B1330" s="3" t="n"/>
      <c r="C1330" s="3" t="n"/>
      <c r="D1330" s="4" t="n"/>
      <c r="E1330" s="3" t="n"/>
      <c r="F1330" s="3" t="n"/>
      <c r="G1330" s="3" t="n"/>
      <c r="H1330" s="3" t="n"/>
      <c r="I1330" s="3" t="n"/>
      <c r="J1330" s="3" t="n"/>
      <c r="K1330" s="3" t="n"/>
      <c r="L1330" s="3" t="n"/>
      <c r="M1330" s="3" t="n"/>
      <c r="N1330" s="3" t="n"/>
      <c r="O1330" s="3" t="n"/>
      <c r="P1330" s="3" t="n"/>
      <c r="Q1330" s="3" t="n"/>
      <c r="R1330" s="5">
        <f>IF(Q1330&lt;&gt;"是","排除",IF(OR(L1330="",M1330=""),"",IF(OR(L1330="未知",M1330="未知"),"未知",IF(AND(L1330="真",M1330="真"),"TP",IF(AND(L1330="真",M1330="假"),"FP",IF(AND(L1330="假",M1330="真"),"FN","TN"))))))</f>
        <v/>
      </c>
      <c r="S1330" s="3" t="n"/>
      <c r="T1330" s="3" t="n"/>
      <c r="U1330" s="3" t="n"/>
      <c r="V1330" s="3" t="n"/>
    </row>
    <row r="1331">
      <c r="A1331" s="3" t="n"/>
      <c r="B1331" s="3" t="n"/>
      <c r="C1331" s="3" t="n"/>
      <c r="D1331" s="4" t="n"/>
      <c r="E1331" s="3" t="n"/>
      <c r="F1331" s="3" t="n"/>
      <c r="G1331" s="3" t="n"/>
      <c r="H1331" s="3" t="n"/>
      <c r="I1331" s="3" t="n"/>
      <c r="J1331" s="3" t="n"/>
      <c r="K1331" s="3" t="n"/>
      <c r="L1331" s="3" t="n"/>
      <c r="M1331" s="3" t="n"/>
      <c r="N1331" s="3" t="n"/>
      <c r="O1331" s="3" t="n"/>
      <c r="P1331" s="3" t="n"/>
      <c r="Q1331" s="3" t="n"/>
      <c r="R1331" s="5">
        <f>IF(Q1331&lt;&gt;"是","排除",IF(OR(L1331="",M1331=""),"",IF(OR(L1331="未知",M1331="未知"),"未知",IF(AND(L1331="真",M1331="真"),"TP",IF(AND(L1331="真",M1331="假"),"FP",IF(AND(L1331="假",M1331="真"),"FN","TN"))))))</f>
        <v/>
      </c>
      <c r="S1331" s="3" t="n"/>
      <c r="T1331" s="3" t="n"/>
      <c r="U1331" s="3" t="n"/>
      <c r="V1331" s="3" t="n"/>
    </row>
    <row r="1332">
      <c r="A1332" s="3" t="n"/>
      <c r="B1332" s="3" t="n"/>
      <c r="C1332" s="3" t="n"/>
      <c r="D1332" s="4" t="n"/>
      <c r="E1332" s="3" t="n"/>
      <c r="F1332" s="3" t="n"/>
      <c r="G1332" s="3" t="n"/>
      <c r="H1332" s="3" t="n"/>
      <c r="I1332" s="3" t="n"/>
      <c r="J1332" s="3" t="n"/>
      <c r="K1332" s="3" t="n"/>
      <c r="L1332" s="3" t="n"/>
      <c r="M1332" s="3" t="n"/>
      <c r="N1332" s="3" t="n"/>
      <c r="O1332" s="3" t="n"/>
      <c r="P1332" s="3" t="n"/>
      <c r="Q1332" s="3" t="n"/>
      <c r="R1332" s="5">
        <f>IF(Q1332&lt;&gt;"是","排除",IF(OR(L1332="",M1332=""),"",IF(OR(L1332="未知",M1332="未知"),"未知",IF(AND(L1332="真",M1332="真"),"TP",IF(AND(L1332="真",M1332="假"),"FP",IF(AND(L1332="假",M1332="真"),"FN","TN"))))))</f>
        <v/>
      </c>
      <c r="S1332" s="3" t="n"/>
      <c r="T1332" s="3" t="n"/>
      <c r="U1332" s="3" t="n"/>
      <c r="V1332" s="3" t="n"/>
    </row>
    <row r="1333">
      <c r="A1333" s="3" t="n"/>
      <c r="B1333" s="3" t="n"/>
      <c r="C1333" s="3" t="n"/>
      <c r="D1333" s="4" t="n"/>
      <c r="E1333" s="3" t="n"/>
      <c r="F1333" s="3" t="n"/>
      <c r="G1333" s="3" t="n"/>
      <c r="H1333" s="3" t="n"/>
      <c r="I1333" s="3" t="n"/>
      <c r="J1333" s="3" t="n"/>
      <c r="K1333" s="3" t="n"/>
      <c r="L1333" s="3" t="n"/>
      <c r="M1333" s="3" t="n"/>
      <c r="N1333" s="3" t="n"/>
      <c r="O1333" s="3" t="n"/>
      <c r="P1333" s="3" t="n"/>
      <c r="Q1333" s="3" t="n"/>
      <c r="R1333" s="5">
        <f>IF(Q1333&lt;&gt;"是","排除",IF(OR(L1333="",M1333=""),"",IF(OR(L1333="未知",M1333="未知"),"未知",IF(AND(L1333="真",M1333="真"),"TP",IF(AND(L1333="真",M1333="假"),"FP",IF(AND(L1333="假",M1333="真"),"FN","TN"))))))</f>
        <v/>
      </c>
      <c r="S1333" s="3" t="n"/>
      <c r="T1333" s="3" t="n"/>
      <c r="U1333" s="3" t="n"/>
      <c r="V1333" s="3" t="n"/>
    </row>
    <row r="1334">
      <c r="A1334" s="3" t="n"/>
      <c r="B1334" s="3" t="n"/>
      <c r="C1334" s="3" t="n"/>
      <c r="D1334" s="4" t="n"/>
      <c r="E1334" s="3" t="n"/>
      <c r="F1334" s="3" t="n"/>
      <c r="G1334" s="3" t="n"/>
      <c r="H1334" s="3" t="n"/>
      <c r="I1334" s="3" t="n"/>
      <c r="J1334" s="3" t="n"/>
      <c r="K1334" s="3" t="n"/>
      <c r="L1334" s="3" t="n"/>
      <c r="M1334" s="3" t="n"/>
      <c r="N1334" s="3" t="n"/>
      <c r="O1334" s="3" t="n"/>
      <c r="P1334" s="3" t="n"/>
      <c r="Q1334" s="3" t="n"/>
      <c r="R1334" s="5">
        <f>IF(Q1334&lt;&gt;"是","排除",IF(OR(L1334="",M1334=""),"",IF(OR(L1334="未知",M1334="未知"),"未知",IF(AND(L1334="真",M1334="真"),"TP",IF(AND(L1334="真",M1334="假"),"FP",IF(AND(L1334="假",M1334="真"),"FN","TN"))))))</f>
        <v/>
      </c>
      <c r="S1334" s="3" t="n"/>
      <c r="T1334" s="3" t="n"/>
      <c r="U1334" s="3" t="n"/>
      <c r="V1334" s="3" t="n"/>
    </row>
    <row r="1335">
      <c r="A1335" s="3" t="n"/>
      <c r="B1335" s="3" t="n"/>
      <c r="C1335" s="3" t="n"/>
      <c r="D1335" s="4" t="n"/>
      <c r="E1335" s="3" t="n"/>
      <c r="F1335" s="3" t="n"/>
      <c r="G1335" s="3" t="n"/>
      <c r="H1335" s="3" t="n"/>
      <c r="I1335" s="3" t="n"/>
      <c r="J1335" s="3" t="n"/>
      <c r="K1335" s="3" t="n"/>
      <c r="L1335" s="3" t="n"/>
      <c r="M1335" s="3" t="n"/>
      <c r="N1335" s="3" t="n"/>
      <c r="O1335" s="3" t="n"/>
      <c r="P1335" s="3" t="n"/>
      <c r="Q1335" s="3" t="n"/>
      <c r="R1335" s="5">
        <f>IF(Q1335&lt;&gt;"是","排除",IF(OR(L1335="",M1335=""),"",IF(OR(L1335="未知",M1335="未知"),"未知",IF(AND(L1335="真",M1335="真"),"TP",IF(AND(L1335="真",M1335="假"),"FP",IF(AND(L1335="假",M1335="真"),"FN","TN"))))))</f>
        <v/>
      </c>
      <c r="S1335" s="3" t="n"/>
      <c r="T1335" s="3" t="n"/>
      <c r="U1335" s="3" t="n"/>
      <c r="V1335" s="3" t="n"/>
    </row>
    <row r="1336">
      <c r="A1336" s="3" t="n"/>
      <c r="B1336" s="3" t="n"/>
      <c r="C1336" s="3" t="n"/>
      <c r="D1336" s="4" t="n"/>
      <c r="E1336" s="3" t="n"/>
      <c r="F1336" s="3" t="n"/>
      <c r="G1336" s="3" t="n"/>
      <c r="H1336" s="3" t="n"/>
      <c r="I1336" s="3" t="n"/>
      <c r="J1336" s="3" t="n"/>
      <c r="K1336" s="3" t="n"/>
      <c r="L1336" s="3" t="n"/>
      <c r="M1336" s="3" t="n"/>
      <c r="N1336" s="3" t="n"/>
      <c r="O1336" s="3" t="n"/>
      <c r="P1336" s="3" t="n"/>
      <c r="Q1336" s="3" t="n"/>
      <c r="R1336" s="5">
        <f>IF(Q1336&lt;&gt;"是","排除",IF(OR(L1336="",M1336=""),"",IF(OR(L1336="未知",M1336="未知"),"未知",IF(AND(L1336="真",M1336="真"),"TP",IF(AND(L1336="真",M1336="假"),"FP",IF(AND(L1336="假",M1336="真"),"FN","TN"))))))</f>
        <v/>
      </c>
      <c r="S1336" s="3" t="n"/>
      <c r="T1336" s="3" t="n"/>
      <c r="U1336" s="3" t="n"/>
      <c r="V1336" s="3" t="n"/>
    </row>
    <row r="1337">
      <c r="A1337" s="3" t="n"/>
      <c r="B1337" s="3" t="n"/>
      <c r="C1337" s="3" t="n"/>
      <c r="D1337" s="4" t="n"/>
      <c r="E1337" s="3" t="n"/>
      <c r="F1337" s="3" t="n"/>
      <c r="G1337" s="3" t="n"/>
      <c r="H1337" s="3" t="n"/>
      <c r="I1337" s="3" t="n"/>
      <c r="J1337" s="3" t="n"/>
      <c r="K1337" s="3" t="n"/>
      <c r="L1337" s="3" t="n"/>
      <c r="M1337" s="3" t="n"/>
      <c r="N1337" s="3" t="n"/>
      <c r="O1337" s="3" t="n"/>
      <c r="P1337" s="3" t="n"/>
      <c r="Q1337" s="3" t="n"/>
      <c r="R1337" s="5">
        <f>IF(Q1337&lt;&gt;"是","排除",IF(OR(L1337="",M1337=""),"",IF(OR(L1337="未知",M1337="未知"),"未知",IF(AND(L1337="真",M1337="真"),"TP",IF(AND(L1337="真",M1337="假"),"FP",IF(AND(L1337="假",M1337="真"),"FN","TN"))))))</f>
        <v/>
      </c>
      <c r="S1337" s="3" t="n"/>
      <c r="T1337" s="3" t="n"/>
      <c r="U1337" s="3" t="n"/>
      <c r="V1337" s="3" t="n"/>
    </row>
    <row r="1338">
      <c r="A1338" s="3" t="n"/>
      <c r="B1338" s="3" t="n"/>
      <c r="C1338" s="3" t="n"/>
      <c r="D1338" s="4" t="n"/>
      <c r="E1338" s="3" t="n"/>
      <c r="F1338" s="3" t="n"/>
      <c r="G1338" s="3" t="n"/>
      <c r="H1338" s="3" t="n"/>
      <c r="I1338" s="3" t="n"/>
      <c r="J1338" s="3" t="n"/>
      <c r="K1338" s="3" t="n"/>
      <c r="L1338" s="3" t="n"/>
      <c r="M1338" s="3" t="n"/>
      <c r="N1338" s="3" t="n"/>
      <c r="O1338" s="3" t="n"/>
      <c r="P1338" s="3" t="n"/>
      <c r="Q1338" s="3" t="n"/>
      <c r="R1338" s="5">
        <f>IF(Q1338&lt;&gt;"是","排除",IF(OR(L1338="",M1338=""),"",IF(OR(L1338="未知",M1338="未知"),"未知",IF(AND(L1338="真",M1338="真"),"TP",IF(AND(L1338="真",M1338="假"),"FP",IF(AND(L1338="假",M1338="真"),"FN","TN"))))))</f>
        <v/>
      </c>
      <c r="S1338" s="3" t="n"/>
      <c r="T1338" s="3" t="n"/>
      <c r="U1338" s="3" t="n"/>
      <c r="V1338" s="3" t="n"/>
    </row>
    <row r="1339">
      <c r="A1339" s="3" t="n"/>
      <c r="B1339" s="3" t="n"/>
      <c r="C1339" s="3" t="n"/>
      <c r="D1339" s="4" t="n"/>
      <c r="E1339" s="3" t="n"/>
      <c r="F1339" s="3" t="n"/>
      <c r="G1339" s="3" t="n"/>
      <c r="H1339" s="3" t="n"/>
      <c r="I1339" s="3" t="n"/>
      <c r="J1339" s="3" t="n"/>
      <c r="K1339" s="3" t="n"/>
      <c r="L1339" s="3" t="n"/>
      <c r="M1339" s="3" t="n"/>
      <c r="N1339" s="3" t="n"/>
      <c r="O1339" s="3" t="n"/>
      <c r="P1339" s="3" t="n"/>
      <c r="Q1339" s="3" t="n"/>
      <c r="R1339" s="5">
        <f>IF(Q1339&lt;&gt;"是","排除",IF(OR(L1339="",M1339=""),"",IF(OR(L1339="未知",M1339="未知"),"未知",IF(AND(L1339="真",M1339="真"),"TP",IF(AND(L1339="真",M1339="假"),"FP",IF(AND(L1339="假",M1339="真"),"FN","TN"))))))</f>
        <v/>
      </c>
      <c r="S1339" s="3" t="n"/>
      <c r="T1339" s="3" t="n"/>
      <c r="U1339" s="3" t="n"/>
      <c r="V1339" s="3" t="n"/>
    </row>
    <row r="1340">
      <c r="A1340" s="3" t="n"/>
      <c r="B1340" s="3" t="n"/>
      <c r="C1340" s="3" t="n"/>
      <c r="D1340" s="4" t="n"/>
      <c r="E1340" s="3" t="n"/>
      <c r="F1340" s="3" t="n"/>
      <c r="G1340" s="3" t="n"/>
      <c r="H1340" s="3" t="n"/>
      <c r="I1340" s="3" t="n"/>
      <c r="J1340" s="3" t="n"/>
      <c r="K1340" s="3" t="n"/>
      <c r="L1340" s="3" t="n"/>
      <c r="M1340" s="3" t="n"/>
      <c r="N1340" s="3" t="n"/>
      <c r="O1340" s="3" t="n"/>
      <c r="P1340" s="3" t="n"/>
      <c r="Q1340" s="3" t="n"/>
      <c r="R1340" s="5">
        <f>IF(Q1340&lt;&gt;"是","排除",IF(OR(L1340="",M1340=""),"",IF(OR(L1340="未知",M1340="未知"),"未知",IF(AND(L1340="真",M1340="真"),"TP",IF(AND(L1340="真",M1340="假"),"FP",IF(AND(L1340="假",M1340="真"),"FN","TN"))))))</f>
        <v/>
      </c>
      <c r="S1340" s="3" t="n"/>
      <c r="T1340" s="3" t="n"/>
      <c r="U1340" s="3" t="n"/>
      <c r="V1340" s="3" t="n"/>
    </row>
    <row r="1341">
      <c r="A1341" s="3" t="n"/>
      <c r="B1341" s="3" t="n"/>
      <c r="C1341" s="3" t="n"/>
      <c r="D1341" s="4" t="n"/>
      <c r="E1341" s="3" t="n"/>
      <c r="F1341" s="3" t="n"/>
      <c r="G1341" s="3" t="n"/>
      <c r="H1341" s="3" t="n"/>
      <c r="I1341" s="3" t="n"/>
      <c r="J1341" s="3" t="n"/>
      <c r="K1341" s="3" t="n"/>
      <c r="L1341" s="3" t="n"/>
      <c r="M1341" s="3" t="n"/>
      <c r="N1341" s="3" t="n"/>
      <c r="O1341" s="3" t="n"/>
      <c r="P1341" s="3" t="n"/>
      <c r="Q1341" s="3" t="n"/>
      <c r="R1341" s="5">
        <f>IF(Q1341&lt;&gt;"是","排除",IF(OR(L1341="",M1341=""),"",IF(OR(L1341="未知",M1341="未知"),"未知",IF(AND(L1341="真",M1341="真"),"TP",IF(AND(L1341="真",M1341="假"),"FP",IF(AND(L1341="假",M1341="真"),"FN","TN"))))))</f>
        <v/>
      </c>
      <c r="S1341" s="3" t="n"/>
      <c r="T1341" s="3" t="n"/>
      <c r="U1341" s="3" t="n"/>
      <c r="V1341" s="3" t="n"/>
    </row>
    <row r="1342">
      <c r="A1342" s="3" t="n"/>
      <c r="B1342" s="3" t="n"/>
      <c r="C1342" s="3" t="n"/>
      <c r="D1342" s="4" t="n"/>
      <c r="E1342" s="3" t="n"/>
      <c r="F1342" s="3" t="n"/>
      <c r="G1342" s="3" t="n"/>
      <c r="H1342" s="3" t="n"/>
      <c r="I1342" s="3" t="n"/>
      <c r="J1342" s="3" t="n"/>
      <c r="K1342" s="3" t="n"/>
      <c r="L1342" s="3" t="n"/>
      <c r="M1342" s="3" t="n"/>
      <c r="N1342" s="3" t="n"/>
      <c r="O1342" s="3" t="n"/>
      <c r="P1342" s="3" t="n"/>
      <c r="Q1342" s="3" t="n"/>
      <c r="R1342" s="5">
        <f>IF(Q1342&lt;&gt;"是","排除",IF(OR(L1342="",M1342=""),"",IF(OR(L1342="未知",M1342="未知"),"未知",IF(AND(L1342="真",M1342="真"),"TP",IF(AND(L1342="真",M1342="假"),"FP",IF(AND(L1342="假",M1342="真"),"FN","TN"))))))</f>
        <v/>
      </c>
      <c r="S1342" s="3" t="n"/>
      <c r="T1342" s="3" t="n"/>
      <c r="U1342" s="3" t="n"/>
      <c r="V1342" s="3" t="n"/>
    </row>
    <row r="1343">
      <c r="A1343" s="3" t="n"/>
      <c r="B1343" s="3" t="n"/>
      <c r="C1343" s="3" t="n"/>
      <c r="D1343" s="4" t="n"/>
      <c r="E1343" s="3" t="n"/>
      <c r="F1343" s="3" t="n"/>
      <c r="G1343" s="3" t="n"/>
      <c r="H1343" s="3" t="n"/>
      <c r="I1343" s="3" t="n"/>
      <c r="J1343" s="3" t="n"/>
      <c r="K1343" s="3" t="n"/>
      <c r="L1343" s="3" t="n"/>
      <c r="M1343" s="3" t="n"/>
      <c r="N1343" s="3" t="n"/>
      <c r="O1343" s="3" t="n"/>
      <c r="P1343" s="3" t="n"/>
      <c r="Q1343" s="3" t="n"/>
      <c r="R1343" s="5">
        <f>IF(Q1343&lt;&gt;"是","排除",IF(OR(L1343="",M1343=""),"",IF(OR(L1343="未知",M1343="未知"),"未知",IF(AND(L1343="真",M1343="真"),"TP",IF(AND(L1343="真",M1343="假"),"FP",IF(AND(L1343="假",M1343="真"),"FN","TN"))))))</f>
        <v/>
      </c>
      <c r="S1343" s="3" t="n"/>
      <c r="T1343" s="3" t="n"/>
      <c r="U1343" s="3" t="n"/>
      <c r="V1343" s="3" t="n"/>
    </row>
    <row r="1344">
      <c r="A1344" s="3" t="n"/>
      <c r="B1344" s="3" t="n"/>
      <c r="C1344" s="3" t="n"/>
      <c r="D1344" s="4" t="n"/>
      <c r="E1344" s="3" t="n"/>
      <c r="F1344" s="3" t="n"/>
      <c r="G1344" s="3" t="n"/>
      <c r="H1344" s="3" t="n"/>
      <c r="I1344" s="3" t="n"/>
      <c r="J1344" s="3" t="n"/>
      <c r="K1344" s="3" t="n"/>
      <c r="L1344" s="3" t="n"/>
      <c r="M1344" s="3" t="n"/>
      <c r="N1344" s="3" t="n"/>
      <c r="O1344" s="3" t="n"/>
      <c r="P1344" s="3" t="n"/>
      <c r="Q1344" s="3" t="n"/>
      <c r="R1344" s="5">
        <f>IF(Q1344&lt;&gt;"是","排除",IF(OR(L1344="",M1344=""),"",IF(OR(L1344="未知",M1344="未知"),"未知",IF(AND(L1344="真",M1344="真"),"TP",IF(AND(L1344="真",M1344="假"),"FP",IF(AND(L1344="假",M1344="真"),"FN","TN"))))))</f>
        <v/>
      </c>
      <c r="S1344" s="3" t="n"/>
      <c r="T1344" s="3" t="n"/>
      <c r="U1344" s="3" t="n"/>
      <c r="V1344" s="3" t="n"/>
    </row>
    <row r="1345">
      <c r="A1345" s="3" t="n"/>
      <c r="B1345" s="3" t="n"/>
      <c r="C1345" s="3" t="n"/>
      <c r="D1345" s="4" t="n"/>
      <c r="E1345" s="3" t="n"/>
      <c r="F1345" s="3" t="n"/>
      <c r="G1345" s="3" t="n"/>
      <c r="H1345" s="3" t="n"/>
      <c r="I1345" s="3" t="n"/>
      <c r="J1345" s="3" t="n"/>
      <c r="K1345" s="3" t="n"/>
      <c r="L1345" s="3" t="n"/>
      <c r="M1345" s="3" t="n"/>
      <c r="N1345" s="3" t="n"/>
      <c r="O1345" s="3" t="n"/>
      <c r="P1345" s="3" t="n"/>
      <c r="Q1345" s="3" t="n"/>
      <c r="R1345" s="5">
        <f>IF(Q1345&lt;&gt;"是","排除",IF(OR(L1345="",M1345=""),"",IF(OR(L1345="未知",M1345="未知"),"未知",IF(AND(L1345="真",M1345="真"),"TP",IF(AND(L1345="真",M1345="假"),"FP",IF(AND(L1345="假",M1345="真"),"FN","TN"))))))</f>
        <v/>
      </c>
      <c r="S1345" s="3" t="n"/>
      <c r="T1345" s="3" t="n"/>
      <c r="U1345" s="3" t="n"/>
      <c r="V1345" s="3" t="n"/>
    </row>
    <row r="1346">
      <c r="A1346" s="3" t="n"/>
      <c r="B1346" s="3" t="n"/>
      <c r="C1346" s="3" t="n"/>
      <c r="D1346" s="4" t="n"/>
      <c r="E1346" s="3" t="n"/>
      <c r="F1346" s="3" t="n"/>
      <c r="G1346" s="3" t="n"/>
      <c r="H1346" s="3" t="n"/>
      <c r="I1346" s="3" t="n"/>
      <c r="J1346" s="3" t="n"/>
      <c r="K1346" s="3" t="n"/>
      <c r="L1346" s="3" t="n"/>
      <c r="M1346" s="3" t="n"/>
      <c r="N1346" s="3" t="n"/>
      <c r="O1346" s="3" t="n"/>
      <c r="P1346" s="3" t="n"/>
      <c r="Q1346" s="3" t="n"/>
      <c r="R1346" s="5">
        <f>IF(Q1346&lt;&gt;"是","排除",IF(OR(L1346="",M1346=""),"",IF(OR(L1346="未知",M1346="未知"),"未知",IF(AND(L1346="真",M1346="真"),"TP",IF(AND(L1346="真",M1346="假"),"FP",IF(AND(L1346="假",M1346="真"),"FN","TN"))))))</f>
        <v/>
      </c>
      <c r="S1346" s="3" t="n"/>
      <c r="T1346" s="3" t="n"/>
      <c r="U1346" s="3" t="n"/>
      <c r="V1346" s="3" t="n"/>
    </row>
    <row r="1347">
      <c r="A1347" s="3" t="n"/>
      <c r="B1347" s="3" t="n"/>
      <c r="C1347" s="3" t="n"/>
      <c r="D1347" s="4" t="n"/>
      <c r="E1347" s="3" t="n"/>
      <c r="F1347" s="3" t="n"/>
      <c r="G1347" s="3" t="n"/>
      <c r="H1347" s="3" t="n"/>
      <c r="I1347" s="3" t="n"/>
      <c r="J1347" s="3" t="n"/>
      <c r="K1347" s="3" t="n"/>
      <c r="L1347" s="3" t="n"/>
      <c r="M1347" s="3" t="n"/>
      <c r="N1347" s="3" t="n"/>
      <c r="O1347" s="3" t="n"/>
      <c r="P1347" s="3" t="n"/>
      <c r="Q1347" s="3" t="n"/>
      <c r="R1347" s="5">
        <f>IF(Q1347&lt;&gt;"是","排除",IF(OR(L1347="",M1347=""),"",IF(OR(L1347="未知",M1347="未知"),"未知",IF(AND(L1347="真",M1347="真"),"TP",IF(AND(L1347="真",M1347="假"),"FP",IF(AND(L1347="假",M1347="真"),"FN","TN"))))))</f>
        <v/>
      </c>
      <c r="S1347" s="3" t="n"/>
      <c r="T1347" s="3" t="n"/>
      <c r="U1347" s="3" t="n"/>
      <c r="V1347" s="3" t="n"/>
    </row>
    <row r="1348">
      <c r="A1348" s="3" t="n"/>
      <c r="B1348" s="3" t="n"/>
      <c r="C1348" s="3" t="n"/>
      <c r="D1348" s="4" t="n"/>
      <c r="E1348" s="3" t="n"/>
      <c r="F1348" s="3" t="n"/>
      <c r="G1348" s="3" t="n"/>
      <c r="H1348" s="3" t="n"/>
      <c r="I1348" s="3" t="n"/>
      <c r="J1348" s="3" t="n"/>
      <c r="K1348" s="3" t="n"/>
      <c r="L1348" s="3" t="n"/>
      <c r="M1348" s="3" t="n"/>
      <c r="N1348" s="3" t="n"/>
      <c r="O1348" s="3" t="n"/>
      <c r="P1348" s="3" t="n"/>
      <c r="Q1348" s="3" t="n"/>
      <c r="R1348" s="5">
        <f>IF(Q1348&lt;&gt;"是","排除",IF(OR(L1348="",M1348=""),"",IF(OR(L1348="未知",M1348="未知"),"未知",IF(AND(L1348="真",M1348="真"),"TP",IF(AND(L1348="真",M1348="假"),"FP",IF(AND(L1348="假",M1348="真"),"FN","TN"))))))</f>
        <v/>
      </c>
      <c r="S1348" s="3" t="n"/>
      <c r="T1348" s="3" t="n"/>
      <c r="U1348" s="3" t="n"/>
      <c r="V1348" s="3" t="n"/>
    </row>
    <row r="1349">
      <c r="A1349" s="3" t="n"/>
      <c r="B1349" s="3" t="n"/>
      <c r="C1349" s="3" t="n"/>
      <c r="D1349" s="4" t="n"/>
      <c r="E1349" s="3" t="n"/>
      <c r="F1349" s="3" t="n"/>
      <c r="G1349" s="3" t="n"/>
      <c r="H1349" s="3" t="n"/>
      <c r="I1349" s="3" t="n"/>
      <c r="J1349" s="3" t="n"/>
      <c r="K1349" s="3" t="n"/>
      <c r="L1349" s="3" t="n"/>
      <c r="M1349" s="3" t="n"/>
      <c r="N1349" s="3" t="n"/>
      <c r="O1349" s="3" t="n"/>
      <c r="P1349" s="3" t="n"/>
      <c r="Q1349" s="3" t="n"/>
      <c r="R1349" s="5">
        <f>IF(Q1349&lt;&gt;"是","排除",IF(OR(L1349="",M1349=""),"",IF(OR(L1349="未知",M1349="未知"),"未知",IF(AND(L1349="真",M1349="真"),"TP",IF(AND(L1349="真",M1349="假"),"FP",IF(AND(L1349="假",M1349="真"),"FN","TN"))))))</f>
        <v/>
      </c>
      <c r="S1349" s="3" t="n"/>
      <c r="T1349" s="3" t="n"/>
      <c r="U1349" s="3" t="n"/>
      <c r="V1349" s="3" t="n"/>
    </row>
    <row r="1350">
      <c r="A1350" s="3" t="n"/>
      <c r="B1350" s="3" t="n"/>
      <c r="C1350" s="3" t="n"/>
      <c r="D1350" s="4" t="n"/>
      <c r="E1350" s="3" t="n"/>
      <c r="F1350" s="3" t="n"/>
      <c r="G1350" s="3" t="n"/>
      <c r="H1350" s="3" t="n"/>
      <c r="I1350" s="3" t="n"/>
      <c r="J1350" s="3" t="n"/>
      <c r="K1350" s="3" t="n"/>
      <c r="L1350" s="3" t="n"/>
      <c r="M1350" s="3" t="n"/>
      <c r="N1350" s="3" t="n"/>
      <c r="O1350" s="3" t="n"/>
      <c r="P1350" s="3" t="n"/>
      <c r="Q1350" s="3" t="n"/>
      <c r="R1350" s="5">
        <f>IF(Q1350&lt;&gt;"是","排除",IF(OR(L1350="",M1350=""),"",IF(OR(L1350="未知",M1350="未知"),"未知",IF(AND(L1350="真",M1350="真"),"TP",IF(AND(L1350="真",M1350="假"),"FP",IF(AND(L1350="假",M1350="真"),"FN","TN"))))))</f>
        <v/>
      </c>
      <c r="S1350" s="3" t="n"/>
      <c r="T1350" s="3" t="n"/>
      <c r="U1350" s="3" t="n"/>
      <c r="V1350" s="3" t="n"/>
    </row>
    <row r="1351">
      <c r="A1351" s="3" t="n"/>
      <c r="B1351" s="3" t="n"/>
      <c r="C1351" s="3" t="n"/>
      <c r="D1351" s="4" t="n"/>
      <c r="E1351" s="3" t="n"/>
      <c r="F1351" s="3" t="n"/>
      <c r="G1351" s="3" t="n"/>
      <c r="H1351" s="3" t="n"/>
      <c r="I1351" s="3" t="n"/>
      <c r="J1351" s="3" t="n"/>
      <c r="K1351" s="3" t="n"/>
      <c r="L1351" s="3" t="n"/>
      <c r="M1351" s="3" t="n"/>
      <c r="N1351" s="3" t="n"/>
      <c r="O1351" s="3" t="n"/>
      <c r="P1351" s="3" t="n"/>
      <c r="Q1351" s="3" t="n"/>
      <c r="R1351" s="5">
        <f>IF(Q1351&lt;&gt;"是","排除",IF(OR(L1351="",M1351=""),"",IF(OR(L1351="未知",M1351="未知"),"未知",IF(AND(L1351="真",M1351="真"),"TP",IF(AND(L1351="真",M1351="假"),"FP",IF(AND(L1351="假",M1351="真"),"FN","TN"))))))</f>
        <v/>
      </c>
      <c r="S1351" s="3" t="n"/>
      <c r="T1351" s="3" t="n"/>
      <c r="U1351" s="3" t="n"/>
      <c r="V1351" s="3" t="n"/>
    </row>
    <row r="1352">
      <c r="A1352" s="3" t="n"/>
      <c r="B1352" s="3" t="n"/>
      <c r="C1352" s="3" t="n"/>
      <c r="D1352" s="4" t="n"/>
      <c r="E1352" s="3" t="n"/>
      <c r="F1352" s="3" t="n"/>
      <c r="G1352" s="3" t="n"/>
      <c r="H1352" s="3" t="n"/>
      <c r="I1352" s="3" t="n"/>
      <c r="J1352" s="3" t="n"/>
      <c r="K1352" s="3" t="n"/>
      <c r="L1352" s="3" t="n"/>
      <c r="M1352" s="3" t="n"/>
      <c r="N1352" s="3" t="n"/>
      <c r="O1352" s="3" t="n"/>
      <c r="P1352" s="3" t="n"/>
      <c r="Q1352" s="3" t="n"/>
      <c r="R1352" s="5">
        <f>IF(Q1352&lt;&gt;"是","排除",IF(OR(L1352="",M1352=""),"",IF(OR(L1352="未知",M1352="未知"),"未知",IF(AND(L1352="真",M1352="真"),"TP",IF(AND(L1352="真",M1352="假"),"FP",IF(AND(L1352="假",M1352="真"),"FN","TN"))))))</f>
        <v/>
      </c>
      <c r="S1352" s="3" t="n"/>
      <c r="T1352" s="3" t="n"/>
      <c r="U1352" s="3" t="n"/>
      <c r="V1352" s="3" t="n"/>
    </row>
    <row r="1353">
      <c r="A1353" s="3" t="n"/>
      <c r="B1353" s="3" t="n"/>
      <c r="C1353" s="3" t="n"/>
      <c r="D1353" s="4" t="n"/>
      <c r="E1353" s="3" t="n"/>
      <c r="F1353" s="3" t="n"/>
      <c r="G1353" s="3" t="n"/>
      <c r="H1353" s="3" t="n"/>
      <c r="I1353" s="3" t="n"/>
      <c r="J1353" s="3" t="n"/>
      <c r="K1353" s="3" t="n"/>
      <c r="L1353" s="3" t="n"/>
      <c r="M1353" s="3" t="n"/>
      <c r="N1353" s="3" t="n"/>
      <c r="O1353" s="3" t="n"/>
      <c r="P1353" s="3" t="n"/>
      <c r="Q1353" s="3" t="n"/>
      <c r="R1353" s="5">
        <f>IF(Q1353&lt;&gt;"是","排除",IF(OR(L1353="",M1353=""),"",IF(OR(L1353="未知",M1353="未知"),"未知",IF(AND(L1353="真",M1353="真"),"TP",IF(AND(L1353="真",M1353="假"),"FP",IF(AND(L1353="假",M1353="真"),"FN","TN"))))))</f>
        <v/>
      </c>
      <c r="S1353" s="3" t="n"/>
      <c r="T1353" s="3" t="n"/>
      <c r="U1353" s="3" t="n"/>
      <c r="V1353" s="3" t="n"/>
    </row>
    <row r="1354">
      <c r="A1354" s="3" t="n"/>
      <c r="B1354" s="3" t="n"/>
      <c r="C1354" s="3" t="n"/>
      <c r="D1354" s="4" t="n"/>
      <c r="E1354" s="3" t="n"/>
      <c r="F1354" s="3" t="n"/>
      <c r="G1354" s="3" t="n"/>
      <c r="H1354" s="3" t="n"/>
      <c r="I1354" s="3" t="n"/>
      <c r="J1354" s="3" t="n"/>
      <c r="K1354" s="3" t="n"/>
      <c r="L1354" s="3" t="n"/>
      <c r="M1354" s="3" t="n"/>
      <c r="N1354" s="3" t="n"/>
      <c r="O1354" s="3" t="n"/>
      <c r="P1354" s="3" t="n"/>
      <c r="Q1354" s="3" t="n"/>
      <c r="R1354" s="5">
        <f>IF(Q1354&lt;&gt;"是","排除",IF(OR(L1354="",M1354=""),"",IF(OR(L1354="未知",M1354="未知"),"未知",IF(AND(L1354="真",M1354="真"),"TP",IF(AND(L1354="真",M1354="假"),"FP",IF(AND(L1354="假",M1354="真"),"FN","TN"))))))</f>
        <v/>
      </c>
      <c r="S1354" s="3" t="n"/>
      <c r="T1354" s="3" t="n"/>
      <c r="U1354" s="3" t="n"/>
      <c r="V1354" s="3" t="n"/>
    </row>
    <row r="1355">
      <c r="A1355" s="3" t="n"/>
      <c r="B1355" s="3" t="n"/>
      <c r="C1355" s="3" t="n"/>
      <c r="D1355" s="4" t="n"/>
      <c r="E1355" s="3" t="n"/>
      <c r="F1355" s="3" t="n"/>
      <c r="G1355" s="3" t="n"/>
      <c r="H1355" s="3" t="n"/>
      <c r="I1355" s="3" t="n"/>
      <c r="J1355" s="3" t="n"/>
      <c r="K1355" s="3" t="n"/>
      <c r="L1355" s="3" t="n"/>
      <c r="M1355" s="3" t="n"/>
      <c r="N1355" s="3" t="n"/>
      <c r="O1355" s="3" t="n"/>
      <c r="P1355" s="3" t="n"/>
      <c r="Q1355" s="3" t="n"/>
      <c r="R1355" s="5">
        <f>IF(Q1355&lt;&gt;"是","排除",IF(OR(L1355="",M1355=""),"",IF(OR(L1355="未知",M1355="未知"),"未知",IF(AND(L1355="真",M1355="真"),"TP",IF(AND(L1355="真",M1355="假"),"FP",IF(AND(L1355="假",M1355="真"),"FN","TN"))))))</f>
        <v/>
      </c>
      <c r="S1355" s="3" t="n"/>
      <c r="T1355" s="3" t="n"/>
      <c r="U1355" s="3" t="n"/>
      <c r="V1355" s="3" t="n"/>
    </row>
    <row r="1356">
      <c r="A1356" s="3" t="n"/>
      <c r="B1356" s="3" t="n"/>
      <c r="C1356" s="3" t="n"/>
      <c r="D1356" s="4" t="n"/>
      <c r="E1356" s="3" t="n"/>
      <c r="F1356" s="3" t="n"/>
      <c r="G1356" s="3" t="n"/>
      <c r="H1356" s="3" t="n"/>
      <c r="I1356" s="3" t="n"/>
      <c r="J1356" s="3" t="n"/>
      <c r="K1356" s="3" t="n"/>
      <c r="L1356" s="3" t="n"/>
      <c r="M1356" s="3" t="n"/>
      <c r="N1356" s="3" t="n"/>
      <c r="O1356" s="3" t="n"/>
      <c r="P1356" s="3" t="n"/>
      <c r="Q1356" s="3" t="n"/>
      <c r="R1356" s="5">
        <f>IF(Q1356&lt;&gt;"是","排除",IF(OR(L1356="",M1356=""),"",IF(OR(L1356="未知",M1356="未知"),"未知",IF(AND(L1356="真",M1356="真"),"TP",IF(AND(L1356="真",M1356="假"),"FP",IF(AND(L1356="假",M1356="真"),"FN","TN"))))))</f>
        <v/>
      </c>
      <c r="S1356" s="3" t="n"/>
      <c r="T1356" s="3" t="n"/>
      <c r="U1356" s="3" t="n"/>
      <c r="V1356" s="3" t="n"/>
    </row>
    <row r="1357">
      <c r="A1357" s="3" t="n"/>
      <c r="B1357" s="3" t="n"/>
      <c r="C1357" s="3" t="n"/>
      <c r="D1357" s="4" t="n"/>
      <c r="E1357" s="3" t="n"/>
      <c r="F1357" s="3" t="n"/>
      <c r="G1357" s="3" t="n"/>
      <c r="H1357" s="3" t="n"/>
      <c r="I1357" s="3" t="n"/>
      <c r="J1357" s="3" t="n"/>
      <c r="K1357" s="3" t="n"/>
      <c r="L1357" s="3" t="n"/>
      <c r="M1357" s="3" t="n"/>
      <c r="N1357" s="3" t="n"/>
      <c r="O1357" s="3" t="n"/>
      <c r="P1357" s="3" t="n"/>
      <c r="Q1357" s="3" t="n"/>
      <c r="R1357" s="5">
        <f>IF(Q1357&lt;&gt;"是","排除",IF(OR(L1357="",M1357=""),"",IF(OR(L1357="未知",M1357="未知"),"未知",IF(AND(L1357="真",M1357="真"),"TP",IF(AND(L1357="真",M1357="假"),"FP",IF(AND(L1357="假",M1357="真"),"FN","TN"))))))</f>
        <v/>
      </c>
      <c r="S1357" s="3" t="n"/>
      <c r="T1357" s="3" t="n"/>
      <c r="U1357" s="3" t="n"/>
      <c r="V1357" s="3" t="n"/>
    </row>
    <row r="1358">
      <c r="A1358" s="3" t="n"/>
      <c r="B1358" s="3" t="n"/>
      <c r="C1358" s="3" t="n"/>
      <c r="D1358" s="4" t="n"/>
      <c r="E1358" s="3" t="n"/>
      <c r="F1358" s="3" t="n"/>
      <c r="G1358" s="3" t="n"/>
      <c r="H1358" s="3" t="n"/>
      <c r="I1358" s="3" t="n"/>
      <c r="J1358" s="3" t="n"/>
      <c r="K1358" s="3" t="n"/>
      <c r="L1358" s="3" t="n"/>
      <c r="M1358" s="3" t="n"/>
      <c r="N1358" s="3" t="n"/>
      <c r="O1358" s="3" t="n"/>
      <c r="P1358" s="3" t="n"/>
      <c r="Q1358" s="3" t="n"/>
      <c r="R1358" s="5">
        <f>IF(Q1358&lt;&gt;"是","排除",IF(OR(L1358="",M1358=""),"",IF(OR(L1358="未知",M1358="未知"),"未知",IF(AND(L1358="真",M1358="真"),"TP",IF(AND(L1358="真",M1358="假"),"FP",IF(AND(L1358="假",M1358="真"),"FN","TN"))))))</f>
        <v/>
      </c>
      <c r="S1358" s="3" t="n"/>
      <c r="T1358" s="3" t="n"/>
      <c r="U1358" s="3" t="n"/>
      <c r="V1358" s="3" t="n"/>
    </row>
    <row r="1359">
      <c r="A1359" s="3" t="n"/>
      <c r="B1359" s="3" t="n"/>
      <c r="C1359" s="3" t="n"/>
      <c r="D1359" s="4" t="n"/>
      <c r="E1359" s="3" t="n"/>
      <c r="F1359" s="3" t="n"/>
      <c r="G1359" s="3" t="n"/>
      <c r="H1359" s="3" t="n"/>
      <c r="I1359" s="3" t="n"/>
      <c r="J1359" s="3" t="n"/>
      <c r="K1359" s="3" t="n"/>
      <c r="L1359" s="3" t="n"/>
      <c r="M1359" s="3" t="n"/>
      <c r="N1359" s="3" t="n"/>
      <c r="O1359" s="3" t="n"/>
      <c r="P1359" s="3" t="n"/>
      <c r="Q1359" s="3" t="n"/>
      <c r="R1359" s="5">
        <f>IF(Q1359&lt;&gt;"是","排除",IF(OR(L1359="",M1359=""),"",IF(OR(L1359="未知",M1359="未知"),"未知",IF(AND(L1359="真",M1359="真"),"TP",IF(AND(L1359="真",M1359="假"),"FP",IF(AND(L1359="假",M1359="真"),"FN","TN"))))))</f>
        <v/>
      </c>
      <c r="S1359" s="3" t="n"/>
      <c r="T1359" s="3" t="n"/>
      <c r="U1359" s="3" t="n"/>
      <c r="V1359" s="3" t="n"/>
    </row>
    <row r="1360">
      <c r="A1360" s="3" t="n"/>
      <c r="B1360" s="3" t="n"/>
      <c r="C1360" s="3" t="n"/>
      <c r="D1360" s="4" t="n"/>
      <c r="E1360" s="3" t="n"/>
      <c r="F1360" s="3" t="n"/>
      <c r="G1360" s="3" t="n"/>
      <c r="H1360" s="3" t="n"/>
      <c r="I1360" s="3" t="n"/>
      <c r="J1360" s="3" t="n"/>
      <c r="K1360" s="3" t="n"/>
      <c r="L1360" s="3" t="n"/>
      <c r="M1360" s="3" t="n"/>
      <c r="N1360" s="3" t="n"/>
      <c r="O1360" s="3" t="n"/>
      <c r="P1360" s="3" t="n"/>
      <c r="Q1360" s="3" t="n"/>
      <c r="R1360" s="5">
        <f>IF(Q1360&lt;&gt;"是","排除",IF(OR(L1360="",M1360=""),"",IF(OR(L1360="未知",M1360="未知"),"未知",IF(AND(L1360="真",M1360="真"),"TP",IF(AND(L1360="真",M1360="假"),"FP",IF(AND(L1360="假",M1360="真"),"FN","TN"))))))</f>
        <v/>
      </c>
      <c r="S1360" s="3" t="n"/>
      <c r="T1360" s="3" t="n"/>
      <c r="U1360" s="3" t="n"/>
      <c r="V1360" s="3" t="n"/>
    </row>
    <row r="1361">
      <c r="A1361" s="3" t="n"/>
      <c r="B1361" s="3" t="n"/>
      <c r="C1361" s="3" t="n"/>
      <c r="D1361" s="4" t="n"/>
      <c r="E1361" s="3" t="n"/>
      <c r="F1361" s="3" t="n"/>
      <c r="G1361" s="3" t="n"/>
      <c r="H1361" s="3" t="n"/>
      <c r="I1361" s="3" t="n"/>
      <c r="J1361" s="3" t="n"/>
      <c r="K1361" s="3" t="n"/>
      <c r="L1361" s="3" t="n"/>
      <c r="M1361" s="3" t="n"/>
      <c r="N1361" s="3" t="n"/>
      <c r="O1361" s="3" t="n"/>
      <c r="P1361" s="3" t="n"/>
      <c r="Q1361" s="3" t="n"/>
      <c r="R1361" s="5">
        <f>IF(Q1361&lt;&gt;"是","排除",IF(OR(L1361="",M1361=""),"",IF(OR(L1361="未知",M1361="未知"),"未知",IF(AND(L1361="真",M1361="真"),"TP",IF(AND(L1361="真",M1361="假"),"FP",IF(AND(L1361="假",M1361="真"),"FN","TN"))))))</f>
        <v/>
      </c>
      <c r="S1361" s="3" t="n"/>
      <c r="T1361" s="3" t="n"/>
      <c r="U1361" s="3" t="n"/>
      <c r="V1361" s="3" t="n"/>
    </row>
    <row r="1362">
      <c r="A1362" s="3" t="n"/>
      <c r="B1362" s="3" t="n"/>
      <c r="C1362" s="3" t="n"/>
      <c r="D1362" s="4" t="n"/>
      <c r="E1362" s="3" t="n"/>
      <c r="F1362" s="3" t="n"/>
      <c r="G1362" s="3" t="n"/>
      <c r="H1362" s="3" t="n"/>
      <c r="I1362" s="3" t="n"/>
      <c r="J1362" s="3" t="n"/>
      <c r="K1362" s="3" t="n"/>
      <c r="L1362" s="3" t="n"/>
      <c r="M1362" s="3" t="n"/>
      <c r="N1362" s="3" t="n"/>
      <c r="O1362" s="3" t="n"/>
      <c r="P1362" s="3" t="n"/>
      <c r="Q1362" s="3" t="n"/>
      <c r="R1362" s="5">
        <f>IF(Q1362&lt;&gt;"是","排除",IF(OR(L1362="",M1362=""),"",IF(OR(L1362="未知",M1362="未知"),"未知",IF(AND(L1362="真",M1362="真"),"TP",IF(AND(L1362="真",M1362="假"),"FP",IF(AND(L1362="假",M1362="真"),"FN","TN"))))))</f>
        <v/>
      </c>
      <c r="S1362" s="3" t="n"/>
      <c r="T1362" s="3" t="n"/>
      <c r="U1362" s="3" t="n"/>
      <c r="V1362" s="3" t="n"/>
    </row>
    <row r="1363">
      <c r="A1363" s="3" t="n"/>
      <c r="B1363" s="3" t="n"/>
      <c r="C1363" s="3" t="n"/>
      <c r="D1363" s="4" t="n"/>
      <c r="E1363" s="3" t="n"/>
      <c r="F1363" s="3" t="n"/>
      <c r="G1363" s="3" t="n"/>
      <c r="H1363" s="3" t="n"/>
      <c r="I1363" s="3" t="n"/>
      <c r="J1363" s="3" t="n"/>
      <c r="K1363" s="3" t="n"/>
      <c r="L1363" s="3" t="n"/>
      <c r="M1363" s="3" t="n"/>
      <c r="N1363" s="3" t="n"/>
      <c r="O1363" s="3" t="n"/>
      <c r="P1363" s="3" t="n"/>
      <c r="Q1363" s="3" t="n"/>
      <c r="R1363" s="5">
        <f>IF(Q1363&lt;&gt;"是","排除",IF(OR(L1363="",M1363=""),"",IF(OR(L1363="未知",M1363="未知"),"未知",IF(AND(L1363="真",M1363="真"),"TP",IF(AND(L1363="真",M1363="假"),"FP",IF(AND(L1363="假",M1363="真"),"FN","TN"))))))</f>
        <v/>
      </c>
      <c r="S1363" s="3" t="n"/>
      <c r="T1363" s="3" t="n"/>
      <c r="U1363" s="3" t="n"/>
      <c r="V1363" s="3" t="n"/>
    </row>
    <row r="1364">
      <c r="A1364" s="3" t="n"/>
      <c r="B1364" s="3" t="n"/>
      <c r="C1364" s="3" t="n"/>
      <c r="D1364" s="4" t="n"/>
      <c r="E1364" s="3" t="n"/>
      <c r="F1364" s="3" t="n"/>
      <c r="G1364" s="3" t="n"/>
      <c r="H1364" s="3" t="n"/>
      <c r="I1364" s="3" t="n"/>
      <c r="J1364" s="3" t="n"/>
      <c r="K1364" s="3" t="n"/>
      <c r="L1364" s="3" t="n"/>
      <c r="M1364" s="3" t="n"/>
      <c r="N1364" s="3" t="n"/>
      <c r="O1364" s="3" t="n"/>
      <c r="P1364" s="3" t="n"/>
      <c r="Q1364" s="3" t="n"/>
      <c r="R1364" s="5">
        <f>IF(Q1364&lt;&gt;"是","排除",IF(OR(L1364="",M1364=""),"",IF(OR(L1364="未知",M1364="未知"),"未知",IF(AND(L1364="真",M1364="真"),"TP",IF(AND(L1364="真",M1364="假"),"FP",IF(AND(L1364="假",M1364="真"),"FN","TN"))))))</f>
        <v/>
      </c>
      <c r="S1364" s="3" t="n"/>
      <c r="T1364" s="3" t="n"/>
      <c r="U1364" s="3" t="n"/>
      <c r="V1364" s="3" t="n"/>
    </row>
    <row r="1365">
      <c r="A1365" s="3" t="n"/>
      <c r="B1365" s="3" t="n"/>
      <c r="C1365" s="3" t="n"/>
      <c r="D1365" s="4" t="n"/>
      <c r="E1365" s="3" t="n"/>
      <c r="F1365" s="3" t="n"/>
      <c r="G1365" s="3" t="n"/>
      <c r="H1365" s="3" t="n"/>
      <c r="I1365" s="3" t="n"/>
      <c r="J1365" s="3" t="n"/>
      <c r="K1365" s="3" t="n"/>
      <c r="L1365" s="3" t="n"/>
      <c r="M1365" s="3" t="n"/>
      <c r="N1365" s="3" t="n"/>
      <c r="O1365" s="3" t="n"/>
      <c r="P1365" s="3" t="n"/>
      <c r="Q1365" s="3" t="n"/>
      <c r="R1365" s="5">
        <f>IF(Q1365&lt;&gt;"是","排除",IF(OR(L1365="",M1365=""),"",IF(OR(L1365="未知",M1365="未知"),"未知",IF(AND(L1365="真",M1365="真"),"TP",IF(AND(L1365="真",M1365="假"),"FP",IF(AND(L1365="假",M1365="真"),"FN","TN"))))))</f>
        <v/>
      </c>
      <c r="S1365" s="3" t="n"/>
      <c r="T1365" s="3" t="n"/>
      <c r="U1365" s="3" t="n"/>
      <c r="V1365" s="3" t="n"/>
    </row>
    <row r="1366">
      <c r="A1366" s="3" t="n"/>
      <c r="B1366" s="3" t="n"/>
      <c r="C1366" s="3" t="n"/>
      <c r="D1366" s="4" t="n"/>
      <c r="E1366" s="3" t="n"/>
      <c r="F1366" s="3" t="n"/>
      <c r="G1366" s="3" t="n"/>
      <c r="H1366" s="3" t="n"/>
      <c r="I1366" s="3" t="n"/>
      <c r="J1366" s="3" t="n"/>
      <c r="K1366" s="3" t="n"/>
      <c r="L1366" s="3" t="n"/>
      <c r="M1366" s="3" t="n"/>
      <c r="N1366" s="3" t="n"/>
      <c r="O1366" s="3" t="n"/>
      <c r="P1366" s="3" t="n"/>
      <c r="Q1366" s="3" t="n"/>
      <c r="R1366" s="5">
        <f>IF(Q1366&lt;&gt;"是","排除",IF(OR(L1366="",M1366=""),"",IF(OR(L1366="未知",M1366="未知"),"未知",IF(AND(L1366="真",M1366="真"),"TP",IF(AND(L1366="真",M1366="假"),"FP",IF(AND(L1366="假",M1366="真"),"FN","TN"))))))</f>
        <v/>
      </c>
      <c r="S1366" s="3" t="n"/>
      <c r="T1366" s="3" t="n"/>
      <c r="U1366" s="3" t="n"/>
      <c r="V1366" s="3" t="n"/>
    </row>
    <row r="1367">
      <c r="A1367" s="3" t="n"/>
      <c r="B1367" s="3" t="n"/>
      <c r="C1367" s="3" t="n"/>
      <c r="D1367" s="4" t="n"/>
      <c r="E1367" s="3" t="n"/>
      <c r="F1367" s="3" t="n"/>
      <c r="G1367" s="3" t="n"/>
      <c r="H1367" s="3" t="n"/>
      <c r="I1367" s="3" t="n"/>
      <c r="J1367" s="3" t="n"/>
      <c r="K1367" s="3" t="n"/>
      <c r="L1367" s="3" t="n"/>
      <c r="M1367" s="3" t="n"/>
      <c r="N1367" s="3" t="n"/>
      <c r="O1367" s="3" t="n"/>
      <c r="P1367" s="3" t="n"/>
      <c r="Q1367" s="3" t="n"/>
      <c r="R1367" s="5">
        <f>IF(Q1367&lt;&gt;"是","排除",IF(OR(L1367="",M1367=""),"",IF(OR(L1367="未知",M1367="未知"),"未知",IF(AND(L1367="真",M1367="真"),"TP",IF(AND(L1367="真",M1367="假"),"FP",IF(AND(L1367="假",M1367="真"),"FN","TN"))))))</f>
        <v/>
      </c>
      <c r="S1367" s="3" t="n"/>
      <c r="T1367" s="3" t="n"/>
      <c r="U1367" s="3" t="n"/>
      <c r="V1367" s="3" t="n"/>
    </row>
    <row r="1368">
      <c r="A1368" s="3" t="n"/>
      <c r="B1368" s="3" t="n"/>
      <c r="C1368" s="3" t="n"/>
      <c r="D1368" s="4" t="n"/>
      <c r="E1368" s="3" t="n"/>
      <c r="F1368" s="3" t="n"/>
      <c r="G1368" s="3" t="n"/>
      <c r="H1368" s="3" t="n"/>
      <c r="I1368" s="3" t="n"/>
      <c r="J1368" s="3" t="n"/>
      <c r="K1368" s="3" t="n"/>
      <c r="L1368" s="3" t="n"/>
      <c r="M1368" s="3" t="n"/>
      <c r="N1368" s="3" t="n"/>
      <c r="O1368" s="3" t="n"/>
      <c r="P1368" s="3" t="n"/>
      <c r="Q1368" s="3" t="n"/>
      <c r="R1368" s="5">
        <f>IF(Q1368&lt;&gt;"是","排除",IF(OR(L1368="",M1368=""),"",IF(OR(L1368="未知",M1368="未知"),"未知",IF(AND(L1368="真",M1368="真"),"TP",IF(AND(L1368="真",M1368="假"),"FP",IF(AND(L1368="假",M1368="真"),"FN","TN"))))))</f>
        <v/>
      </c>
      <c r="S1368" s="3" t="n"/>
      <c r="T1368" s="3" t="n"/>
      <c r="U1368" s="3" t="n"/>
      <c r="V1368" s="3" t="n"/>
    </row>
    <row r="1369">
      <c r="A1369" s="3" t="n"/>
      <c r="B1369" s="3" t="n"/>
      <c r="C1369" s="3" t="n"/>
      <c r="D1369" s="4" t="n"/>
      <c r="E1369" s="3" t="n"/>
      <c r="F1369" s="3" t="n"/>
      <c r="G1369" s="3" t="n"/>
      <c r="H1369" s="3" t="n"/>
      <c r="I1369" s="3" t="n"/>
      <c r="J1369" s="3" t="n"/>
      <c r="K1369" s="3" t="n"/>
      <c r="L1369" s="3" t="n"/>
      <c r="M1369" s="3" t="n"/>
      <c r="N1369" s="3" t="n"/>
      <c r="O1369" s="3" t="n"/>
      <c r="P1369" s="3" t="n"/>
      <c r="Q1369" s="3" t="n"/>
      <c r="R1369" s="5">
        <f>IF(Q1369&lt;&gt;"是","排除",IF(OR(L1369="",M1369=""),"",IF(OR(L1369="未知",M1369="未知"),"未知",IF(AND(L1369="真",M1369="真"),"TP",IF(AND(L1369="真",M1369="假"),"FP",IF(AND(L1369="假",M1369="真"),"FN","TN"))))))</f>
        <v/>
      </c>
      <c r="S1369" s="3" t="n"/>
      <c r="T1369" s="3" t="n"/>
      <c r="U1369" s="3" t="n"/>
      <c r="V1369" s="3" t="n"/>
    </row>
    <row r="1370">
      <c r="A1370" s="3" t="n"/>
      <c r="B1370" s="3" t="n"/>
      <c r="C1370" s="3" t="n"/>
      <c r="D1370" s="4" t="n"/>
      <c r="E1370" s="3" t="n"/>
      <c r="F1370" s="3" t="n"/>
      <c r="G1370" s="3" t="n"/>
      <c r="H1370" s="3" t="n"/>
      <c r="I1370" s="3" t="n"/>
      <c r="J1370" s="3" t="n"/>
      <c r="K1370" s="3" t="n"/>
      <c r="L1370" s="3" t="n"/>
      <c r="M1370" s="3" t="n"/>
      <c r="N1370" s="3" t="n"/>
      <c r="O1370" s="3" t="n"/>
      <c r="P1370" s="3" t="n"/>
      <c r="Q1370" s="3" t="n"/>
      <c r="R1370" s="5">
        <f>IF(Q1370&lt;&gt;"是","排除",IF(OR(L1370="",M1370=""),"",IF(OR(L1370="未知",M1370="未知"),"未知",IF(AND(L1370="真",M1370="真"),"TP",IF(AND(L1370="真",M1370="假"),"FP",IF(AND(L1370="假",M1370="真"),"FN","TN"))))))</f>
        <v/>
      </c>
      <c r="S1370" s="3" t="n"/>
      <c r="T1370" s="3" t="n"/>
      <c r="U1370" s="3" t="n"/>
      <c r="V1370" s="3" t="n"/>
    </row>
    <row r="1371">
      <c r="A1371" s="3" t="n"/>
      <c r="B1371" s="3" t="n"/>
      <c r="C1371" s="3" t="n"/>
      <c r="D1371" s="4" t="n"/>
      <c r="E1371" s="3" t="n"/>
      <c r="F1371" s="3" t="n"/>
      <c r="G1371" s="3" t="n"/>
      <c r="H1371" s="3" t="n"/>
      <c r="I1371" s="3" t="n"/>
      <c r="J1371" s="3" t="n"/>
      <c r="K1371" s="3" t="n"/>
      <c r="L1371" s="3" t="n"/>
      <c r="M1371" s="3" t="n"/>
      <c r="N1371" s="3" t="n"/>
      <c r="O1371" s="3" t="n"/>
      <c r="P1371" s="3" t="n"/>
      <c r="Q1371" s="3" t="n"/>
      <c r="R1371" s="5">
        <f>IF(Q1371&lt;&gt;"是","排除",IF(OR(L1371="",M1371=""),"",IF(OR(L1371="未知",M1371="未知"),"未知",IF(AND(L1371="真",M1371="真"),"TP",IF(AND(L1371="真",M1371="假"),"FP",IF(AND(L1371="假",M1371="真"),"FN","TN"))))))</f>
        <v/>
      </c>
      <c r="S1371" s="3" t="n"/>
      <c r="T1371" s="3" t="n"/>
      <c r="U1371" s="3" t="n"/>
      <c r="V1371" s="3" t="n"/>
    </row>
    <row r="1372">
      <c r="A1372" s="3" t="n"/>
      <c r="B1372" s="3" t="n"/>
      <c r="C1372" s="3" t="n"/>
      <c r="D1372" s="4" t="n"/>
      <c r="E1372" s="3" t="n"/>
      <c r="F1372" s="3" t="n"/>
      <c r="G1372" s="3" t="n"/>
      <c r="H1372" s="3" t="n"/>
      <c r="I1372" s="3" t="n"/>
      <c r="J1372" s="3" t="n"/>
      <c r="K1372" s="3" t="n"/>
      <c r="L1372" s="3" t="n"/>
      <c r="M1372" s="3" t="n"/>
      <c r="N1372" s="3" t="n"/>
      <c r="O1372" s="3" t="n"/>
      <c r="P1372" s="3" t="n"/>
      <c r="Q1372" s="3" t="n"/>
      <c r="R1372" s="5">
        <f>IF(Q1372&lt;&gt;"是","排除",IF(OR(L1372="",M1372=""),"",IF(OR(L1372="未知",M1372="未知"),"未知",IF(AND(L1372="真",M1372="真"),"TP",IF(AND(L1372="真",M1372="假"),"FP",IF(AND(L1372="假",M1372="真"),"FN","TN"))))))</f>
        <v/>
      </c>
      <c r="S1372" s="3" t="n"/>
      <c r="T1372" s="3" t="n"/>
      <c r="U1372" s="3" t="n"/>
      <c r="V1372" s="3" t="n"/>
    </row>
    <row r="1373">
      <c r="A1373" s="3" t="n"/>
      <c r="B1373" s="3" t="n"/>
      <c r="C1373" s="3" t="n"/>
      <c r="D1373" s="4" t="n"/>
      <c r="E1373" s="3" t="n"/>
      <c r="F1373" s="3" t="n"/>
      <c r="G1373" s="3" t="n"/>
      <c r="H1373" s="3" t="n"/>
      <c r="I1373" s="3" t="n"/>
      <c r="J1373" s="3" t="n"/>
      <c r="K1373" s="3" t="n"/>
      <c r="L1373" s="3" t="n"/>
      <c r="M1373" s="3" t="n"/>
      <c r="N1373" s="3" t="n"/>
      <c r="O1373" s="3" t="n"/>
      <c r="P1373" s="3" t="n"/>
      <c r="Q1373" s="3" t="n"/>
      <c r="R1373" s="5">
        <f>IF(Q1373&lt;&gt;"是","排除",IF(OR(L1373="",M1373=""),"",IF(OR(L1373="未知",M1373="未知"),"未知",IF(AND(L1373="真",M1373="真"),"TP",IF(AND(L1373="真",M1373="假"),"FP",IF(AND(L1373="假",M1373="真"),"FN","TN"))))))</f>
        <v/>
      </c>
      <c r="S1373" s="3" t="n"/>
      <c r="T1373" s="3" t="n"/>
      <c r="U1373" s="3" t="n"/>
      <c r="V1373" s="3" t="n"/>
    </row>
    <row r="1374">
      <c r="A1374" s="3" t="n"/>
      <c r="B1374" s="3" t="n"/>
      <c r="C1374" s="3" t="n"/>
      <c r="D1374" s="4" t="n"/>
      <c r="E1374" s="3" t="n"/>
      <c r="F1374" s="3" t="n"/>
      <c r="G1374" s="3" t="n"/>
      <c r="H1374" s="3" t="n"/>
      <c r="I1374" s="3" t="n"/>
      <c r="J1374" s="3" t="n"/>
      <c r="K1374" s="3" t="n"/>
      <c r="L1374" s="3" t="n"/>
      <c r="M1374" s="3" t="n"/>
      <c r="N1374" s="3" t="n"/>
      <c r="O1374" s="3" t="n"/>
      <c r="P1374" s="3" t="n"/>
      <c r="Q1374" s="3" t="n"/>
      <c r="R1374" s="5">
        <f>IF(Q1374&lt;&gt;"是","排除",IF(OR(L1374="",M1374=""),"",IF(OR(L1374="未知",M1374="未知"),"未知",IF(AND(L1374="真",M1374="真"),"TP",IF(AND(L1374="真",M1374="假"),"FP",IF(AND(L1374="假",M1374="真"),"FN","TN"))))))</f>
        <v/>
      </c>
      <c r="S1374" s="3" t="n"/>
      <c r="T1374" s="3" t="n"/>
      <c r="U1374" s="3" t="n"/>
      <c r="V1374" s="3" t="n"/>
    </row>
    <row r="1375">
      <c r="A1375" s="3" t="n"/>
      <c r="B1375" s="3" t="n"/>
      <c r="C1375" s="3" t="n"/>
      <c r="D1375" s="4" t="n"/>
      <c r="E1375" s="3" t="n"/>
      <c r="F1375" s="3" t="n"/>
      <c r="G1375" s="3" t="n"/>
      <c r="H1375" s="3" t="n"/>
      <c r="I1375" s="3" t="n"/>
      <c r="J1375" s="3" t="n"/>
      <c r="K1375" s="3" t="n"/>
      <c r="L1375" s="3" t="n"/>
      <c r="M1375" s="3" t="n"/>
      <c r="N1375" s="3" t="n"/>
      <c r="O1375" s="3" t="n"/>
      <c r="P1375" s="3" t="n"/>
      <c r="Q1375" s="3" t="n"/>
      <c r="R1375" s="5">
        <f>IF(Q1375&lt;&gt;"是","排除",IF(OR(L1375="",M1375=""),"",IF(OR(L1375="未知",M1375="未知"),"未知",IF(AND(L1375="真",M1375="真"),"TP",IF(AND(L1375="真",M1375="假"),"FP",IF(AND(L1375="假",M1375="真"),"FN","TN"))))))</f>
        <v/>
      </c>
      <c r="S1375" s="3" t="n"/>
      <c r="T1375" s="3" t="n"/>
      <c r="U1375" s="3" t="n"/>
      <c r="V1375" s="3" t="n"/>
    </row>
    <row r="1376">
      <c r="A1376" s="3" t="n"/>
      <c r="B1376" s="3" t="n"/>
      <c r="C1376" s="3" t="n"/>
      <c r="D1376" s="4" t="n"/>
      <c r="E1376" s="3" t="n"/>
      <c r="F1376" s="3" t="n"/>
      <c r="G1376" s="3" t="n"/>
      <c r="H1376" s="3" t="n"/>
      <c r="I1376" s="3" t="n"/>
      <c r="J1376" s="3" t="n"/>
      <c r="K1376" s="3" t="n"/>
      <c r="L1376" s="3" t="n"/>
      <c r="M1376" s="3" t="n"/>
      <c r="N1376" s="3" t="n"/>
      <c r="O1376" s="3" t="n"/>
      <c r="P1376" s="3" t="n"/>
      <c r="Q1376" s="3" t="n"/>
      <c r="R1376" s="5">
        <f>IF(Q1376&lt;&gt;"是","排除",IF(OR(L1376="",M1376=""),"",IF(OR(L1376="未知",M1376="未知"),"未知",IF(AND(L1376="真",M1376="真"),"TP",IF(AND(L1376="真",M1376="假"),"FP",IF(AND(L1376="假",M1376="真"),"FN","TN"))))))</f>
        <v/>
      </c>
      <c r="S1376" s="3" t="n"/>
      <c r="T1376" s="3" t="n"/>
      <c r="U1376" s="3" t="n"/>
      <c r="V1376" s="3" t="n"/>
    </row>
    <row r="1377">
      <c r="A1377" s="3" t="n"/>
      <c r="B1377" s="3" t="n"/>
      <c r="C1377" s="3" t="n"/>
      <c r="D1377" s="4" t="n"/>
      <c r="E1377" s="3" t="n"/>
      <c r="F1377" s="3" t="n"/>
      <c r="G1377" s="3" t="n"/>
      <c r="H1377" s="3" t="n"/>
      <c r="I1377" s="3" t="n"/>
      <c r="J1377" s="3" t="n"/>
      <c r="K1377" s="3" t="n"/>
      <c r="L1377" s="3" t="n"/>
      <c r="M1377" s="3" t="n"/>
      <c r="N1377" s="3" t="n"/>
      <c r="O1377" s="3" t="n"/>
      <c r="P1377" s="3" t="n"/>
      <c r="Q1377" s="3" t="n"/>
      <c r="R1377" s="5">
        <f>IF(Q1377&lt;&gt;"是","排除",IF(OR(L1377="",M1377=""),"",IF(OR(L1377="未知",M1377="未知"),"未知",IF(AND(L1377="真",M1377="真"),"TP",IF(AND(L1377="真",M1377="假"),"FP",IF(AND(L1377="假",M1377="真"),"FN","TN"))))))</f>
        <v/>
      </c>
      <c r="S1377" s="3" t="n"/>
      <c r="T1377" s="3" t="n"/>
      <c r="U1377" s="3" t="n"/>
      <c r="V1377" s="3" t="n"/>
    </row>
    <row r="1378">
      <c r="A1378" s="3" t="n"/>
      <c r="B1378" s="3" t="n"/>
      <c r="C1378" s="3" t="n"/>
      <c r="D1378" s="4" t="n"/>
      <c r="E1378" s="3" t="n"/>
      <c r="F1378" s="3" t="n"/>
      <c r="G1378" s="3" t="n"/>
      <c r="H1378" s="3" t="n"/>
      <c r="I1378" s="3" t="n"/>
      <c r="J1378" s="3" t="n"/>
      <c r="K1378" s="3" t="n"/>
      <c r="L1378" s="3" t="n"/>
      <c r="M1378" s="3" t="n"/>
      <c r="N1378" s="3" t="n"/>
      <c r="O1378" s="3" t="n"/>
      <c r="P1378" s="3" t="n"/>
      <c r="Q1378" s="3" t="n"/>
      <c r="R1378" s="5">
        <f>IF(Q1378&lt;&gt;"是","排除",IF(OR(L1378="",M1378=""),"",IF(OR(L1378="未知",M1378="未知"),"未知",IF(AND(L1378="真",M1378="真"),"TP",IF(AND(L1378="真",M1378="假"),"FP",IF(AND(L1378="假",M1378="真"),"FN","TN"))))))</f>
        <v/>
      </c>
      <c r="S1378" s="3" t="n"/>
      <c r="T1378" s="3" t="n"/>
      <c r="U1378" s="3" t="n"/>
      <c r="V1378" s="3" t="n"/>
    </row>
    <row r="1379">
      <c r="A1379" s="3" t="n"/>
      <c r="B1379" s="3" t="n"/>
      <c r="C1379" s="3" t="n"/>
      <c r="D1379" s="4" t="n"/>
      <c r="E1379" s="3" t="n"/>
      <c r="F1379" s="3" t="n"/>
      <c r="G1379" s="3" t="n"/>
      <c r="H1379" s="3" t="n"/>
      <c r="I1379" s="3" t="n"/>
      <c r="J1379" s="3" t="n"/>
      <c r="K1379" s="3" t="n"/>
      <c r="L1379" s="3" t="n"/>
      <c r="M1379" s="3" t="n"/>
      <c r="N1379" s="3" t="n"/>
      <c r="O1379" s="3" t="n"/>
      <c r="P1379" s="3" t="n"/>
      <c r="Q1379" s="3" t="n"/>
      <c r="R1379" s="5">
        <f>IF(Q1379&lt;&gt;"是","排除",IF(OR(L1379="",M1379=""),"",IF(OR(L1379="未知",M1379="未知"),"未知",IF(AND(L1379="真",M1379="真"),"TP",IF(AND(L1379="真",M1379="假"),"FP",IF(AND(L1379="假",M1379="真"),"FN","TN"))))))</f>
        <v/>
      </c>
      <c r="S1379" s="3" t="n"/>
      <c r="T1379" s="3" t="n"/>
      <c r="U1379" s="3" t="n"/>
      <c r="V1379" s="3" t="n"/>
    </row>
    <row r="1380">
      <c r="A1380" s="3" t="n"/>
      <c r="B1380" s="3" t="n"/>
      <c r="C1380" s="3" t="n"/>
      <c r="D1380" s="4" t="n"/>
      <c r="E1380" s="3" t="n"/>
      <c r="F1380" s="3" t="n"/>
      <c r="G1380" s="3" t="n"/>
      <c r="H1380" s="3" t="n"/>
      <c r="I1380" s="3" t="n"/>
      <c r="J1380" s="3" t="n"/>
      <c r="K1380" s="3" t="n"/>
      <c r="L1380" s="3" t="n"/>
      <c r="M1380" s="3" t="n"/>
      <c r="N1380" s="3" t="n"/>
      <c r="O1380" s="3" t="n"/>
      <c r="P1380" s="3" t="n"/>
      <c r="Q1380" s="3" t="n"/>
      <c r="R1380" s="5">
        <f>IF(Q1380&lt;&gt;"是","排除",IF(OR(L1380="",M1380=""),"",IF(OR(L1380="未知",M1380="未知"),"未知",IF(AND(L1380="真",M1380="真"),"TP",IF(AND(L1380="真",M1380="假"),"FP",IF(AND(L1380="假",M1380="真"),"FN","TN"))))))</f>
        <v/>
      </c>
      <c r="S1380" s="3" t="n"/>
      <c r="T1380" s="3" t="n"/>
      <c r="U1380" s="3" t="n"/>
      <c r="V1380" s="3" t="n"/>
    </row>
    <row r="1381">
      <c r="A1381" s="3" t="n"/>
      <c r="B1381" s="3" t="n"/>
      <c r="C1381" s="3" t="n"/>
      <c r="D1381" s="4" t="n"/>
      <c r="E1381" s="3" t="n"/>
      <c r="F1381" s="3" t="n"/>
      <c r="G1381" s="3" t="n"/>
      <c r="H1381" s="3" t="n"/>
      <c r="I1381" s="3" t="n"/>
      <c r="J1381" s="3" t="n"/>
      <c r="K1381" s="3" t="n"/>
      <c r="L1381" s="3" t="n"/>
      <c r="M1381" s="3" t="n"/>
      <c r="N1381" s="3" t="n"/>
      <c r="O1381" s="3" t="n"/>
      <c r="P1381" s="3" t="n"/>
      <c r="Q1381" s="3" t="n"/>
      <c r="R1381" s="5">
        <f>IF(Q1381&lt;&gt;"是","排除",IF(OR(L1381="",M1381=""),"",IF(OR(L1381="未知",M1381="未知"),"未知",IF(AND(L1381="真",M1381="真"),"TP",IF(AND(L1381="真",M1381="假"),"FP",IF(AND(L1381="假",M1381="真"),"FN","TN"))))))</f>
        <v/>
      </c>
      <c r="S1381" s="3" t="n"/>
      <c r="T1381" s="3" t="n"/>
      <c r="U1381" s="3" t="n"/>
      <c r="V1381" s="3" t="n"/>
    </row>
    <row r="1382">
      <c r="A1382" s="3" t="n"/>
      <c r="B1382" s="3" t="n"/>
      <c r="C1382" s="3" t="n"/>
      <c r="D1382" s="4" t="n"/>
      <c r="E1382" s="3" t="n"/>
      <c r="F1382" s="3" t="n"/>
      <c r="G1382" s="3" t="n"/>
      <c r="H1382" s="3" t="n"/>
      <c r="I1382" s="3" t="n"/>
      <c r="J1382" s="3" t="n"/>
      <c r="K1382" s="3" t="n"/>
      <c r="L1382" s="3" t="n"/>
      <c r="M1382" s="3" t="n"/>
      <c r="N1382" s="3" t="n"/>
      <c r="O1382" s="3" t="n"/>
      <c r="P1382" s="3" t="n"/>
      <c r="Q1382" s="3" t="n"/>
      <c r="R1382" s="5">
        <f>IF(Q1382&lt;&gt;"是","排除",IF(OR(L1382="",M1382=""),"",IF(OR(L1382="未知",M1382="未知"),"未知",IF(AND(L1382="真",M1382="真"),"TP",IF(AND(L1382="真",M1382="假"),"FP",IF(AND(L1382="假",M1382="真"),"FN","TN"))))))</f>
        <v/>
      </c>
      <c r="S1382" s="3" t="n"/>
      <c r="T1382" s="3" t="n"/>
      <c r="U1382" s="3" t="n"/>
      <c r="V1382" s="3" t="n"/>
    </row>
    <row r="1383">
      <c r="A1383" s="3" t="n"/>
      <c r="B1383" s="3" t="n"/>
      <c r="C1383" s="3" t="n"/>
      <c r="D1383" s="4" t="n"/>
      <c r="E1383" s="3" t="n"/>
      <c r="F1383" s="3" t="n"/>
      <c r="G1383" s="3" t="n"/>
      <c r="H1383" s="3" t="n"/>
      <c r="I1383" s="3" t="n"/>
      <c r="J1383" s="3" t="n"/>
      <c r="K1383" s="3" t="n"/>
      <c r="L1383" s="3" t="n"/>
      <c r="M1383" s="3" t="n"/>
      <c r="N1383" s="3" t="n"/>
      <c r="O1383" s="3" t="n"/>
      <c r="P1383" s="3" t="n"/>
      <c r="Q1383" s="3" t="n"/>
      <c r="R1383" s="5">
        <f>IF(Q1383&lt;&gt;"是","排除",IF(OR(L1383="",M1383=""),"",IF(OR(L1383="未知",M1383="未知"),"未知",IF(AND(L1383="真",M1383="真"),"TP",IF(AND(L1383="真",M1383="假"),"FP",IF(AND(L1383="假",M1383="真"),"FN","TN"))))))</f>
        <v/>
      </c>
      <c r="S1383" s="3" t="n"/>
      <c r="T1383" s="3" t="n"/>
      <c r="U1383" s="3" t="n"/>
      <c r="V1383" s="3" t="n"/>
    </row>
    <row r="1384">
      <c r="A1384" s="3" t="n"/>
      <c r="B1384" s="3" t="n"/>
      <c r="C1384" s="3" t="n"/>
      <c r="D1384" s="4" t="n"/>
      <c r="E1384" s="3" t="n"/>
      <c r="F1384" s="3" t="n"/>
      <c r="G1384" s="3" t="n"/>
      <c r="H1384" s="3" t="n"/>
      <c r="I1384" s="3" t="n"/>
      <c r="J1384" s="3" t="n"/>
      <c r="K1384" s="3" t="n"/>
      <c r="L1384" s="3" t="n"/>
      <c r="M1384" s="3" t="n"/>
      <c r="N1384" s="3" t="n"/>
      <c r="O1384" s="3" t="n"/>
      <c r="P1384" s="3" t="n"/>
      <c r="Q1384" s="3" t="n"/>
      <c r="R1384" s="5">
        <f>IF(Q1384&lt;&gt;"是","排除",IF(OR(L1384="",M1384=""),"",IF(OR(L1384="未知",M1384="未知"),"未知",IF(AND(L1384="真",M1384="真"),"TP",IF(AND(L1384="真",M1384="假"),"FP",IF(AND(L1384="假",M1384="真"),"FN","TN"))))))</f>
        <v/>
      </c>
      <c r="S1384" s="3" t="n"/>
      <c r="T1384" s="3" t="n"/>
      <c r="U1384" s="3" t="n"/>
      <c r="V1384" s="3" t="n"/>
    </row>
    <row r="1385">
      <c r="A1385" s="3" t="n"/>
      <c r="B1385" s="3" t="n"/>
      <c r="C1385" s="3" t="n"/>
      <c r="D1385" s="4" t="n"/>
      <c r="E1385" s="3" t="n"/>
      <c r="F1385" s="3" t="n"/>
      <c r="G1385" s="3" t="n"/>
      <c r="H1385" s="3" t="n"/>
      <c r="I1385" s="3" t="n"/>
      <c r="J1385" s="3" t="n"/>
      <c r="K1385" s="3" t="n"/>
      <c r="L1385" s="3" t="n"/>
      <c r="M1385" s="3" t="n"/>
      <c r="N1385" s="3" t="n"/>
      <c r="O1385" s="3" t="n"/>
      <c r="P1385" s="3" t="n"/>
      <c r="Q1385" s="3" t="n"/>
      <c r="R1385" s="5">
        <f>IF(Q1385&lt;&gt;"是","排除",IF(OR(L1385="",M1385=""),"",IF(OR(L1385="未知",M1385="未知"),"未知",IF(AND(L1385="真",M1385="真"),"TP",IF(AND(L1385="真",M1385="假"),"FP",IF(AND(L1385="假",M1385="真"),"FN","TN"))))))</f>
        <v/>
      </c>
      <c r="S1385" s="3" t="n"/>
      <c r="T1385" s="3" t="n"/>
      <c r="U1385" s="3" t="n"/>
      <c r="V1385" s="3" t="n"/>
    </row>
    <row r="1386">
      <c r="A1386" s="3" t="n"/>
      <c r="B1386" s="3" t="n"/>
      <c r="C1386" s="3" t="n"/>
      <c r="D1386" s="4" t="n"/>
      <c r="E1386" s="3" t="n"/>
      <c r="F1386" s="3" t="n"/>
      <c r="G1386" s="3" t="n"/>
      <c r="H1386" s="3" t="n"/>
      <c r="I1386" s="3" t="n"/>
      <c r="J1386" s="3" t="n"/>
      <c r="K1386" s="3" t="n"/>
      <c r="L1386" s="3" t="n"/>
      <c r="M1386" s="3" t="n"/>
      <c r="N1386" s="3" t="n"/>
      <c r="O1386" s="3" t="n"/>
      <c r="P1386" s="3" t="n"/>
      <c r="Q1386" s="3" t="n"/>
      <c r="R1386" s="5">
        <f>IF(Q1386&lt;&gt;"是","排除",IF(OR(L1386="",M1386=""),"",IF(OR(L1386="未知",M1386="未知"),"未知",IF(AND(L1386="真",M1386="真"),"TP",IF(AND(L1386="真",M1386="假"),"FP",IF(AND(L1386="假",M1386="真"),"FN","TN"))))))</f>
        <v/>
      </c>
      <c r="S1386" s="3" t="n"/>
      <c r="T1386" s="3" t="n"/>
      <c r="U1386" s="3" t="n"/>
      <c r="V1386" s="3" t="n"/>
    </row>
    <row r="1387">
      <c r="A1387" s="3" t="n"/>
      <c r="B1387" s="3" t="n"/>
      <c r="C1387" s="3" t="n"/>
      <c r="D1387" s="4" t="n"/>
      <c r="E1387" s="3" t="n"/>
      <c r="F1387" s="3" t="n"/>
      <c r="G1387" s="3" t="n"/>
      <c r="H1387" s="3" t="n"/>
      <c r="I1387" s="3" t="n"/>
      <c r="J1387" s="3" t="n"/>
      <c r="K1387" s="3" t="n"/>
      <c r="L1387" s="3" t="n"/>
      <c r="M1387" s="3" t="n"/>
      <c r="N1387" s="3" t="n"/>
      <c r="O1387" s="3" t="n"/>
      <c r="P1387" s="3" t="n"/>
      <c r="Q1387" s="3" t="n"/>
      <c r="R1387" s="5">
        <f>IF(Q1387&lt;&gt;"是","排除",IF(OR(L1387="",M1387=""),"",IF(OR(L1387="未知",M1387="未知"),"未知",IF(AND(L1387="真",M1387="真"),"TP",IF(AND(L1387="真",M1387="假"),"FP",IF(AND(L1387="假",M1387="真"),"FN","TN"))))))</f>
        <v/>
      </c>
      <c r="S1387" s="3" t="n"/>
      <c r="T1387" s="3" t="n"/>
      <c r="U1387" s="3" t="n"/>
      <c r="V1387" s="3" t="n"/>
    </row>
    <row r="1388">
      <c r="A1388" s="3" t="n"/>
      <c r="B1388" s="3" t="n"/>
      <c r="C1388" s="3" t="n"/>
      <c r="D1388" s="4" t="n"/>
      <c r="E1388" s="3" t="n"/>
      <c r="F1388" s="3" t="n"/>
      <c r="G1388" s="3" t="n"/>
      <c r="H1388" s="3" t="n"/>
      <c r="I1388" s="3" t="n"/>
      <c r="J1388" s="3" t="n"/>
      <c r="K1388" s="3" t="n"/>
      <c r="L1388" s="3" t="n"/>
      <c r="M1388" s="3" t="n"/>
      <c r="N1388" s="3" t="n"/>
      <c r="O1388" s="3" t="n"/>
      <c r="P1388" s="3" t="n"/>
      <c r="Q1388" s="3" t="n"/>
      <c r="R1388" s="5">
        <f>IF(Q1388&lt;&gt;"是","排除",IF(OR(L1388="",M1388=""),"",IF(OR(L1388="未知",M1388="未知"),"未知",IF(AND(L1388="真",M1388="真"),"TP",IF(AND(L1388="真",M1388="假"),"FP",IF(AND(L1388="假",M1388="真"),"FN","TN"))))))</f>
        <v/>
      </c>
      <c r="S1388" s="3" t="n"/>
      <c r="T1388" s="3" t="n"/>
      <c r="U1388" s="3" t="n"/>
      <c r="V1388" s="3" t="n"/>
    </row>
    <row r="1389">
      <c r="A1389" s="3" t="n"/>
      <c r="B1389" s="3" t="n"/>
      <c r="C1389" s="3" t="n"/>
      <c r="D1389" s="4" t="n"/>
      <c r="E1389" s="3" t="n"/>
      <c r="F1389" s="3" t="n"/>
      <c r="G1389" s="3" t="n"/>
      <c r="H1389" s="3" t="n"/>
      <c r="I1389" s="3" t="n"/>
      <c r="J1389" s="3" t="n"/>
      <c r="K1389" s="3" t="n"/>
      <c r="L1389" s="3" t="n"/>
      <c r="M1389" s="3" t="n"/>
      <c r="N1389" s="3" t="n"/>
      <c r="O1389" s="3" t="n"/>
      <c r="P1389" s="3" t="n"/>
      <c r="Q1389" s="3" t="n"/>
      <c r="R1389" s="5">
        <f>IF(Q1389&lt;&gt;"是","排除",IF(OR(L1389="",M1389=""),"",IF(OR(L1389="未知",M1389="未知"),"未知",IF(AND(L1389="真",M1389="真"),"TP",IF(AND(L1389="真",M1389="假"),"FP",IF(AND(L1389="假",M1389="真"),"FN","TN"))))))</f>
        <v/>
      </c>
      <c r="S1389" s="3" t="n"/>
      <c r="T1389" s="3" t="n"/>
      <c r="U1389" s="3" t="n"/>
      <c r="V1389" s="3" t="n"/>
    </row>
    <row r="1390">
      <c r="A1390" s="3" t="n"/>
      <c r="B1390" s="3" t="n"/>
      <c r="C1390" s="3" t="n"/>
      <c r="D1390" s="4" t="n"/>
      <c r="E1390" s="3" t="n"/>
      <c r="F1390" s="3" t="n"/>
      <c r="G1390" s="3" t="n"/>
      <c r="H1390" s="3" t="n"/>
      <c r="I1390" s="3" t="n"/>
      <c r="J1390" s="3" t="n"/>
      <c r="K1390" s="3" t="n"/>
      <c r="L1390" s="3" t="n"/>
      <c r="M1390" s="3" t="n"/>
      <c r="N1390" s="3" t="n"/>
      <c r="O1390" s="3" t="n"/>
      <c r="P1390" s="3" t="n"/>
      <c r="Q1390" s="3" t="n"/>
      <c r="R1390" s="5">
        <f>IF(Q1390&lt;&gt;"是","排除",IF(OR(L1390="",M1390=""),"",IF(OR(L1390="未知",M1390="未知"),"未知",IF(AND(L1390="真",M1390="真"),"TP",IF(AND(L1390="真",M1390="假"),"FP",IF(AND(L1390="假",M1390="真"),"FN","TN"))))))</f>
        <v/>
      </c>
      <c r="S1390" s="3" t="n"/>
      <c r="T1390" s="3" t="n"/>
      <c r="U1390" s="3" t="n"/>
      <c r="V1390" s="3" t="n"/>
    </row>
    <row r="1391">
      <c r="A1391" s="3" t="n"/>
      <c r="B1391" s="3" t="n"/>
      <c r="C1391" s="3" t="n"/>
      <c r="D1391" s="4" t="n"/>
      <c r="E1391" s="3" t="n"/>
      <c r="F1391" s="3" t="n"/>
      <c r="G1391" s="3" t="n"/>
      <c r="H1391" s="3" t="n"/>
      <c r="I1391" s="3" t="n"/>
      <c r="J1391" s="3" t="n"/>
      <c r="K1391" s="3" t="n"/>
      <c r="L1391" s="3" t="n"/>
      <c r="M1391" s="3" t="n"/>
      <c r="N1391" s="3" t="n"/>
      <c r="O1391" s="3" t="n"/>
      <c r="P1391" s="3" t="n"/>
      <c r="Q1391" s="3" t="n"/>
      <c r="R1391" s="5">
        <f>IF(Q1391&lt;&gt;"是","排除",IF(OR(L1391="",M1391=""),"",IF(OR(L1391="未知",M1391="未知"),"未知",IF(AND(L1391="真",M1391="真"),"TP",IF(AND(L1391="真",M1391="假"),"FP",IF(AND(L1391="假",M1391="真"),"FN","TN"))))))</f>
        <v/>
      </c>
      <c r="S1391" s="3" t="n"/>
      <c r="T1391" s="3" t="n"/>
      <c r="U1391" s="3" t="n"/>
      <c r="V1391" s="3" t="n"/>
    </row>
    <row r="1392">
      <c r="A1392" s="3" t="n"/>
      <c r="B1392" s="3" t="n"/>
      <c r="C1392" s="3" t="n"/>
      <c r="D1392" s="4" t="n"/>
      <c r="E1392" s="3" t="n"/>
      <c r="F1392" s="3" t="n"/>
      <c r="G1392" s="3" t="n"/>
      <c r="H1392" s="3" t="n"/>
      <c r="I1392" s="3" t="n"/>
      <c r="J1392" s="3" t="n"/>
      <c r="K1392" s="3" t="n"/>
      <c r="L1392" s="3" t="n"/>
      <c r="M1392" s="3" t="n"/>
      <c r="N1392" s="3" t="n"/>
      <c r="O1392" s="3" t="n"/>
      <c r="P1392" s="3" t="n"/>
      <c r="Q1392" s="3" t="n"/>
      <c r="R1392" s="5">
        <f>IF(Q1392&lt;&gt;"是","排除",IF(OR(L1392="",M1392=""),"",IF(OR(L1392="未知",M1392="未知"),"未知",IF(AND(L1392="真",M1392="真"),"TP",IF(AND(L1392="真",M1392="假"),"FP",IF(AND(L1392="假",M1392="真"),"FN","TN"))))))</f>
        <v/>
      </c>
      <c r="S1392" s="3" t="n"/>
      <c r="T1392" s="3" t="n"/>
      <c r="U1392" s="3" t="n"/>
      <c r="V1392" s="3" t="n"/>
    </row>
    <row r="1393">
      <c r="A1393" s="3" t="n"/>
      <c r="B1393" s="3" t="n"/>
      <c r="C1393" s="3" t="n"/>
      <c r="D1393" s="4" t="n"/>
      <c r="E1393" s="3" t="n"/>
      <c r="F1393" s="3" t="n"/>
      <c r="G1393" s="3" t="n"/>
      <c r="H1393" s="3" t="n"/>
      <c r="I1393" s="3" t="n"/>
      <c r="J1393" s="3" t="n"/>
      <c r="K1393" s="3" t="n"/>
      <c r="L1393" s="3" t="n"/>
      <c r="M1393" s="3" t="n"/>
      <c r="N1393" s="3" t="n"/>
      <c r="O1393" s="3" t="n"/>
      <c r="P1393" s="3" t="n"/>
      <c r="Q1393" s="3" t="n"/>
      <c r="R1393" s="5">
        <f>IF(Q1393&lt;&gt;"是","排除",IF(OR(L1393="",M1393=""),"",IF(OR(L1393="未知",M1393="未知"),"未知",IF(AND(L1393="真",M1393="真"),"TP",IF(AND(L1393="真",M1393="假"),"FP",IF(AND(L1393="假",M1393="真"),"FN","TN"))))))</f>
        <v/>
      </c>
      <c r="S1393" s="3" t="n"/>
      <c r="T1393" s="3" t="n"/>
      <c r="U1393" s="3" t="n"/>
      <c r="V1393" s="3" t="n"/>
    </row>
    <row r="1394">
      <c r="A1394" s="3" t="n"/>
      <c r="B1394" s="3" t="n"/>
      <c r="C1394" s="3" t="n"/>
      <c r="D1394" s="4" t="n"/>
      <c r="E1394" s="3" t="n"/>
      <c r="F1394" s="3" t="n"/>
      <c r="G1394" s="3" t="n"/>
      <c r="H1394" s="3" t="n"/>
      <c r="I1394" s="3" t="n"/>
      <c r="J1394" s="3" t="n"/>
      <c r="K1394" s="3" t="n"/>
      <c r="L1394" s="3" t="n"/>
      <c r="M1394" s="3" t="n"/>
      <c r="N1394" s="3" t="n"/>
      <c r="O1394" s="3" t="n"/>
      <c r="P1394" s="3" t="n"/>
      <c r="Q1394" s="3" t="n"/>
      <c r="R1394" s="5">
        <f>IF(Q1394&lt;&gt;"是","排除",IF(OR(L1394="",M1394=""),"",IF(OR(L1394="未知",M1394="未知"),"未知",IF(AND(L1394="真",M1394="真"),"TP",IF(AND(L1394="真",M1394="假"),"FP",IF(AND(L1394="假",M1394="真"),"FN","TN"))))))</f>
        <v/>
      </c>
      <c r="S1394" s="3" t="n"/>
      <c r="T1394" s="3" t="n"/>
      <c r="U1394" s="3" t="n"/>
      <c r="V1394" s="3" t="n"/>
    </row>
    <row r="1395">
      <c r="A1395" s="3" t="n"/>
      <c r="B1395" s="3" t="n"/>
      <c r="C1395" s="3" t="n"/>
      <c r="D1395" s="4" t="n"/>
      <c r="E1395" s="3" t="n"/>
      <c r="F1395" s="3" t="n"/>
      <c r="G1395" s="3" t="n"/>
      <c r="H1395" s="3" t="n"/>
      <c r="I1395" s="3" t="n"/>
      <c r="J1395" s="3" t="n"/>
      <c r="K1395" s="3" t="n"/>
      <c r="L1395" s="3" t="n"/>
      <c r="M1395" s="3" t="n"/>
      <c r="N1395" s="3" t="n"/>
      <c r="O1395" s="3" t="n"/>
      <c r="P1395" s="3" t="n"/>
      <c r="Q1395" s="3" t="n"/>
      <c r="R1395" s="5">
        <f>IF(Q1395&lt;&gt;"是","排除",IF(OR(L1395="",M1395=""),"",IF(OR(L1395="未知",M1395="未知"),"未知",IF(AND(L1395="真",M1395="真"),"TP",IF(AND(L1395="真",M1395="假"),"FP",IF(AND(L1395="假",M1395="真"),"FN","TN"))))))</f>
        <v/>
      </c>
      <c r="S1395" s="3" t="n"/>
      <c r="T1395" s="3" t="n"/>
      <c r="U1395" s="3" t="n"/>
      <c r="V1395" s="3" t="n"/>
    </row>
    <row r="1396">
      <c r="A1396" s="3" t="n"/>
      <c r="B1396" s="3" t="n"/>
      <c r="C1396" s="3" t="n"/>
      <c r="D1396" s="4" t="n"/>
      <c r="E1396" s="3" t="n"/>
      <c r="F1396" s="3" t="n"/>
      <c r="G1396" s="3" t="n"/>
      <c r="H1396" s="3" t="n"/>
      <c r="I1396" s="3" t="n"/>
      <c r="J1396" s="3" t="n"/>
      <c r="K1396" s="3" t="n"/>
      <c r="L1396" s="3" t="n"/>
      <c r="M1396" s="3" t="n"/>
      <c r="N1396" s="3" t="n"/>
      <c r="O1396" s="3" t="n"/>
      <c r="P1396" s="3" t="n"/>
      <c r="Q1396" s="3" t="n"/>
      <c r="R1396" s="5">
        <f>IF(Q1396&lt;&gt;"是","排除",IF(OR(L1396="",M1396=""),"",IF(OR(L1396="未知",M1396="未知"),"未知",IF(AND(L1396="真",M1396="真"),"TP",IF(AND(L1396="真",M1396="假"),"FP",IF(AND(L1396="假",M1396="真"),"FN","TN"))))))</f>
        <v/>
      </c>
      <c r="S1396" s="3" t="n"/>
      <c r="T1396" s="3" t="n"/>
      <c r="U1396" s="3" t="n"/>
      <c r="V1396" s="3" t="n"/>
    </row>
    <row r="1397">
      <c r="A1397" s="3" t="n"/>
      <c r="B1397" s="3" t="n"/>
      <c r="C1397" s="3" t="n"/>
      <c r="D1397" s="4" t="n"/>
      <c r="E1397" s="3" t="n"/>
      <c r="F1397" s="3" t="n"/>
      <c r="G1397" s="3" t="n"/>
      <c r="H1397" s="3" t="n"/>
      <c r="I1397" s="3" t="n"/>
      <c r="J1397" s="3" t="n"/>
      <c r="K1397" s="3" t="n"/>
      <c r="L1397" s="3" t="n"/>
      <c r="M1397" s="3" t="n"/>
      <c r="N1397" s="3" t="n"/>
      <c r="O1397" s="3" t="n"/>
      <c r="P1397" s="3" t="n"/>
      <c r="Q1397" s="3" t="n"/>
      <c r="R1397" s="5">
        <f>IF(Q1397&lt;&gt;"是","排除",IF(OR(L1397="",M1397=""),"",IF(OR(L1397="未知",M1397="未知"),"未知",IF(AND(L1397="真",M1397="真"),"TP",IF(AND(L1397="真",M1397="假"),"FP",IF(AND(L1397="假",M1397="真"),"FN","TN"))))))</f>
        <v/>
      </c>
      <c r="S1397" s="3" t="n"/>
      <c r="T1397" s="3" t="n"/>
      <c r="U1397" s="3" t="n"/>
      <c r="V1397" s="3" t="n"/>
    </row>
    <row r="1398">
      <c r="A1398" s="3" t="n"/>
      <c r="B1398" s="3" t="n"/>
      <c r="C1398" s="3" t="n"/>
      <c r="D1398" s="4" t="n"/>
      <c r="E1398" s="3" t="n"/>
      <c r="F1398" s="3" t="n"/>
      <c r="G1398" s="3" t="n"/>
      <c r="H1398" s="3" t="n"/>
      <c r="I1398" s="3" t="n"/>
      <c r="J1398" s="3" t="n"/>
      <c r="K1398" s="3" t="n"/>
      <c r="L1398" s="3" t="n"/>
      <c r="M1398" s="3" t="n"/>
      <c r="N1398" s="3" t="n"/>
      <c r="O1398" s="3" t="n"/>
      <c r="P1398" s="3" t="n"/>
      <c r="Q1398" s="3" t="n"/>
      <c r="R1398" s="5">
        <f>IF(Q1398&lt;&gt;"是","排除",IF(OR(L1398="",M1398=""),"",IF(OR(L1398="未知",M1398="未知"),"未知",IF(AND(L1398="真",M1398="真"),"TP",IF(AND(L1398="真",M1398="假"),"FP",IF(AND(L1398="假",M1398="真"),"FN","TN"))))))</f>
        <v/>
      </c>
      <c r="S1398" s="3" t="n"/>
      <c r="T1398" s="3" t="n"/>
      <c r="U1398" s="3" t="n"/>
      <c r="V1398" s="3" t="n"/>
    </row>
    <row r="1399">
      <c r="A1399" s="3" t="n"/>
      <c r="B1399" s="3" t="n"/>
      <c r="C1399" s="3" t="n"/>
      <c r="D1399" s="4" t="n"/>
      <c r="E1399" s="3" t="n"/>
      <c r="F1399" s="3" t="n"/>
      <c r="G1399" s="3" t="n"/>
      <c r="H1399" s="3" t="n"/>
      <c r="I1399" s="3" t="n"/>
      <c r="J1399" s="3" t="n"/>
      <c r="K1399" s="3" t="n"/>
      <c r="L1399" s="3" t="n"/>
      <c r="M1399" s="3" t="n"/>
      <c r="N1399" s="3" t="n"/>
      <c r="O1399" s="3" t="n"/>
      <c r="P1399" s="3" t="n"/>
      <c r="Q1399" s="3" t="n"/>
      <c r="R1399" s="5">
        <f>IF(Q1399&lt;&gt;"是","排除",IF(OR(L1399="",M1399=""),"",IF(OR(L1399="未知",M1399="未知"),"未知",IF(AND(L1399="真",M1399="真"),"TP",IF(AND(L1399="真",M1399="假"),"FP",IF(AND(L1399="假",M1399="真"),"FN","TN"))))))</f>
        <v/>
      </c>
      <c r="S1399" s="3" t="n"/>
      <c r="T1399" s="3" t="n"/>
      <c r="U1399" s="3" t="n"/>
      <c r="V1399" s="3" t="n"/>
    </row>
    <row r="1400">
      <c r="A1400" s="3" t="n"/>
      <c r="B1400" s="3" t="n"/>
      <c r="C1400" s="3" t="n"/>
      <c r="D1400" s="4" t="n"/>
      <c r="E1400" s="3" t="n"/>
      <c r="F1400" s="3" t="n"/>
      <c r="G1400" s="3" t="n"/>
      <c r="H1400" s="3" t="n"/>
      <c r="I1400" s="3" t="n"/>
      <c r="J1400" s="3" t="n"/>
      <c r="K1400" s="3" t="n"/>
      <c r="L1400" s="3" t="n"/>
      <c r="M1400" s="3" t="n"/>
      <c r="N1400" s="3" t="n"/>
      <c r="O1400" s="3" t="n"/>
      <c r="P1400" s="3" t="n"/>
      <c r="Q1400" s="3" t="n"/>
      <c r="R1400" s="5">
        <f>IF(Q1400&lt;&gt;"是","排除",IF(OR(L1400="",M1400=""),"",IF(OR(L1400="未知",M1400="未知"),"未知",IF(AND(L1400="真",M1400="真"),"TP",IF(AND(L1400="真",M1400="假"),"FP",IF(AND(L1400="假",M1400="真"),"FN","TN"))))))</f>
        <v/>
      </c>
      <c r="S1400" s="3" t="n"/>
      <c r="T1400" s="3" t="n"/>
      <c r="U1400" s="3" t="n"/>
      <c r="V1400" s="3" t="n"/>
    </row>
    <row r="1401">
      <c r="A1401" s="3" t="n"/>
      <c r="B1401" s="3" t="n"/>
      <c r="C1401" s="3" t="n"/>
      <c r="D1401" s="4" t="n"/>
      <c r="E1401" s="3" t="n"/>
      <c r="F1401" s="3" t="n"/>
      <c r="G1401" s="3" t="n"/>
      <c r="H1401" s="3" t="n"/>
      <c r="I1401" s="3" t="n"/>
      <c r="J1401" s="3" t="n"/>
      <c r="K1401" s="3" t="n"/>
      <c r="L1401" s="3" t="n"/>
      <c r="M1401" s="3" t="n"/>
      <c r="N1401" s="3" t="n"/>
      <c r="O1401" s="3" t="n"/>
      <c r="P1401" s="3" t="n"/>
      <c r="Q1401" s="3" t="n"/>
      <c r="R1401" s="5">
        <f>IF(Q1401&lt;&gt;"是","排除",IF(OR(L1401="",M1401=""),"",IF(OR(L1401="未知",M1401="未知"),"未知",IF(AND(L1401="真",M1401="真"),"TP",IF(AND(L1401="真",M1401="假"),"FP",IF(AND(L1401="假",M1401="真"),"FN","TN"))))))</f>
        <v/>
      </c>
      <c r="S1401" s="3" t="n"/>
      <c r="T1401" s="3" t="n"/>
      <c r="U1401" s="3" t="n"/>
      <c r="V1401" s="3" t="n"/>
    </row>
    <row r="1402">
      <c r="A1402" s="3" t="n"/>
      <c r="B1402" s="3" t="n"/>
      <c r="C1402" s="3" t="n"/>
      <c r="D1402" s="4" t="n"/>
      <c r="E1402" s="3" t="n"/>
      <c r="F1402" s="3" t="n"/>
      <c r="G1402" s="3" t="n"/>
      <c r="H1402" s="3" t="n"/>
      <c r="I1402" s="3" t="n"/>
      <c r="J1402" s="3" t="n"/>
      <c r="K1402" s="3" t="n"/>
      <c r="L1402" s="3" t="n"/>
      <c r="M1402" s="3" t="n"/>
      <c r="N1402" s="3" t="n"/>
      <c r="O1402" s="3" t="n"/>
      <c r="P1402" s="3" t="n"/>
      <c r="Q1402" s="3" t="n"/>
      <c r="R1402" s="5">
        <f>IF(Q1402&lt;&gt;"是","排除",IF(OR(L1402="",M1402=""),"",IF(OR(L1402="未知",M1402="未知"),"未知",IF(AND(L1402="真",M1402="真"),"TP",IF(AND(L1402="真",M1402="假"),"FP",IF(AND(L1402="假",M1402="真"),"FN","TN"))))))</f>
        <v/>
      </c>
      <c r="S1402" s="3" t="n"/>
      <c r="T1402" s="3" t="n"/>
      <c r="U1402" s="3" t="n"/>
      <c r="V1402" s="3" t="n"/>
    </row>
    <row r="1403">
      <c r="A1403" s="3" t="n"/>
      <c r="B1403" s="3" t="n"/>
      <c r="C1403" s="3" t="n"/>
      <c r="D1403" s="4" t="n"/>
      <c r="E1403" s="3" t="n"/>
      <c r="F1403" s="3" t="n"/>
      <c r="G1403" s="3" t="n"/>
      <c r="H1403" s="3" t="n"/>
      <c r="I1403" s="3" t="n"/>
      <c r="J1403" s="3" t="n"/>
      <c r="K1403" s="3" t="n"/>
      <c r="L1403" s="3" t="n"/>
      <c r="M1403" s="3" t="n"/>
      <c r="N1403" s="3" t="n"/>
      <c r="O1403" s="3" t="n"/>
      <c r="P1403" s="3" t="n"/>
      <c r="Q1403" s="3" t="n"/>
      <c r="R1403" s="5">
        <f>IF(Q1403&lt;&gt;"是","排除",IF(OR(L1403="",M1403=""),"",IF(OR(L1403="未知",M1403="未知"),"未知",IF(AND(L1403="真",M1403="真"),"TP",IF(AND(L1403="真",M1403="假"),"FP",IF(AND(L1403="假",M1403="真"),"FN","TN"))))))</f>
        <v/>
      </c>
      <c r="S1403" s="3" t="n"/>
      <c r="T1403" s="3" t="n"/>
      <c r="U1403" s="3" t="n"/>
      <c r="V1403" s="3" t="n"/>
    </row>
    <row r="1404">
      <c r="A1404" s="3" t="n"/>
      <c r="B1404" s="3" t="n"/>
      <c r="C1404" s="3" t="n"/>
      <c r="D1404" s="4" t="n"/>
      <c r="E1404" s="3" t="n"/>
      <c r="F1404" s="3" t="n"/>
      <c r="G1404" s="3" t="n"/>
      <c r="H1404" s="3" t="n"/>
      <c r="I1404" s="3" t="n"/>
      <c r="J1404" s="3" t="n"/>
      <c r="K1404" s="3" t="n"/>
      <c r="L1404" s="3" t="n"/>
      <c r="M1404" s="3" t="n"/>
      <c r="N1404" s="3" t="n"/>
      <c r="O1404" s="3" t="n"/>
      <c r="P1404" s="3" t="n"/>
      <c r="Q1404" s="3" t="n"/>
      <c r="R1404" s="5">
        <f>IF(Q1404&lt;&gt;"是","排除",IF(OR(L1404="",M1404=""),"",IF(OR(L1404="未知",M1404="未知"),"未知",IF(AND(L1404="真",M1404="真"),"TP",IF(AND(L1404="真",M1404="假"),"FP",IF(AND(L1404="假",M1404="真"),"FN","TN"))))))</f>
        <v/>
      </c>
      <c r="S1404" s="3" t="n"/>
      <c r="T1404" s="3" t="n"/>
      <c r="U1404" s="3" t="n"/>
      <c r="V1404" s="3" t="n"/>
    </row>
    <row r="1405">
      <c r="A1405" s="3" t="n"/>
      <c r="B1405" s="3" t="n"/>
      <c r="C1405" s="3" t="n"/>
      <c r="D1405" s="4" t="n"/>
      <c r="E1405" s="3" t="n"/>
      <c r="F1405" s="3" t="n"/>
      <c r="G1405" s="3" t="n"/>
      <c r="H1405" s="3" t="n"/>
      <c r="I1405" s="3" t="n"/>
      <c r="J1405" s="3" t="n"/>
      <c r="K1405" s="3" t="n"/>
      <c r="L1405" s="3" t="n"/>
      <c r="M1405" s="3" t="n"/>
      <c r="N1405" s="3" t="n"/>
      <c r="O1405" s="3" t="n"/>
      <c r="P1405" s="3" t="n"/>
      <c r="Q1405" s="3" t="n"/>
      <c r="R1405" s="5">
        <f>IF(Q1405&lt;&gt;"是","排除",IF(OR(L1405="",M1405=""),"",IF(OR(L1405="未知",M1405="未知"),"未知",IF(AND(L1405="真",M1405="真"),"TP",IF(AND(L1405="真",M1405="假"),"FP",IF(AND(L1405="假",M1405="真"),"FN","TN"))))))</f>
        <v/>
      </c>
      <c r="S1405" s="3" t="n"/>
      <c r="T1405" s="3" t="n"/>
      <c r="U1405" s="3" t="n"/>
      <c r="V1405" s="3" t="n"/>
    </row>
    <row r="1406">
      <c r="A1406" s="3" t="n"/>
      <c r="B1406" s="3" t="n"/>
      <c r="C1406" s="3" t="n"/>
      <c r="D1406" s="4" t="n"/>
      <c r="E1406" s="3" t="n"/>
      <c r="F1406" s="3" t="n"/>
      <c r="G1406" s="3" t="n"/>
      <c r="H1406" s="3" t="n"/>
      <c r="I1406" s="3" t="n"/>
      <c r="J1406" s="3" t="n"/>
      <c r="K1406" s="3" t="n"/>
      <c r="L1406" s="3" t="n"/>
      <c r="M1406" s="3" t="n"/>
      <c r="N1406" s="3" t="n"/>
      <c r="O1406" s="3" t="n"/>
      <c r="P1406" s="3" t="n"/>
      <c r="Q1406" s="3" t="n"/>
      <c r="R1406" s="5">
        <f>IF(Q1406&lt;&gt;"是","排除",IF(OR(L1406="",M1406=""),"",IF(OR(L1406="未知",M1406="未知"),"未知",IF(AND(L1406="真",M1406="真"),"TP",IF(AND(L1406="真",M1406="假"),"FP",IF(AND(L1406="假",M1406="真"),"FN","TN"))))))</f>
        <v/>
      </c>
      <c r="S1406" s="3" t="n"/>
      <c r="T1406" s="3" t="n"/>
      <c r="U1406" s="3" t="n"/>
      <c r="V1406" s="3" t="n"/>
    </row>
    <row r="1407">
      <c r="A1407" s="3" t="n"/>
      <c r="B1407" s="3" t="n"/>
      <c r="C1407" s="3" t="n"/>
      <c r="D1407" s="4" t="n"/>
      <c r="E1407" s="3" t="n"/>
      <c r="F1407" s="3" t="n"/>
      <c r="G1407" s="3" t="n"/>
      <c r="H1407" s="3" t="n"/>
      <c r="I1407" s="3" t="n"/>
      <c r="J1407" s="3" t="n"/>
      <c r="K1407" s="3" t="n"/>
      <c r="L1407" s="3" t="n"/>
      <c r="M1407" s="3" t="n"/>
      <c r="N1407" s="3" t="n"/>
      <c r="O1407" s="3" t="n"/>
      <c r="P1407" s="3" t="n"/>
      <c r="Q1407" s="3" t="n"/>
      <c r="R1407" s="5">
        <f>IF(Q1407&lt;&gt;"是","排除",IF(OR(L1407="",M1407=""),"",IF(OR(L1407="未知",M1407="未知"),"未知",IF(AND(L1407="真",M1407="真"),"TP",IF(AND(L1407="真",M1407="假"),"FP",IF(AND(L1407="假",M1407="真"),"FN","TN"))))))</f>
        <v/>
      </c>
      <c r="S1407" s="3" t="n"/>
      <c r="T1407" s="3" t="n"/>
      <c r="U1407" s="3" t="n"/>
      <c r="V1407" s="3" t="n"/>
    </row>
    <row r="1408">
      <c r="A1408" s="3" t="n"/>
      <c r="B1408" s="3" t="n"/>
      <c r="C1408" s="3" t="n"/>
      <c r="D1408" s="4" t="n"/>
      <c r="E1408" s="3" t="n"/>
      <c r="F1408" s="3" t="n"/>
      <c r="G1408" s="3" t="n"/>
      <c r="H1408" s="3" t="n"/>
      <c r="I1408" s="3" t="n"/>
      <c r="J1408" s="3" t="n"/>
      <c r="K1408" s="3" t="n"/>
      <c r="L1408" s="3" t="n"/>
      <c r="M1408" s="3" t="n"/>
      <c r="N1408" s="3" t="n"/>
      <c r="O1408" s="3" t="n"/>
      <c r="P1408" s="3" t="n"/>
      <c r="Q1408" s="3" t="n"/>
      <c r="R1408" s="5">
        <f>IF(Q1408&lt;&gt;"是","排除",IF(OR(L1408="",M1408=""),"",IF(OR(L1408="未知",M1408="未知"),"未知",IF(AND(L1408="真",M1408="真"),"TP",IF(AND(L1408="真",M1408="假"),"FP",IF(AND(L1408="假",M1408="真"),"FN","TN"))))))</f>
        <v/>
      </c>
      <c r="S1408" s="3" t="n"/>
      <c r="T1408" s="3" t="n"/>
      <c r="U1408" s="3" t="n"/>
      <c r="V1408" s="3" t="n"/>
    </row>
    <row r="1409">
      <c r="A1409" s="3" t="n"/>
      <c r="B1409" s="3" t="n"/>
      <c r="C1409" s="3" t="n"/>
      <c r="D1409" s="4" t="n"/>
      <c r="E1409" s="3" t="n"/>
      <c r="F1409" s="3" t="n"/>
      <c r="G1409" s="3" t="n"/>
      <c r="H1409" s="3" t="n"/>
      <c r="I1409" s="3" t="n"/>
      <c r="J1409" s="3" t="n"/>
      <c r="K1409" s="3" t="n"/>
      <c r="L1409" s="3" t="n"/>
      <c r="M1409" s="3" t="n"/>
      <c r="N1409" s="3" t="n"/>
      <c r="O1409" s="3" t="n"/>
      <c r="P1409" s="3" t="n"/>
      <c r="Q1409" s="3" t="n"/>
      <c r="R1409" s="5">
        <f>IF(Q1409&lt;&gt;"是","排除",IF(OR(L1409="",M1409=""),"",IF(OR(L1409="未知",M1409="未知"),"未知",IF(AND(L1409="真",M1409="真"),"TP",IF(AND(L1409="真",M1409="假"),"FP",IF(AND(L1409="假",M1409="真"),"FN","TN"))))))</f>
        <v/>
      </c>
      <c r="S1409" s="3" t="n"/>
      <c r="T1409" s="3" t="n"/>
      <c r="U1409" s="3" t="n"/>
      <c r="V1409" s="3" t="n"/>
    </row>
    <row r="1410">
      <c r="A1410" s="3" t="n"/>
      <c r="B1410" s="3" t="n"/>
      <c r="C1410" s="3" t="n"/>
      <c r="D1410" s="4" t="n"/>
      <c r="E1410" s="3" t="n"/>
      <c r="F1410" s="3" t="n"/>
      <c r="G1410" s="3" t="n"/>
      <c r="H1410" s="3" t="n"/>
      <c r="I1410" s="3" t="n"/>
      <c r="J1410" s="3" t="n"/>
      <c r="K1410" s="3" t="n"/>
      <c r="L1410" s="3" t="n"/>
      <c r="M1410" s="3" t="n"/>
      <c r="N1410" s="3" t="n"/>
      <c r="O1410" s="3" t="n"/>
      <c r="P1410" s="3" t="n"/>
      <c r="Q1410" s="3" t="n"/>
      <c r="R1410" s="5">
        <f>IF(Q1410&lt;&gt;"是","排除",IF(OR(L1410="",M1410=""),"",IF(OR(L1410="未知",M1410="未知"),"未知",IF(AND(L1410="真",M1410="真"),"TP",IF(AND(L1410="真",M1410="假"),"FP",IF(AND(L1410="假",M1410="真"),"FN","TN"))))))</f>
        <v/>
      </c>
      <c r="S1410" s="3" t="n"/>
      <c r="T1410" s="3" t="n"/>
      <c r="U1410" s="3" t="n"/>
      <c r="V1410" s="3" t="n"/>
    </row>
    <row r="1411">
      <c r="A1411" s="3" t="n"/>
      <c r="B1411" s="3" t="n"/>
      <c r="C1411" s="3" t="n"/>
      <c r="D1411" s="4" t="n"/>
      <c r="E1411" s="3" t="n"/>
      <c r="F1411" s="3" t="n"/>
      <c r="G1411" s="3" t="n"/>
      <c r="H1411" s="3" t="n"/>
      <c r="I1411" s="3" t="n"/>
      <c r="J1411" s="3" t="n"/>
      <c r="K1411" s="3" t="n"/>
      <c r="L1411" s="3" t="n"/>
      <c r="M1411" s="3" t="n"/>
      <c r="N1411" s="3" t="n"/>
      <c r="O1411" s="3" t="n"/>
      <c r="P1411" s="3" t="n"/>
      <c r="Q1411" s="3" t="n"/>
      <c r="R1411" s="5">
        <f>IF(Q1411&lt;&gt;"是","排除",IF(OR(L1411="",M1411=""),"",IF(OR(L1411="未知",M1411="未知"),"未知",IF(AND(L1411="真",M1411="真"),"TP",IF(AND(L1411="真",M1411="假"),"FP",IF(AND(L1411="假",M1411="真"),"FN","TN"))))))</f>
        <v/>
      </c>
      <c r="S1411" s="3" t="n"/>
      <c r="T1411" s="3" t="n"/>
      <c r="U1411" s="3" t="n"/>
      <c r="V1411" s="3" t="n"/>
    </row>
    <row r="1412">
      <c r="A1412" s="3" t="n"/>
      <c r="B1412" s="3" t="n"/>
      <c r="C1412" s="3" t="n"/>
      <c r="D1412" s="4" t="n"/>
      <c r="E1412" s="3" t="n"/>
      <c r="F1412" s="3" t="n"/>
      <c r="G1412" s="3" t="n"/>
      <c r="H1412" s="3" t="n"/>
      <c r="I1412" s="3" t="n"/>
      <c r="J1412" s="3" t="n"/>
      <c r="K1412" s="3" t="n"/>
      <c r="L1412" s="3" t="n"/>
      <c r="M1412" s="3" t="n"/>
      <c r="N1412" s="3" t="n"/>
      <c r="O1412" s="3" t="n"/>
      <c r="P1412" s="3" t="n"/>
      <c r="Q1412" s="3" t="n"/>
      <c r="R1412" s="5">
        <f>IF(Q1412&lt;&gt;"是","排除",IF(OR(L1412="",M1412=""),"",IF(OR(L1412="未知",M1412="未知"),"未知",IF(AND(L1412="真",M1412="真"),"TP",IF(AND(L1412="真",M1412="假"),"FP",IF(AND(L1412="假",M1412="真"),"FN","TN"))))))</f>
        <v/>
      </c>
      <c r="S1412" s="3" t="n"/>
      <c r="T1412" s="3" t="n"/>
      <c r="U1412" s="3" t="n"/>
      <c r="V1412" s="3" t="n"/>
    </row>
    <row r="1413">
      <c r="A1413" s="3" t="n"/>
      <c r="B1413" s="3" t="n"/>
      <c r="C1413" s="3" t="n"/>
      <c r="D1413" s="4" t="n"/>
      <c r="E1413" s="3" t="n"/>
      <c r="F1413" s="3" t="n"/>
      <c r="G1413" s="3" t="n"/>
      <c r="H1413" s="3" t="n"/>
      <c r="I1413" s="3" t="n"/>
      <c r="J1413" s="3" t="n"/>
      <c r="K1413" s="3" t="n"/>
      <c r="L1413" s="3" t="n"/>
      <c r="M1413" s="3" t="n"/>
      <c r="N1413" s="3" t="n"/>
      <c r="O1413" s="3" t="n"/>
      <c r="P1413" s="3" t="n"/>
      <c r="Q1413" s="3" t="n"/>
      <c r="R1413" s="5">
        <f>IF(Q1413&lt;&gt;"是","排除",IF(OR(L1413="",M1413=""),"",IF(OR(L1413="未知",M1413="未知"),"未知",IF(AND(L1413="真",M1413="真"),"TP",IF(AND(L1413="真",M1413="假"),"FP",IF(AND(L1413="假",M1413="真"),"FN","TN"))))))</f>
        <v/>
      </c>
      <c r="S1413" s="3" t="n"/>
      <c r="T1413" s="3" t="n"/>
      <c r="U1413" s="3" t="n"/>
      <c r="V1413" s="3" t="n"/>
    </row>
    <row r="1414">
      <c r="A1414" s="3" t="n"/>
      <c r="B1414" s="3" t="n"/>
      <c r="C1414" s="3" t="n"/>
      <c r="D1414" s="4" t="n"/>
      <c r="E1414" s="3" t="n"/>
      <c r="F1414" s="3" t="n"/>
      <c r="G1414" s="3" t="n"/>
      <c r="H1414" s="3" t="n"/>
      <c r="I1414" s="3" t="n"/>
      <c r="J1414" s="3" t="n"/>
      <c r="K1414" s="3" t="n"/>
      <c r="L1414" s="3" t="n"/>
      <c r="M1414" s="3" t="n"/>
      <c r="N1414" s="3" t="n"/>
      <c r="O1414" s="3" t="n"/>
      <c r="P1414" s="3" t="n"/>
      <c r="Q1414" s="3" t="n"/>
      <c r="R1414" s="5">
        <f>IF(Q1414&lt;&gt;"是","排除",IF(OR(L1414="",M1414=""),"",IF(OR(L1414="未知",M1414="未知"),"未知",IF(AND(L1414="真",M1414="真"),"TP",IF(AND(L1414="真",M1414="假"),"FP",IF(AND(L1414="假",M1414="真"),"FN","TN"))))))</f>
        <v/>
      </c>
      <c r="S1414" s="3" t="n"/>
      <c r="T1414" s="3" t="n"/>
      <c r="U1414" s="3" t="n"/>
      <c r="V1414" s="3" t="n"/>
    </row>
    <row r="1415">
      <c r="A1415" s="3" t="n"/>
      <c r="B1415" s="3" t="n"/>
      <c r="C1415" s="3" t="n"/>
      <c r="D1415" s="4" t="n"/>
      <c r="E1415" s="3" t="n"/>
      <c r="F1415" s="3" t="n"/>
      <c r="G1415" s="3" t="n"/>
      <c r="H1415" s="3" t="n"/>
      <c r="I1415" s="3" t="n"/>
      <c r="J1415" s="3" t="n"/>
      <c r="K1415" s="3" t="n"/>
      <c r="L1415" s="3" t="n"/>
      <c r="M1415" s="3" t="n"/>
      <c r="N1415" s="3" t="n"/>
      <c r="O1415" s="3" t="n"/>
      <c r="P1415" s="3" t="n"/>
      <c r="Q1415" s="3" t="n"/>
      <c r="R1415" s="5">
        <f>IF(Q1415&lt;&gt;"是","排除",IF(OR(L1415="",M1415=""),"",IF(OR(L1415="未知",M1415="未知"),"未知",IF(AND(L1415="真",M1415="真"),"TP",IF(AND(L1415="真",M1415="假"),"FP",IF(AND(L1415="假",M1415="真"),"FN","TN"))))))</f>
        <v/>
      </c>
      <c r="S1415" s="3" t="n"/>
      <c r="T1415" s="3" t="n"/>
      <c r="U1415" s="3" t="n"/>
      <c r="V1415" s="3" t="n"/>
    </row>
    <row r="1416">
      <c r="A1416" s="3" t="n"/>
      <c r="B1416" s="3" t="n"/>
      <c r="C1416" s="3" t="n"/>
      <c r="D1416" s="4" t="n"/>
      <c r="E1416" s="3" t="n"/>
      <c r="F1416" s="3" t="n"/>
      <c r="G1416" s="3" t="n"/>
      <c r="H1416" s="3" t="n"/>
      <c r="I1416" s="3" t="n"/>
      <c r="J1416" s="3" t="n"/>
      <c r="K1416" s="3" t="n"/>
      <c r="L1416" s="3" t="n"/>
      <c r="M1416" s="3" t="n"/>
      <c r="N1416" s="3" t="n"/>
      <c r="O1416" s="3" t="n"/>
      <c r="P1416" s="3" t="n"/>
      <c r="Q1416" s="3" t="n"/>
      <c r="R1416" s="5">
        <f>IF(Q1416&lt;&gt;"是","排除",IF(OR(L1416="",M1416=""),"",IF(OR(L1416="未知",M1416="未知"),"未知",IF(AND(L1416="真",M1416="真"),"TP",IF(AND(L1416="真",M1416="假"),"FP",IF(AND(L1416="假",M1416="真"),"FN","TN"))))))</f>
        <v/>
      </c>
      <c r="S1416" s="3" t="n"/>
      <c r="T1416" s="3" t="n"/>
      <c r="U1416" s="3" t="n"/>
      <c r="V1416" s="3" t="n"/>
    </row>
    <row r="1417">
      <c r="A1417" s="3" t="n"/>
      <c r="B1417" s="3" t="n"/>
      <c r="C1417" s="3" t="n"/>
      <c r="D1417" s="4" t="n"/>
      <c r="E1417" s="3" t="n"/>
      <c r="F1417" s="3" t="n"/>
      <c r="G1417" s="3" t="n"/>
      <c r="H1417" s="3" t="n"/>
      <c r="I1417" s="3" t="n"/>
      <c r="J1417" s="3" t="n"/>
      <c r="K1417" s="3" t="n"/>
      <c r="L1417" s="3" t="n"/>
      <c r="M1417" s="3" t="n"/>
      <c r="N1417" s="3" t="n"/>
      <c r="O1417" s="3" t="n"/>
      <c r="P1417" s="3" t="n"/>
      <c r="Q1417" s="3" t="n"/>
      <c r="R1417" s="5">
        <f>IF(Q1417&lt;&gt;"是","排除",IF(OR(L1417="",M1417=""),"",IF(OR(L1417="未知",M1417="未知"),"未知",IF(AND(L1417="真",M1417="真"),"TP",IF(AND(L1417="真",M1417="假"),"FP",IF(AND(L1417="假",M1417="真"),"FN","TN"))))))</f>
        <v/>
      </c>
      <c r="S1417" s="3" t="n"/>
      <c r="T1417" s="3" t="n"/>
      <c r="U1417" s="3" t="n"/>
      <c r="V1417" s="3" t="n"/>
    </row>
    <row r="1418">
      <c r="A1418" s="3" t="n"/>
      <c r="B1418" s="3" t="n"/>
      <c r="C1418" s="3" t="n"/>
      <c r="D1418" s="4" t="n"/>
      <c r="E1418" s="3" t="n"/>
      <c r="F1418" s="3" t="n"/>
      <c r="G1418" s="3" t="n"/>
      <c r="H1418" s="3" t="n"/>
      <c r="I1418" s="3" t="n"/>
      <c r="J1418" s="3" t="n"/>
      <c r="K1418" s="3" t="n"/>
      <c r="L1418" s="3" t="n"/>
      <c r="M1418" s="3" t="n"/>
      <c r="N1418" s="3" t="n"/>
      <c r="O1418" s="3" t="n"/>
      <c r="P1418" s="3" t="n"/>
      <c r="Q1418" s="3" t="n"/>
      <c r="R1418" s="5">
        <f>IF(Q1418&lt;&gt;"是","排除",IF(OR(L1418="",M1418=""),"",IF(OR(L1418="未知",M1418="未知"),"未知",IF(AND(L1418="真",M1418="真"),"TP",IF(AND(L1418="真",M1418="假"),"FP",IF(AND(L1418="假",M1418="真"),"FN","TN"))))))</f>
        <v/>
      </c>
      <c r="S1418" s="3" t="n"/>
      <c r="T1418" s="3" t="n"/>
      <c r="U1418" s="3" t="n"/>
      <c r="V1418" s="3" t="n"/>
    </row>
    <row r="1419">
      <c r="A1419" s="3" t="n"/>
      <c r="B1419" s="3" t="n"/>
      <c r="C1419" s="3" t="n"/>
      <c r="D1419" s="4" t="n"/>
      <c r="E1419" s="3" t="n"/>
      <c r="F1419" s="3" t="n"/>
      <c r="G1419" s="3" t="n"/>
      <c r="H1419" s="3" t="n"/>
      <c r="I1419" s="3" t="n"/>
      <c r="J1419" s="3" t="n"/>
      <c r="K1419" s="3" t="n"/>
      <c r="L1419" s="3" t="n"/>
      <c r="M1419" s="3" t="n"/>
      <c r="N1419" s="3" t="n"/>
      <c r="O1419" s="3" t="n"/>
      <c r="P1419" s="3" t="n"/>
      <c r="Q1419" s="3" t="n"/>
      <c r="R1419" s="5">
        <f>IF(Q1419&lt;&gt;"是","排除",IF(OR(L1419="",M1419=""),"",IF(OR(L1419="未知",M1419="未知"),"未知",IF(AND(L1419="真",M1419="真"),"TP",IF(AND(L1419="真",M1419="假"),"FP",IF(AND(L1419="假",M1419="真"),"FN","TN"))))))</f>
        <v/>
      </c>
      <c r="S1419" s="3" t="n"/>
      <c r="T1419" s="3" t="n"/>
      <c r="U1419" s="3" t="n"/>
      <c r="V1419" s="3" t="n"/>
    </row>
    <row r="1420">
      <c r="A1420" s="3" t="n"/>
      <c r="B1420" s="3" t="n"/>
      <c r="C1420" s="3" t="n"/>
      <c r="D1420" s="4" t="n"/>
      <c r="E1420" s="3" t="n"/>
      <c r="F1420" s="3" t="n"/>
      <c r="G1420" s="3" t="n"/>
      <c r="H1420" s="3" t="n"/>
      <c r="I1420" s="3" t="n"/>
      <c r="J1420" s="3" t="n"/>
      <c r="K1420" s="3" t="n"/>
      <c r="L1420" s="3" t="n"/>
      <c r="M1420" s="3" t="n"/>
      <c r="N1420" s="3" t="n"/>
      <c r="O1420" s="3" t="n"/>
      <c r="P1420" s="3" t="n"/>
      <c r="Q1420" s="3" t="n"/>
      <c r="R1420" s="5">
        <f>IF(Q1420&lt;&gt;"是","排除",IF(OR(L1420="",M1420=""),"",IF(OR(L1420="未知",M1420="未知"),"未知",IF(AND(L1420="真",M1420="真"),"TP",IF(AND(L1420="真",M1420="假"),"FP",IF(AND(L1420="假",M1420="真"),"FN","TN"))))))</f>
        <v/>
      </c>
      <c r="S1420" s="3" t="n"/>
      <c r="T1420" s="3" t="n"/>
      <c r="U1420" s="3" t="n"/>
      <c r="V1420" s="3" t="n"/>
    </row>
    <row r="1421">
      <c r="A1421" s="3" t="n"/>
      <c r="B1421" s="3" t="n"/>
      <c r="C1421" s="3" t="n"/>
      <c r="D1421" s="4" t="n"/>
      <c r="E1421" s="3" t="n"/>
      <c r="F1421" s="3" t="n"/>
      <c r="G1421" s="3" t="n"/>
      <c r="H1421" s="3" t="n"/>
      <c r="I1421" s="3" t="n"/>
      <c r="J1421" s="3" t="n"/>
      <c r="K1421" s="3" t="n"/>
      <c r="L1421" s="3" t="n"/>
      <c r="M1421" s="3" t="n"/>
      <c r="N1421" s="3" t="n"/>
      <c r="O1421" s="3" t="n"/>
      <c r="P1421" s="3" t="n"/>
      <c r="Q1421" s="3" t="n"/>
      <c r="R1421" s="5">
        <f>IF(Q1421&lt;&gt;"是","排除",IF(OR(L1421="",M1421=""),"",IF(OR(L1421="未知",M1421="未知"),"未知",IF(AND(L1421="真",M1421="真"),"TP",IF(AND(L1421="真",M1421="假"),"FP",IF(AND(L1421="假",M1421="真"),"FN","TN"))))))</f>
        <v/>
      </c>
      <c r="S1421" s="3" t="n"/>
      <c r="T1421" s="3" t="n"/>
      <c r="U1421" s="3" t="n"/>
      <c r="V1421" s="3" t="n"/>
    </row>
    <row r="1422">
      <c r="A1422" s="3" t="n"/>
      <c r="B1422" s="3" t="n"/>
      <c r="C1422" s="3" t="n"/>
      <c r="D1422" s="4" t="n"/>
      <c r="E1422" s="3" t="n"/>
      <c r="F1422" s="3" t="n"/>
      <c r="G1422" s="3" t="n"/>
      <c r="H1422" s="3" t="n"/>
      <c r="I1422" s="3" t="n"/>
      <c r="J1422" s="3" t="n"/>
      <c r="K1422" s="3" t="n"/>
      <c r="L1422" s="3" t="n"/>
      <c r="M1422" s="3" t="n"/>
      <c r="N1422" s="3" t="n"/>
      <c r="O1422" s="3" t="n"/>
      <c r="P1422" s="3" t="n"/>
      <c r="Q1422" s="3" t="n"/>
      <c r="R1422" s="5">
        <f>IF(Q1422&lt;&gt;"是","排除",IF(OR(L1422="",M1422=""),"",IF(OR(L1422="未知",M1422="未知"),"未知",IF(AND(L1422="真",M1422="真"),"TP",IF(AND(L1422="真",M1422="假"),"FP",IF(AND(L1422="假",M1422="真"),"FN","TN"))))))</f>
        <v/>
      </c>
      <c r="S1422" s="3" t="n"/>
      <c r="T1422" s="3" t="n"/>
      <c r="U1422" s="3" t="n"/>
      <c r="V1422" s="3" t="n"/>
    </row>
    <row r="1423">
      <c r="A1423" s="3" t="n"/>
      <c r="B1423" s="3" t="n"/>
      <c r="C1423" s="3" t="n"/>
      <c r="D1423" s="4" t="n"/>
      <c r="E1423" s="3" t="n"/>
      <c r="F1423" s="3" t="n"/>
      <c r="G1423" s="3" t="n"/>
      <c r="H1423" s="3" t="n"/>
      <c r="I1423" s="3" t="n"/>
      <c r="J1423" s="3" t="n"/>
      <c r="K1423" s="3" t="n"/>
      <c r="L1423" s="3" t="n"/>
      <c r="M1423" s="3" t="n"/>
      <c r="N1423" s="3" t="n"/>
      <c r="O1423" s="3" t="n"/>
      <c r="P1423" s="3" t="n"/>
      <c r="Q1423" s="3" t="n"/>
      <c r="R1423" s="5">
        <f>IF(Q1423&lt;&gt;"是","排除",IF(OR(L1423="",M1423=""),"",IF(OR(L1423="未知",M1423="未知"),"未知",IF(AND(L1423="真",M1423="真"),"TP",IF(AND(L1423="真",M1423="假"),"FP",IF(AND(L1423="假",M1423="真"),"FN","TN"))))))</f>
        <v/>
      </c>
      <c r="S1423" s="3" t="n"/>
      <c r="T1423" s="3" t="n"/>
      <c r="U1423" s="3" t="n"/>
      <c r="V1423" s="3" t="n"/>
    </row>
    <row r="1424">
      <c r="A1424" s="3" t="n"/>
      <c r="B1424" s="3" t="n"/>
      <c r="C1424" s="3" t="n"/>
      <c r="D1424" s="4" t="n"/>
      <c r="E1424" s="3" t="n"/>
      <c r="F1424" s="3" t="n"/>
      <c r="G1424" s="3" t="n"/>
      <c r="H1424" s="3" t="n"/>
      <c r="I1424" s="3" t="n"/>
      <c r="J1424" s="3" t="n"/>
      <c r="K1424" s="3" t="n"/>
      <c r="L1424" s="3" t="n"/>
      <c r="M1424" s="3" t="n"/>
      <c r="N1424" s="3" t="n"/>
      <c r="O1424" s="3" t="n"/>
      <c r="P1424" s="3" t="n"/>
      <c r="Q1424" s="3" t="n"/>
      <c r="R1424" s="5">
        <f>IF(Q1424&lt;&gt;"是","排除",IF(OR(L1424="",M1424=""),"",IF(OR(L1424="未知",M1424="未知"),"未知",IF(AND(L1424="真",M1424="真"),"TP",IF(AND(L1424="真",M1424="假"),"FP",IF(AND(L1424="假",M1424="真"),"FN","TN"))))))</f>
        <v/>
      </c>
      <c r="S1424" s="3" t="n"/>
      <c r="T1424" s="3" t="n"/>
      <c r="U1424" s="3" t="n"/>
      <c r="V1424" s="3" t="n"/>
    </row>
    <row r="1425">
      <c r="A1425" s="3" t="n"/>
      <c r="B1425" s="3" t="n"/>
      <c r="C1425" s="3" t="n"/>
      <c r="D1425" s="4" t="n"/>
      <c r="E1425" s="3" t="n"/>
      <c r="F1425" s="3" t="n"/>
      <c r="G1425" s="3" t="n"/>
      <c r="H1425" s="3" t="n"/>
      <c r="I1425" s="3" t="n"/>
      <c r="J1425" s="3" t="n"/>
      <c r="K1425" s="3" t="n"/>
      <c r="L1425" s="3" t="n"/>
      <c r="M1425" s="3" t="n"/>
      <c r="N1425" s="3" t="n"/>
      <c r="O1425" s="3" t="n"/>
      <c r="P1425" s="3" t="n"/>
      <c r="Q1425" s="3" t="n"/>
      <c r="R1425" s="5">
        <f>IF(Q1425&lt;&gt;"是","排除",IF(OR(L1425="",M1425=""),"",IF(OR(L1425="未知",M1425="未知"),"未知",IF(AND(L1425="真",M1425="真"),"TP",IF(AND(L1425="真",M1425="假"),"FP",IF(AND(L1425="假",M1425="真"),"FN","TN"))))))</f>
        <v/>
      </c>
      <c r="S1425" s="3" t="n"/>
      <c r="T1425" s="3" t="n"/>
      <c r="U1425" s="3" t="n"/>
      <c r="V1425" s="3" t="n"/>
    </row>
    <row r="1426">
      <c r="A1426" s="3" t="n"/>
      <c r="B1426" s="3" t="n"/>
      <c r="C1426" s="3" t="n"/>
      <c r="D1426" s="4" t="n"/>
      <c r="E1426" s="3" t="n"/>
      <c r="F1426" s="3" t="n"/>
      <c r="G1426" s="3" t="n"/>
      <c r="H1426" s="3" t="n"/>
      <c r="I1426" s="3" t="n"/>
      <c r="J1426" s="3" t="n"/>
      <c r="K1426" s="3" t="n"/>
      <c r="L1426" s="3" t="n"/>
      <c r="M1426" s="3" t="n"/>
      <c r="N1426" s="3" t="n"/>
      <c r="O1426" s="3" t="n"/>
      <c r="P1426" s="3" t="n"/>
      <c r="Q1426" s="3" t="n"/>
      <c r="R1426" s="5">
        <f>IF(Q1426&lt;&gt;"是","排除",IF(OR(L1426="",M1426=""),"",IF(OR(L1426="未知",M1426="未知"),"未知",IF(AND(L1426="真",M1426="真"),"TP",IF(AND(L1426="真",M1426="假"),"FP",IF(AND(L1426="假",M1426="真"),"FN","TN"))))))</f>
        <v/>
      </c>
      <c r="S1426" s="3" t="n"/>
      <c r="T1426" s="3" t="n"/>
      <c r="U1426" s="3" t="n"/>
      <c r="V1426" s="3" t="n"/>
    </row>
    <row r="1427">
      <c r="A1427" s="3" t="n"/>
      <c r="B1427" s="3" t="n"/>
      <c r="C1427" s="3" t="n"/>
      <c r="D1427" s="4" t="n"/>
      <c r="E1427" s="3" t="n"/>
      <c r="F1427" s="3" t="n"/>
      <c r="G1427" s="3" t="n"/>
      <c r="H1427" s="3" t="n"/>
      <c r="I1427" s="3" t="n"/>
      <c r="J1427" s="3" t="n"/>
      <c r="K1427" s="3" t="n"/>
      <c r="L1427" s="3" t="n"/>
      <c r="M1427" s="3" t="n"/>
      <c r="N1427" s="3" t="n"/>
      <c r="O1427" s="3" t="n"/>
      <c r="P1427" s="3" t="n"/>
      <c r="Q1427" s="3" t="n"/>
      <c r="R1427" s="5">
        <f>IF(Q1427&lt;&gt;"是","排除",IF(OR(L1427="",M1427=""),"",IF(OR(L1427="未知",M1427="未知"),"未知",IF(AND(L1427="真",M1427="真"),"TP",IF(AND(L1427="真",M1427="假"),"FP",IF(AND(L1427="假",M1427="真"),"FN","TN"))))))</f>
        <v/>
      </c>
      <c r="S1427" s="3" t="n"/>
      <c r="T1427" s="3" t="n"/>
      <c r="U1427" s="3" t="n"/>
      <c r="V1427" s="3" t="n"/>
    </row>
    <row r="1428">
      <c r="A1428" s="3" t="n"/>
      <c r="B1428" s="3" t="n"/>
      <c r="C1428" s="3" t="n"/>
      <c r="D1428" s="4" t="n"/>
      <c r="E1428" s="3" t="n"/>
      <c r="F1428" s="3" t="n"/>
      <c r="G1428" s="3" t="n"/>
      <c r="H1428" s="3" t="n"/>
      <c r="I1428" s="3" t="n"/>
      <c r="J1428" s="3" t="n"/>
      <c r="K1428" s="3" t="n"/>
      <c r="L1428" s="3" t="n"/>
      <c r="M1428" s="3" t="n"/>
      <c r="N1428" s="3" t="n"/>
      <c r="O1428" s="3" t="n"/>
      <c r="P1428" s="3" t="n"/>
      <c r="Q1428" s="3" t="n"/>
      <c r="R1428" s="5">
        <f>IF(Q1428&lt;&gt;"是","排除",IF(OR(L1428="",M1428=""),"",IF(OR(L1428="未知",M1428="未知"),"未知",IF(AND(L1428="真",M1428="真"),"TP",IF(AND(L1428="真",M1428="假"),"FP",IF(AND(L1428="假",M1428="真"),"FN","TN"))))))</f>
        <v/>
      </c>
      <c r="S1428" s="3" t="n"/>
      <c r="T1428" s="3" t="n"/>
      <c r="U1428" s="3" t="n"/>
      <c r="V1428" s="3" t="n"/>
    </row>
    <row r="1429">
      <c r="A1429" s="3" t="n"/>
      <c r="B1429" s="3" t="n"/>
      <c r="C1429" s="3" t="n"/>
      <c r="D1429" s="4" t="n"/>
      <c r="E1429" s="3" t="n"/>
      <c r="F1429" s="3" t="n"/>
      <c r="G1429" s="3" t="n"/>
      <c r="H1429" s="3" t="n"/>
      <c r="I1429" s="3" t="n"/>
      <c r="J1429" s="3" t="n"/>
      <c r="K1429" s="3" t="n"/>
      <c r="L1429" s="3" t="n"/>
      <c r="M1429" s="3" t="n"/>
      <c r="N1429" s="3" t="n"/>
      <c r="O1429" s="3" t="n"/>
      <c r="P1429" s="3" t="n"/>
      <c r="Q1429" s="3" t="n"/>
      <c r="R1429" s="5">
        <f>IF(Q1429&lt;&gt;"是","排除",IF(OR(L1429="",M1429=""),"",IF(OR(L1429="未知",M1429="未知"),"未知",IF(AND(L1429="真",M1429="真"),"TP",IF(AND(L1429="真",M1429="假"),"FP",IF(AND(L1429="假",M1429="真"),"FN","TN"))))))</f>
        <v/>
      </c>
      <c r="S1429" s="3" t="n"/>
      <c r="T1429" s="3" t="n"/>
      <c r="U1429" s="3" t="n"/>
      <c r="V1429" s="3" t="n"/>
    </row>
    <row r="1430">
      <c r="A1430" s="3" t="n"/>
      <c r="B1430" s="3" t="n"/>
      <c r="C1430" s="3" t="n"/>
      <c r="D1430" s="4" t="n"/>
      <c r="E1430" s="3" t="n"/>
      <c r="F1430" s="3" t="n"/>
      <c r="G1430" s="3" t="n"/>
      <c r="H1430" s="3" t="n"/>
      <c r="I1430" s="3" t="n"/>
      <c r="J1430" s="3" t="n"/>
      <c r="K1430" s="3" t="n"/>
      <c r="L1430" s="3" t="n"/>
      <c r="M1430" s="3" t="n"/>
      <c r="N1430" s="3" t="n"/>
      <c r="O1430" s="3" t="n"/>
      <c r="P1430" s="3" t="n"/>
      <c r="Q1430" s="3" t="n"/>
      <c r="R1430" s="5">
        <f>IF(Q1430&lt;&gt;"是","排除",IF(OR(L1430="",M1430=""),"",IF(OR(L1430="未知",M1430="未知"),"未知",IF(AND(L1430="真",M1430="真"),"TP",IF(AND(L1430="真",M1430="假"),"FP",IF(AND(L1430="假",M1430="真"),"FN","TN"))))))</f>
        <v/>
      </c>
      <c r="S1430" s="3" t="n"/>
      <c r="T1430" s="3" t="n"/>
      <c r="U1430" s="3" t="n"/>
      <c r="V1430" s="3" t="n"/>
    </row>
    <row r="1431">
      <c r="A1431" s="3" t="n"/>
      <c r="B1431" s="3" t="n"/>
      <c r="C1431" s="3" t="n"/>
      <c r="D1431" s="4" t="n"/>
      <c r="E1431" s="3" t="n"/>
      <c r="F1431" s="3" t="n"/>
      <c r="G1431" s="3" t="n"/>
      <c r="H1431" s="3" t="n"/>
      <c r="I1431" s="3" t="n"/>
      <c r="J1431" s="3" t="n"/>
      <c r="K1431" s="3" t="n"/>
      <c r="L1431" s="3" t="n"/>
      <c r="M1431" s="3" t="n"/>
      <c r="N1431" s="3" t="n"/>
      <c r="O1431" s="3" t="n"/>
      <c r="P1431" s="3" t="n"/>
      <c r="Q1431" s="3" t="n"/>
      <c r="R1431" s="5">
        <f>IF(Q1431&lt;&gt;"是","排除",IF(OR(L1431="",M1431=""),"",IF(OR(L1431="未知",M1431="未知"),"未知",IF(AND(L1431="真",M1431="真"),"TP",IF(AND(L1431="真",M1431="假"),"FP",IF(AND(L1431="假",M1431="真"),"FN","TN"))))))</f>
        <v/>
      </c>
      <c r="S1431" s="3" t="n"/>
      <c r="T1431" s="3" t="n"/>
      <c r="U1431" s="3" t="n"/>
      <c r="V1431" s="3" t="n"/>
    </row>
    <row r="1432">
      <c r="A1432" s="3" t="n"/>
      <c r="B1432" s="3" t="n"/>
      <c r="C1432" s="3" t="n"/>
      <c r="D1432" s="4" t="n"/>
      <c r="E1432" s="3" t="n"/>
      <c r="F1432" s="3" t="n"/>
      <c r="G1432" s="3" t="n"/>
      <c r="H1432" s="3" t="n"/>
      <c r="I1432" s="3" t="n"/>
      <c r="J1432" s="3" t="n"/>
      <c r="K1432" s="3" t="n"/>
      <c r="L1432" s="3" t="n"/>
      <c r="M1432" s="3" t="n"/>
      <c r="N1432" s="3" t="n"/>
      <c r="O1432" s="3" t="n"/>
      <c r="P1432" s="3" t="n"/>
      <c r="Q1432" s="3" t="n"/>
      <c r="R1432" s="5">
        <f>IF(Q1432&lt;&gt;"是","排除",IF(OR(L1432="",M1432=""),"",IF(OR(L1432="未知",M1432="未知"),"未知",IF(AND(L1432="真",M1432="真"),"TP",IF(AND(L1432="真",M1432="假"),"FP",IF(AND(L1432="假",M1432="真"),"FN","TN"))))))</f>
        <v/>
      </c>
      <c r="S1432" s="3" t="n"/>
      <c r="T1432" s="3" t="n"/>
      <c r="U1432" s="3" t="n"/>
      <c r="V1432" s="3" t="n"/>
    </row>
    <row r="1433">
      <c r="A1433" s="3" t="n"/>
      <c r="B1433" s="3" t="n"/>
      <c r="C1433" s="3" t="n"/>
      <c r="D1433" s="4" t="n"/>
      <c r="E1433" s="3" t="n"/>
      <c r="F1433" s="3" t="n"/>
      <c r="G1433" s="3" t="n"/>
      <c r="H1433" s="3" t="n"/>
      <c r="I1433" s="3" t="n"/>
      <c r="J1433" s="3" t="n"/>
      <c r="K1433" s="3" t="n"/>
      <c r="L1433" s="3" t="n"/>
      <c r="M1433" s="3" t="n"/>
      <c r="N1433" s="3" t="n"/>
      <c r="O1433" s="3" t="n"/>
      <c r="P1433" s="3" t="n"/>
      <c r="Q1433" s="3" t="n"/>
      <c r="R1433" s="5">
        <f>IF(Q1433&lt;&gt;"是","排除",IF(OR(L1433="",M1433=""),"",IF(OR(L1433="未知",M1433="未知"),"未知",IF(AND(L1433="真",M1433="真"),"TP",IF(AND(L1433="真",M1433="假"),"FP",IF(AND(L1433="假",M1433="真"),"FN","TN"))))))</f>
        <v/>
      </c>
      <c r="S1433" s="3" t="n"/>
      <c r="T1433" s="3" t="n"/>
      <c r="U1433" s="3" t="n"/>
      <c r="V1433" s="3" t="n"/>
    </row>
    <row r="1434">
      <c r="A1434" s="3" t="n"/>
      <c r="B1434" s="3" t="n"/>
      <c r="C1434" s="3" t="n"/>
      <c r="D1434" s="4" t="n"/>
      <c r="E1434" s="3" t="n"/>
      <c r="F1434" s="3" t="n"/>
      <c r="G1434" s="3" t="n"/>
      <c r="H1434" s="3" t="n"/>
      <c r="I1434" s="3" t="n"/>
      <c r="J1434" s="3" t="n"/>
      <c r="K1434" s="3" t="n"/>
      <c r="L1434" s="3" t="n"/>
      <c r="M1434" s="3" t="n"/>
      <c r="N1434" s="3" t="n"/>
      <c r="O1434" s="3" t="n"/>
      <c r="P1434" s="3" t="n"/>
      <c r="Q1434" s="3" t="n"/>
      <c r="R1434" s="5">
        <f>IF(Q1434&lt;&gt;"是","排除",IF(OR(L1434="",M1434=""),"",IF(OR(L1434="未知",M1434="未知"),"未知",IF(AND(L1434="真",M1434="真"),"TP",IF(AND(L1434="真",M1434="假"),"FP",IF(AND(L1434="假",M1434="真"),"FN","TN"))))))</f>
        <v/>
      </c>
      <c r="S1434" s="3" t="n"/>
      <c r="T1434" s="3" t="n"/>
      <c r="U1434" s="3" t="n"/>
      <c r="V1434" s="3" t="n"/>
    </row>
    <row r="1435">
      <c r="A1435" s="3" t="n"/>
      <c r="B1435" s="3" t="n"/>
      <c r="C1435" s="3" t="n"/>
      <c r="D1435" s="4" t="n"/>
      <c r="E1435" s="3" t="n"/>
      <c r="F1435" s="3" t="n"/>
      <c r="G1435" s="3" t="n"/>
      <c r="H1435" s="3" t="n"/>
      <c r="I1435" s="3" t="n"/>
      <c r="J1435" s="3" t="n"/>
      <c r="K1435" s="3" t="n"/>
      <c r="L1435" s="3" t="n"/>
      <c r="M1435" s="3" t="n"/>
      <c r="N1435" s="3" t="n"/>
      <c r="O1435" s="3" t="n"/>
      <c r="P1435" s="3" t="n"/>
      <c r="Q1435" s="3" t="n"/>
      <c r="R1435" s="5">
        <f>IF(Q1435&lt;&gt;"是","排除",IF(OR(L1435="",M1435=""),"",IF(OR(L1435="未知",M1435="未知"),"未知",IF(AND(L1435="真",M1435="真"),"TP",IF(AND(L1435="真",M1435="假"),"FP",IF(AND(L1435="假",M1435="真"),"FN","TN"))))))</f>
        <v/>
      </c>
      <c r="S1435" s="3" t="n"/>
      <c r="T1435" s="3" t="n"/>
      <c r="U1435" s="3" t="n"/>
      <c r="V1435" s="3" t="n"/>
    </row>
    <row r="1436">
      <c r="A1436" s="3" t="n"/>
      <c r="B1436" s="3" t="n"/>
      <c r="C1436" s="3" t="n"/>
      <c r="D1436" s="4" t="n"/>
      <c r="E1436" s="3" t="n"/>
      <c r="F1436" s="3" t="n"/>
      <c r="G1436" s="3" t="n"/>
      <c r="H1436" s="3" t="n"/>
      <c r="I1436" s="3" t="n"/>
      <c r="J1436" s="3" t="n"/>
      <c r="K1436" s="3" t="n"/>
      <c r="L1436" s="3" t="n"/>
      <c r="M1436" s="3" t="n"/>
      <c r="N1436" s="3" t="n"/>
      <c r="O1436" s="3" t="n"/>
      <c r="P1436" s="3" t="n"/>
      <c r="Q1436" s="3" t="n"/>
      <c r="R1436" s="5">
        <f>IF(Q1436&lt;&gt;"是","排除",IF(OR(L1436="",M1436=""),"",IF(OR(L1436="未知",M1436="未知"),"未知",IF(AND(L1436="真",M1436="真"),"TP",IF(AND(L1436="真",M1436="假"),"FP",IF(AND(L1436="假",M1436="真"),"FN","TN"))))))</f>
        <v/>
      </c>
      <c r="S1436" s="3" t="n"/>
      <c r="T1436" s="3" t="n"/>
      <c r="U1436" s="3" t="n"/>
      <c r="V1436" s="3" t="n"/>
    </row>
    <row r="1437">
      <c r="A1437" s="3" t="n"/>
      <c r="B1437" s="3" t="n"/>
      <c r="C1437" s="3" t="n"/>
      <c r="D1437" s="4" t="n"/>
      <c r="E1437" s="3" t="n"/>
      <c r="F1437" s="3" t="n"/>
      <c r="G1437" s="3" t="n"/>
      <c r="H1437" s="3" t="n"/>
      <c r="I1437" s="3" t="n"/>
      <c r="J1437" s="3" t="n"/>
      <c r="K1437" s="3" t="n"/>
      <c r="L1437" s="3" t="n"/>
      <c r="M1437" s="3" t="n"/>
      <c r="N1437" s="3" t="n"/>
      <c r="O1437" s="3" t="n"/>
      <c r="P1437" s="3" t="n"/>
      <c r="Q1437" s="3" t="n"/>
      <c r="R1437" s="5">
        <f>IF(Q1437&lt;&gt;"是","排除",IF(OR(L1437="",M1437=""),"",IF(OR(L1437="未知",M1437="未知"),"未知",IF(AND(L1437="真",M1437="真"),"TP",IF(AND(L1437="真",M1437="假"),"FP",IF(AND(L1437="假",M1437="真"),"FN","TN"))))))</f>
        <v/>
      </c>
      <c r="S1437" s="3" t="n"/>
      <c r="T1437" s="3" t="n"/>
      <c r="U1437" s="3" t="n"/>
      <c r="V1437" s="3" t="n"/>
    </row>
    <row r="1438">
      <c r="A1438" s="3" t="n"/>
      <c r="B1438" s="3" t="n"/>
      <c r="C1438" s="3" t="n"/>
      <c r="D1438" s="4" t="n"/>
      <c r="E1438" s="3" t="n"/>
      <c r="F1438" s="3" t="n"/>
      <c r="G1438" s="3" t="n"/>
      <c r="H1438" s="3" t="n"/>
      <c r="I1438" s="3" t="n"/>
      <c r="J1438" s="3" t="n"/>
      <c r="K1438" s="3" t="n"/>
      <c r="L1438" s="3" t="n"/>
      <c r="M1438" s="3" t="n"/>
      <c r="N1438" s="3" t="n"/>
      <c r="O1438" s="3" t="n"/>
      <c r="P1438" s="3" t="n"/>
      <c r="Q1438" s="3" t="n"/>
      <c r="R1438" s="5">
        <f>IF(Q1438&lt;&gt;"是","排除",IF(OR(L1438="",M1438=""),"",IF(OR(L1438="未知",M1438="未知"),"未知",IF(AND(L1438="真",M1438="真"),"TP",IF(AND(L1438="真",M1438="假"),"FP",IF(AND(L1438="假",M1438="真"),"FN","TN"))))))</f>
        <v/>
      </c>
      <c r="S1438" s="3" t="n"/>
      <c r="T1438" s="3" t="n"/>
      <c r="U1438" s="3" t="n"/>
      <c r="V1438" s="3" t="n"/>
    </row>
    <row r="1439">
      <c r="A1439" s="3" t="n"/>
      <c r="B1439" s="3" t="n"/>
      <c r="C1439" s="3" t="n"/>
      <c r="D1439" s="4" t="n"/>
      <c r="E1439" s="3" t="n"/>
      <c r="F1439" s="3" t="n"/>
      <c r="G1439" s="3" t="n"/>
      <c r="H1439" s="3" t="n"/>
      <c r="I1439" s="3" t="n"/>
      <c r="J1439" s="3" t="n"/>
      <c r="K1439" s="3" t="n"/>
      <c r="L1439" s="3" t="n"/>
      <c r="M1439" s="3" t="n"/>
      <c r="N1439" s="3" t="n"/>
      <c r="O1439" s="3" t="n"/>
      <c r="P1439" s="3" t="n"/>
      <c r="Q1439" s="3" t="n"/>
      <c r="R1439" s="5">
        <f>IF(Q1439&lt;&gt;"是","排除",IF(OR(L1439="",M1439=""),"",IF(OR(L1439="未知",M1439="未知"),"未知",IF(AND(L1439="真",M1439="真"),"TP",IF(AND(L1439="真",M1439="假"),"FP",IF(AND(L1439="假",M1439="真"),"FN","TN"))))))</f>
        <v/>
      </c>
      <c r="S1439" s="3" t="n"/>
      <c r="T1439" s="3" t="n"/>
      <c r="U1439" s="3" t="n"/>
      <c r="V1439" s="3" t="n"/>
    </row>
    <row r="1440">
      <c r="A1440" s="3" t="n"/>
      <c r="B1440" s="3" t="n"/>
      <c r="C1440" s="3" t="n"/>
      <c r="D1440" s="4" t="n"/>
      <c r="E1440" s="3" t="n"/>
      <c r="F1440" s="3" t="n"/>
      <c r="G1440" s="3" t="n"/>
      <c r="H1440" s="3" t="n"/>
      <c r="I1440" s="3" t="n"/>
      <c r="J1440" s="3" t="n"/>
      <c r="K1440" s="3" t="n"/>
      <c r="L1440" s="3" t="n"/>
      <c r="M1440" s="3" t="n"/>
      <c r="N1440" s="3" t="n"/>
      <c r="O1440" s="3" t="n"/>
      <c r="P1440" s="3" t="n"/>
      <c r="Q1440" s="3" t="n"/>
      <c r="R1440" s="5">
        <f>IF(Q1440&lt;&gt;"是","排除",IF(OR(L1440="",M1440=""),"",IF(OR(L1440="未知",M1440="未知"),"未知",IF(AND(L1440="真",M1440="真"),"TP",IF(AND(L1440="真",M1440="假"),"FP",IF(AND(L1440="假",M1440="真"),"FN","TN"))))))</f>
        <v/>
      </c>
      <c r="S1440" s="3" t="n"/>
      <c r="T1440" s="3" t="n"/>
      <c r="U1440" s="3" t="n"/>
      <c r="V1440" s="3" t="n"/>
    </row>
    <row r="1441">
      <c r="A1441" s="3" t="n"/>
      <c r="B1441" s="3" t="n"/>
      <c r="C1441" s="3" t="n"/>
      <c r="D1441" s="4" t="n"/>
      <c r="E1441" s="3" t="n"/>
      <c r="F1441" s="3" t="n"/>
      <c r="G1441" s="3" t="n"/>
      <c r="H1441" s="3" t="n"/>
      <c r="I1441" s="3" t="n"/>
      <c r="J1441" s="3" t="n"/>
      <c r="K1441" s="3" t="n"/>
      <c r="L1441" s="3" t="n"/>
      <c r="M1441" s="3" t="n"/>
      <c r="N1441" s="3" t="n"/>
      <c r="O1441" s="3" t="n"/>
      <c r="P1441" s="3" t="n"/>
      <c r="Q1441" s="3" t="n"/>
      <c r="R1441" s="5">
        <f>IF(Q1441&lt;&gt;"是","排除",IF(OR(L1441="",M1441=""),"",IF(OR(L1441="未知",M1441="未知"),"未知",IF(AND(L1441="真",M1441="真"),"TP",IF(AND(L1441="真",M1441="假"),"FP",IF(AND(L1441="假",M1441="真"),"FN","TN"))))))</f>
        <v/>
      </c>
      <c r="S1441" s="3" t="n"/>
      <c r="T1441" s="3" t="n"/>
      <c r="U1441" s="3" t="n"/>
      <c r="V1441" s="3" t="n"/>
    </row>
    <row r="1442">
      <c r="A1442" s="3" t="n"/>
      <c r="B1442" s="3" t="n"/>
      <c r="C1442" s="3" t="n"/>
      <c r="D1442" s="4" t="n"/>
      <c r="E1442" s="3" t="n"/>
      <c r="F1442" s="3" t="n"/>
      <c r="G1442" s="3" t="n"/>
      <c r="H1442" s="3" t="n"/>
      <c r="I1442" s="3" t="n"/>
      <c r="J1442" s="3" t="n"/>
      <c r="K1442" s="3" t="n"/>
      <c r="L1442" s="3" t="n"/>
      <c r="M1442" s="3" t="n"/>
      <c r="N1442" s="3" t="n"/>
      <c r="O1442" s="3" t="n"/>
      <c r="P1442" s="3" t="n"/>
      <c r="Q1442" s="3" t="n"/>
      <c r="R1442" s="5">
        <f>IF(Q1442&lt;&gt;"是","排除",IF(OR(L1442="",M1442=""),"",IF(OR(L1442="未知",M1442="未知"),"未知",IF(AND(L1442="真",M1442="真"),"TP",IF(AND(L1442="真",M1442="假"),"FP",IF(AND(L1442="假",M1442="真"),"FN","TN"))))))</f>
        <v/>
      </c>
      <c r="S1442" s="3" t="n"/>
      <c r="T1442" s="3" t="n"/>
      <c r="U1442" s="3" t="n"/>
      <c r="V1442" s="3" t="n"/>
    </row>
    <row r="1443">
      <c r="A1443" s="3" t="n"/>
      <c r="B1443" s="3" t="n"/>
      <c r="C1443" s="3" t="n"/>
      <c r="D1443" s="4" t="n"/>
      <c r="E1443" s="3" t="n"/>
      <c r="F1443" s="3" t="n"/>
      <c r="G1443" s="3" t="n"/>
      <c r="H1443" s="3" t="n"/>
      <c r="I1443" s="3" t="n"/>
      <c r="J1443" s="3" t="n"/>
      <c r="K1443" s="3" t="n"/>
      <c r="L1443" s="3" t="n"/>
      <c r="M1443" s="3" t="n"/>
      <c r="N1443" s="3" t="n"/>
      <c r="O1443" s="3" t="n"/>
      <c r="P1443" s="3" t="n"/>
      <c r="Q1443" s="3" t="n"/>
      <c r="R1443" s="5">
        <f>IF(Q1443&lt;&gt;"是","排除",IF(OR(L1443="",M1443=""),"",IF(OR(L1443="未知",M1443="未知"),"未知",IF(AND(L1443="真",M1443="真"),"TP",IF(AND(L1443="真",M1443="假"),"FP",IF(AND(L1443="假",M1443="真"),"FN","TN"))))))</f>
        <v/>
      </c>
      <c r="S1443" s="3" t="n"/>
      <c r="T1443" s="3" t="n"/>
      <c r="U1443" s="3" t="n"/>
      <c r="V1443" s="3" t="n"/>
    </row>
    <row r="1444">
      <c r="A1444" s="3" t="n"/>
      <c r="B1444" s="3" t="n"/>
      <c r="C1444" s="3" t="n"/>
      <c r="D1444" s="4" t="n"/>
      <c r="E1444" s="3" t="n"/>
      <c r="F1444" s="3" t="n"/>
      <c r="G1444" s="3" t="n"/>
      <c r="H1444" s="3" t="n"/>
      <c r="I1444" s="3" t="n"/>
      <c r="J1444" s="3" t="n"/>
      <c r="K1444" s="3" t="n"/>
      <c r="L1444" s="3" t="n"/>
      <c r="M1444" s="3" t="n"/>
      <c r="N1444" s="3" t="n"/>
      <c r="O1444" s="3" t="n"/>
      <c r="P1444" s="3" t="n"/>
      <c r="Q1444" s="3" t="n"/>
      <c r="R1444" s="5">
        <f>IF(Q1444&lt;&gt;"是","排除",IF(OR(L1444="",M1444=""),"",IF(OR(L1444="未知",M1444="未知"),"未知",IF(AND(L1444="真",M1444="真"),"TP",IF(AND(L1444="真",M1444="假"),"FP",IF(AND(L1444="假",M1444="真"),"FN","TN"))))))</f>
        <v/>
      </c>
      <c r="S1444" s="3" t="n"/>
      <c r="T1444" s="3" t="n"/>
      <c r="U1444" s="3" t="n"/>
      <c r="V1444" s="3" t="n"/>
    </row>
    <row r="1445">
      <c r="A1445" s="3" t="n"/>
      <c r="B1445" s="3" t="n"/>
      <c r="C1445" s="3" t="n"/>
      <c r="D1445" s="4" t="n"/>
      <c r="E1445" s="3" t="n"/>
      <c r="F1445" s="3" t="n"/>
      <c r="G1445" s="3" t="n"/>
      <c r="H1445" s="3" t="n"/>
      <c r="I1445" s="3" t="n"/>
      <c r="J1445" s="3" t="n"/>
      <c r="K1445" s="3" t="n"/>
      <c r="L1445" s="3" t="n"/>
      <c r="M1445" s="3" t="n"/>
      <c r="N1445" s="3" t="n"/>
      <c r="O1445" s="3" t="n"/>
      <c r="P1445" s="3" t="n"/>
      <c r="Q1445" s="3" t="n"/>
      <c r="R1445" s="5">
        <f>IF(Q1445&lt;&gt;"是","排除",IF(OR(L1445="",M1445=""),"",IF(OR(L1445="未知",M1445="未知"),"未知",IF(AND(L1445="真",M1445="真"),"TP",IF(AND(L1445="真",M1445="假"),"FP",IF(AND(L1445="假",M1445="真"),"FN","TN"))))))</f>
        <v/>
      </c>
      <c r="S1445" s="3" t="n"/>
      <c r="T1445" s="3" t="n"/>
      <c r="U1445" s="3" t="n"/>
      <c r="V1445" s="3" t="n"/>
    </row>
    <row r="1446">
      <c r="A1446" s="3" t="n"/>
      <c r="B1446" s="3" t="n"/>
      <c r="C1446" s="3" t="n"/>
      <c r="D1446" s="4" t="n"/>
      <c r="E1446" s="3" t="n"/>
      <c r="F1446" s="3" t="n"/>
      <c r="G1446" s="3" t="n"/>
      <c r="H1446" s="3" t="n"/>
      <c r="I1446" s="3" t="n"/>
      <c r="J1446" s="3" t="n"/>
      <c r="K1446" s="3" t="n"/>
      <c r="L1446" s="3" t="n"/>
      <c r="M1446" s="3" t="n"/>
      <c r="N1446" s="3" t="n"/>
      <c r="O1446" s="3" t="n"/>
      <c r="P1446" s="3" t="n"/>
      <c r="Q1446" s="3" t="n"/>
      <c r="R1446" s="5">
        <f>IF(Q1446&lt;&gt;"是","排除",IF(OR(L1446="",M1446=""),"",IF(OR(L1446="未知",M1446="未知"),"未知",IF(AND(L1446="真",M1446="真"),"TP",IF(AND(L1446="真",M1446="假"),"FP",IF(AND(L1446="假",M1446="真"),"FN","TN"))))))</f>
        <v/>
      </c>
      <c r="S1446" s="3" t="n"/>
      <c r="T1446" s="3" t="n"/>
      <c r="U1446" s="3" t="n"/>
      <c r="V1446" s="3" t="n"/>
    </row>
    <row r="1447">
      <c r="A1447" s="3" t="n"/>
      <c r="B1447" s="3" t="n"/>
      <c r="C1447" s="3" t="n"/>
      <c r="D1447" s="4" t="n"/>
      <c r="E1447" s="3" t="n"/>
      <c r="F1447" s="3" t="n"/>
      <c r="G1447" s="3" t="n"/>
      <c r="H1447" s="3" t="n"/>
      <c r="I1447" s="3" t="n"/>
      <c r="J1447" s="3" t="n"/>
      <c r="K1447" s="3" t="n"/>
      <c r="L1447" s="3" t="n"/>
      <c r="M1447" s="3" t="n"/>
      <c r="N1447" s="3" t="n"/>
      <c r="O1447" s="3" t="n"/>
      <c r="P1447" s="3" t="n"/>
      <c r="Q1447" s="3" t="n"/>
      <c r="R1447" s="5">
        <f>IF(Q1447&lt;&gt;"是","排除",IF(OR(L1447="",M1447=""),"",IF(OR(L1447="未知",M1447="未知"),"未知",IF(AND(L1447="真",M1447="真"),"TP",IF(AND(L1447="真",M1447="假"),"FP",IF(AND(L1447="假",M1447="真"),"FN","TN"))))))</f>
        <v/>
      </c>
      <c r="S1447" s="3" t="n"/>
      <c r="T1447" s="3" t="n"/>
      <c r="U1447" s="3" t="n"/>
      <c r="V1447" s="3" t="n"/>
    </row>
    <row r="1448">
      <c r="A1448" s="3" t="n"/>
      <c r="B1448" s="3" t="n"/>
      <c r="C1448" s="3" t="n"/>
      <c r="D1448" s="4" t="n"/>
      <c r="E1448" s="3" t="n"/>
      <c r="F1448" s="3" t="n"/>
      <c r="G1448" s="3" t="n"/>
      <c r="H1448" s="3" t="n"/>
      <c r="I1448" s="3" t="n"/>
      <c r="J1448" s="3" t="n"/>
      <c r="K1448" s="3" t="n"/>
      <c r="L1448" s="3" t="n"/>
      <c r="M1448" s="3" t="n"/>
      <c r="N1448" s="3" t="n"/>
      <c r="O1448" s="3" t="n"/>
      <c r="P1448" s="3" t="n"/>
      <c r="Q1448" s="3" t="n"/>
      <c r="R1448" s="5">
        <f>IF(Q1448&lt;&gt;"是","排除",IF(OR(L1448="",M1448=""),"",IF(OR(L1448="未知",M1448="未知"),"未知",IF(AND(L1448="真",M1448="真"),"TP",IF(AND(L1448="真",M1448="假"),"FP",IF(AND(L1448="假",M1448="真"),"FN","TN"))))))</f>
        <v/>
      </c>
      <c r="S1448" s="3" t="n"/>
      <c r="T1448" s="3" t="n"/>
      <c r="U1448" s="3" t="n"/>
      <c r="V1448" s="3" t="n"/>
    </row>
    <row r="1449">
      <c r="A1449" s="3" t="n"/>
      <c r="B1449" s="3" t="n"/>
      <c r="C1449" s="3" t="n"/>
      <c r="D1449" s="4" t="n"/>
      <c r="E1449" s="3" t="n"/>
      <c r="F1449" s="3" t="n"/>
      <c r="G1449" s="3" t="n"/>
      <c r="H1449" s="3" t="n"/>
      <c r="I1449" s="3" t="n"/>
      <c r="J1449" s="3" t="n"/>
      <c r="K1449" s="3" t="n"/>
      <c r="L1449" s="3" t="n"/>
      <c r="M1449" s="3" t="n"/>
      <c r="N1449" s="3" t="n"/>
      <c r="O1449" s="3" t="n"/>
      <c r="P1449" s="3" t="n"/>
      <c r="Q1449" s="3" t="n"/>
      <c r="R1449" s="5">
        <f>IF(Q1449&lt;&gt;"是","排除",IF(OR(L1449="",M1449=""),"",IF(OR(L1449="未知",M1449="未知"),"未知",IF(AND(L1449="真",M1449="真"),"TP",IF(AND(L1449="真",M1449="假"),"FP",IF(AND(L1449="假",M1449="真"),"FN","TN"))))))</f>
        <v/>
      </c>
      <c r="S1449" s="3" t="n"/>
      <c r="T1449" s="3" t="n"/>
      <c r="U1449" s="3" t="n"/>
      <c r="V1449" s="3" t="n"/>
    </row>
    <row r="1450">
      <c r="A1450" s="3" t="n"/>
      <c r="B1450" s="3" t="n"/>
      <c r="C1450" s="3" t="n"/>
      <c r="D1450" s="4" t="n"/>
      <c r="E1450" s="3" t="n"/>
      <c r="F1450" s="3" t="n"/>
      <c r="G1450" s="3" t="n"/>
      <c r="H1450" s="3" t="n"/>
      <c r="I1450" s="3" t="n"/>
      <c r="J1450" s="3" t="n"/>
      <c r="K1450" s="3" t="n"/>
      <c r="L1450" s="3" t="n"/>
      <c r="M1450" s="3" t="n"/>
      <c r="N1450" s="3" t="n"/>
      <c r="O1450" s="3" t="n"/>
      <c r="P1450" s="3" t="n"/>
      <c r="Q1450" s="3" t="n"/>
      <c r="R1450" s="5">
        <f>IF(Q1450&lt;&gt;"是","排除",IF(OR(L1450="",M1450=""),"",IF(OR(L1450="未知",M1450="未知"),"未知",IF(AND(L1450="真",M1450="真"),"TP",IF(AND(L1450="真",M1450="假"),"FP",IF(AND(L1450="假",M1450="真"),"FN","TN"))))))</f>
        <v/>
      </c>
      <c r="S1450" s="3" t="n"/>
      <c r="T1450" s="3" t="n"/>
      <c r="U1450" s="3" t="n"/>
      <c r="V1450" s="3" t="n"/>
    </row>
    <row r="1451">
      <c r="A1451" s="3" t="n"/>
      <c r="B1451" s="3" t="n"/>
      <c r="C1451" s="3" t="n"/>
      <c r="D1451" s="4" t="n"/>
      <c r="E1451" s="3" t="n"/>
      <c r="F1451" s="3" t="n"/>
      <c r="G1451" s="3" t="n"/>
      <c r="H1451" s="3" t="n"/>
      <c r="I1451" s="3" t="n"/>
      <c r="J1451" s="3" t="n"/>
      <c r="K1451" s="3" t="n"/>
      <c r="L1451" s="3" t="n"/>
      <c r="M1451" s="3" t="n"/>
      <c r="N1451" s="3" t="n"/>
      <c r="O1451" s="3" t="n"/>
      <c r="P1451" s="3" t="n"/>
      <c r="Q1451" s="3" t="n"/>
      <c r="R1451" s="5">
        <f>IF(Q1451&lt;&gt;"是","排除",IF(OR(L1451="",M1451=""),"",IF(OR(L1451="未知",M1451="未知"),"未知",IF(AND(L1451="真",M1451="真"),"TP",IF(AND(L1451="真",M1451="假"),"FP",IF(AND(L1451="假",M1451="真"),"FN","TN"))))))</f>
        <v/>
      </c>
      <c r="S1451" s="3" t="n"/>
      <c r="T1451" s="3" t="n"/>
      <c r="U1451" s="3" t="n"/>
      <c r="V1451" s="3" t="n"/>
    </row>
    <row r="1452">
      <c r="A1452" s="3" t="n"/>
      <c r="B1452" s="3" t="n"/>
      <c r="C1452" s="3" t="n"/>
      <c r="D1452" s="4" t="n"/>
      <c r="E1452" s="3" t="n"/>
      <c r="F1452" s="3" t="n"/>
      <c r="G1452" s="3" t="n"/>
      <c r="H1452" s="3" t="n"/>
      <c r="I1452" s="3" t="n"/>
      <c r="J1452" s="3" t="n"/>
      <c r="K1452" s="3" t="n"/>
      <c r="L1452" s="3" t="n"/>
      <c r="M1452" s="3" t="n"/>
      <c r="N1452" s="3" t="n"/>
      <c r="O1452" s="3" t="n"/>
      <c r="P1452" s="3" t="n"/>
      <c r="Q1452" s="3" t="n"/>
      <c r="R1452" s="5">
        <f>IF(Q1452&lt;&gt;"是","排除",IF(OR(L1452="",M1452=""),"",IF(OR(L1452="未知",M1452="未知"),"未知",IF(AND(L1452="真",M1452="真"),"TP",IF(AND(L1452="真",M1452="假"),"FP",IF(AND(L1452="假",M1452="真"),"FN","TN"))))))</f>
        <v/>
      </c>
      <c r="S1452" s="3" t="n"/>
      <c r="T1452" s="3" t="n"/>
      <c r="U1452" s="3" t="n"/>
      <c r="V1452" s="3" t="n"/>
    </row>
    <row r="1453">
      <c r="A1453" s="3" t="n"/>
      <c r="B1453" s="3" t="n"/>
      <c r="C1453" s="3" t="n"/>
      <c r="D1453" s="4" t="n"/>
      <c r="E1453" s="3" t="n"/>
      <c r="F1453" s="3" t="n"/>
      <c r="G1453" s="3" t="n"/>
      <c r="H1453" s="3" t="n"/>
      <c r="I1453" s="3" t="n"/>
      <c r="J1453" s="3" t="n"/>
      <c r="K1453" s="3" t="n"/>
      <c r="L1453" s="3" t="n"/>
      <c r="M1453" s="3" t="n"/>
      <c r="N1453" s="3" t="n"/>
      <c r="O1453" s="3" t="n"/>
      <c r="P1453" s="3" t="n"/>
      <c r="Q1453" s="3" t="n"/>
      <c r="R1453" s="5">
        <f>IF(Q1453&lt;&gt;"是","排除",IF(OR(L1453="",M1453=""),"",IF(OR(L1453="未知",M1453="未知"),"未知",IF(AND(L1453="真",M1453="真"),"TP",IF(AND(L1453="真",M1453="假"),"FP",IF(AND(L1453="假",M1453="真"),"FN","TN"))))))</f>
        <v/>
      </c>
      <c r="S1453" s="3" t="n"/>
      <c r="T1453" s="3" t="n"/>
      <c r="U1453" s="3" t="n"/>
      <c r="V1453" s="3" t="n"/>
    </row>
    <row r="1454">
      <c r="A1454" s="3" t="n"/>
      <c r="B1454" s="3" t="n"/>
      <c r="C1454" s="3" t="n"/>
      <c r="D1454" s="4" t="n"/>
      <c r="E1454" s="3" t="n"/>
      <c r="F1454" s="3" t="n"/>
      <c r="G1454" s="3" t="n"/>
      <c r="H1454" s="3" t="n"/>
      <c r="I1454" s="3" t="n"/>
      <c r="J1454" s="3" t="n"/>
      <c r="K1454" s="3" t="n"/>
      <c r="L1454" s="3" t="n"/>
      <c r="M1454" s="3" t="n"/>
      <c r="N1454" s="3" t="n"/>
      <c r="O1454" s="3" t="n"/>
      <c r="P1454" s="3" t="n"/>
      <c r="Q1454" s="3" t="n"/>
      <c r="R1454" s="5">
        <f>IF(Q1454&lt;&gt;"是","排除",IF(OR(L1454="",M1454=""),"",IF(OR(L1454="未知",M1454="未知"),"未知",IF(AND(L1454="真",M1454="真"),"TP",IF(AND(L1454="真",M1454="假"),"FP",IF(AND(L1454="假",M1454="真"),"FN","TN"))))))</f>
        <v/>
      </c>
      <c r="S1454" s="3" t="n"/>
      <c r="T1454" s="3" t="n"/>
      <c r="U1454" s="3" t="n"/>
      <c r="V1454" s="3" t="n"/>
    </row>
    <row r="1455">
      <c r="A1455" s="3" t="n"/>
      <c r="B1455" s="3" t="n"/>
      <c r="C1455" s="3" t="n"/>
      <c r="D1455" s="4" t="n"/>
      <c r="E1455" s="3" t="n"/>
      <c r="F1455" s="3" t="n"/>
      <c r="G1455" s="3" t="n"/>
      <c r="H1455" s="3" t="n"/>
      <c r="I1455" s="3" t="n"/>
      <c r="J1455" s="3" t="n"/>
      <c r="K1455" s="3" t="n"/>
      <c r="L1455" s="3" t="n"/>
      <c r="M1455" s="3" t="n"/>
      <c r="N1455" s="3" t="n"/>
      <c r="O1455" s="3" t="n"/>
      <c r="P1455" s="3" t="n"/>
      <c r="Q1455" s="3" t="n"/>
      <c r="R1455" s="5">
        <f>IF(Q1455&lt;&gt;"是","排除",IF(OR(L1455="",M1455=""),"",IF(OR(L1455="未知",M1455="未知"),"未知",IF(AND(L1455="真",M1455="真"),"TP",IF(AND(L1455="真",M1455="假"),"FP",IF(AND(L1455="假",M1455="真"),"FN","TN"))))))</f>
        <v/>
      </c>
      <c r="S1455" s="3" t="n"/>
      <c r="T1455" s="3" t="n"/>
      <c r="U1455" s="3" t="n"/>
      <c r="V1455" s="3" t="n"/>
    </row>
    <row r="1456">
      <c r="A1456" s="3" t="n"/>
      <c r="B1456" s="3" t="n"/>
      <c r="C1456" s="3" t="n"/>
      <c r="D1456" s="4" t="n"/>
      <c r="E1456" s="3" t="n"/>
      <c r="F1456" s="3" t="n"/>
      <c r="G1456" s="3" t="n"/>
      <c r="H1456" s="3" t="n"/>
      <c r="I1456" s="3" t="n"/>
      <c r="J1456" s="3" t="n"/>
      <c r="K1456" s="3" t="n"/>
      <c r="L1456" s="3" t="n"/>
      <c r="M1456" s="3" t="n"/>
      <c r="N1456" s="3" t="n"/>
      <c r="O1456" s="3" t="n"/>
      <c r="P1456" s="3" t="n"/>
      <c r="Q1456" s="3" t="n"/>
      <c r="R1456" s="5">
        <f>IF(Q1456&lt;&gt;"是","排除",IF(OR(L1456="",M1456=""),"",IF(OR(L1456="未知",M1456="未知"),"未知",IF(AND(L1456="真",M1456="真"),"TP",IF(AND(L1456="真",M1456="假"),"FP",IF(AND(L1456="假",M1456="真"),"FN","TN"))))))</f>
        <v/>
      </c>
      <c r="S1456" s="3" t="n"/>
      <c r="T1456" s="3" t="n"/>
      <c r="U1456" s="3" t="n"/>
      <c r="V1456" s="3" t="n"/>
    </row>
    <row r="1457">
      <c r="A1457" s="3" t="n"/>
      <c r="B1457" s="3" t="n"/>
      <c r="C1457" s="3" t="n"/>
      <c r="D1457" s="4" t="n"/>
      <c r="E1457" s="3" t="n"/>
      <c r="F1457" s="3" t="n"/>
      <c r="G1457" s="3" t="n"/>
      <c r="H1457" s="3" t="n"/>
      <c r="I1457" s="3" t="n"/>
      <c r="J1457" s="3" t="n"/>
      <c r="K1457" s="3" t="n"/>
      <c r="L1457" s="3" t="n"/>
      <c r="M1457" s="3" t="n"/>
      <c r="N1457" s="3" t="n"/>
      <c r="O1457" s="3" t="n"/>
      <c r="P1457" s="3" t="n"/>
      <c r="Q1457" s="3" t="n"/>
      <c r="R1457" s="5">
        <f>IF(Q1457&lt;&gt;"是","排除",IF(OR(L1457="",M1457=""),"",IF(OR(L1457="未知",M1457="未知"),"未知",IF(AND(L1457="真",M1457="真"),"TP",IF(AND(L1457="真",M1457="假"),"FP",IF(AND(L1457="假",M1457="真"),"FN","TN"))))))</f>
        <v/>
      </c>
      <c r="S1457" s="3" t="n"/>
      <c r="T1457" s="3" t="n"/>
      <c r="U1457" s="3" t="n"/>
      <c r="V1457" s="3" t="n"/>
    </row>
    <row r="1458">
      <c r="A1458" s="3" t="n"/>
      <c r="B1458" s="3" t="n"/>
      <c r="C1458" s="3" t="n"/>
      <c r="D1458" s="4" t="n"/>
      <c r="E1458" s="3" t="n"/>
      <c r="F1458" s="3" t="n"/>
      <c r="G1458" s="3" t="n"/>
      <c r="H1458" s="3" t="n"/>
      <c r="I1458" s="3" t="n"/>
      <c r="J1458" s="3" t="n"/>
      <c r="K1458" s="3" t="n"/>
      <c r="L1458" s="3" t="n"/>
      <c r="M1458" s="3" t="n"/>
      <c r="N1458" s="3" t="n"/>
      <c r="O1458" s="3" t="n"/>
      <c r="P1458" s="3" t="n"/>
      <c r="Q1458" s="3" t="n"/>
      <c r="R1458" s="5">
        <f>IF(Q1458&lt;&gt;"是","排除",IF(OR(L1458="",M1458=""),"",IF(OR(L1458="未知",M1458="未知"),"未知",IF(AND(L1458="真",M1458="真"),"TP",IF(AND(L1458="真",M1458="假"),"FP",IF(AND(L1458="假",M1458="真"),"FN","TN"))))))</f>
        <v/>
      </c>
      <c r="S1458" s="3" t="n"/>
      <c r="T1458" s="3" t="n"/>
      <c r="U1458" s="3" t="n"/>
      <c r="V1458" s="3" t="n"/>
    </row>
    <row r="1459">
      <c r="A1459" s="3" t="n"/>
      <c r="B1459" s="3" t="n"/>
      <c r="C1459" s="3" t="n"/>
      <c r="D1459" s="4" t="n"/>
      <c r="E1459" s="3" t="n"/>
      <c r="F1459" s="3" t="n"/>
      <c r="G1459" s="3" t="n"/>
      <c r="H1459" s="3" t="n"/>
      <c r="I1459" s="3" t="n"/>
      <c r="J1459" s="3" t="n"/>
      <c r="K1459" s="3" t="n"/>
      <c r="L1459" s="3" t="n"/>
      <c r="M1459" s="3" t="n"/>
      <c r="N1459" s="3" t="n"/>
      <c r="O1459" s="3" t="n"/>
      <c r="P1459" s="3" t="n"/>
      <c r="Q1459" s="3" t="n"/>
      <c r="R1459" s="5">
        <f>IF(Q1459&lt;&gt;"是","排除",IF(OR(L1459="",M1459=""),"",IF(OR(L1459="未知",M1459="未知"),"未知",IF(AND(L1459="真",M1459="真"),"TP",IF(AND(L1459="真",M1459="假"),"FP",IF(AND(L1459="假",M1459="真"),"FN","TN"))))))</f>
        <v/>
      </c>
      <c r="S1459" s="3" t="n"/>
      <c r="T1459" s="3" t="n"/>
      <c r="U1459" s="3" t="n"/>
      <c r="V1459" s="3" t="n"/>
    </row>
    <row r="1460">
      <c r="A1460" s="3" t="n"/>
      <c r="B1460" s="3" t="n"/>
      <c r="C1460" s="3" t="n"/>
      <c r="D1460" s="4" t="n"/>
      <c r="E1460" s="3" t="n"/>
      <c r="F1460" s="3" t="n"/>
      <c r="G1460" s="3" t="n"/>
      <c r="H1460" s="3" t="n"/>
      <c r="I1460" s="3" t="n"/>
      <c r="J1460" s="3" t="n"/>
      <c r="K1460" s="3" t="n"/>
      <c r="L1460" s="3" t="n"/>
      <c r="M1460" s="3" t="n"/>
      <c r="N1460" s="3" t="n"/>
      <c r="O1460" s="3" t="n"/>
      <c r="P1460" s="3" t="n"/>
      <c r="Q1460" s="3" t="n"/>
      <c r="R1460" s="5">
        <f>IF(Q1460&lt;&gt;"是","排除",IF(OR(L1460="",M1460=""),"",IF(OR(L1460="未知",M1460="未知"),"未知",IF(AND(L1460="真",M1460="真"),"TP",IF(AND(L1460="真",M1460="假"),"FP",IF(AND(L1460="假",M1460="真"),"FN","TN"))))))</f>
        <v/>
      </c>
      <c r="S1460" s="3" t="n"/>
      <c r="T1460" s="3" t="n"/>
      <c r="U1460" s="3" t="n"/>
      <c r="V1460" s="3" t="n"/>
    </row>
    <row r="1461">
      <c r="A1461" s="3" t="n"/>
      <c r="B1461" s="3" t="n"/>
      <c r="C1461" s="3" t="n"/>
      <c r="D1461" s="4" t="n"/>
      <c r="E1461" s="3" t="n"/>
      <c r="F1461" s="3" t="n"/>
      <c r="G1461" s="3" t="n"/>
      <c r="H1461" s="3" t="n"/>
      <c r="I1461" s="3" t="n"/>
      <c r="J1461" s="3" t="n"/>
      <c r="K1461" s="3" t="n"/>
      <c r="L1461" s="3" t="n"/>
      <c r="M1461" s="3" t="n"/>
      <c r="N1461" s="3" t="n"/>
      <c r="O1461" s="3" t="n"/>
      <c r="P1461" s="3" t="n"/>
      <c r="Q1461" s="3" t="n"/>
      <c r="R1461" s="5">
        <f>IF(Q1461&lt;&gt;"是","排除",IF(OR(L1461="",M1461=""),"",IF(OR(L1461="未知",M1461="未知"),"未知",IF(AND(L1461="真",M1461="真"),"TP",IF(AND(L1461="真",M1461="假"),"FP",IF(AND(L1461="假",M1461="真"),"FN","TN"))))))</f>
        <v/>
      </c>
      <c r="S1461" s="3" t="n"/>
      <c r="T1461" s="3" t="n"/>
      <c r="U1461" s="3" t="n"/>
      <c r="V1461" s="3" t="n"/>
    </row>
    <row r="1462">
      <c r="A1462" s="3" t="n"/>
      <c r="B1462" s="3" t="n"/>
      <c r="C1462" s="3" t="n"/>
      <c r="D1462" s="4" t="n"/>
      <c r="E1462" s="3" t="n"/>
      <c r="F1462" s="3" t="n"/>
      <c r="G1462" s="3" t="n"/>
      <c r="H1462" s="3" t="n"/>
      <c r="I1462" s="3" t="n"/>
      <c r="J1462" s="3" t="n"/>
      <c r="K1462" s="3" t="n"/>
      <c r="L1462" s="3" t="n"/>
      <c r="M1462" s="3" t="n"/>
      <c r="N1462" s="3" t="n"/>
      <c r="O1462" s="3" t="n"/>
      <c r="P1462" s="3" t="n"/>
      <c r="Q1462" s="3" t="n"/>
      <c r="R1462" s="5">
        <f>IF(Q1462&lt;&gt;"是","排除",IF(OR(L1462="",M1462=""),"",IF(OR(L1462="未知",M1462="未知"),"未知",IF(AND(L1462="真",M1462="真"),"TP",IF(AND(L1462="真",M1462="假"),"FP",IF(AND(L1462="假",M1462="真"),"FN","TN"))))))</f>
        <v/>
      </c>
      <c r="S1462" s="3" t="n"/>
      <c r="T1462" s="3" t="n"/>
      <c r="U1462" s="3" t="n"/>
      <c r="V1462" s="3" t="n"/>
    </row>
    <row r="1463">
      <c r="A1463" s="3" t="n"/>
      <c r="B1463" s="3" t="n"/>
      <c r="C1463" s="3" t="n"/>
      <c r="D1463" s="4" t="n"/>
      <c r="E1463" s="3" t="n"/>
      <c r="F1463" s="3" t="n"/>
      <c r="G1463" s="3" t="n"/>
      <c r="H1463" s="3" t="n"/>
      <c r="I1463" s="3" t="n"/>
      <c r="J1463" s="3" t="n"/>
      <c r="K1463" s="3" t="n"/>
      <c r="L1463" s="3" t="n"/>
      <c r="M1463" s="3" t="n"/>
      <c r="N1463" s="3" t="n"/>
      <c r="O1463" s="3" t="n"/>
      <c r="P1463" s="3" t="n"/>
      <c r="Q1463" s="3" t="n"/>
      <c r="R1463" s="5">
        <f>IF(Q1463&lt;&gt;"是","排除",IF(OR(L1463="",M1463=""),"",IF(OR(L1463="未知",M1463="未知"),"未知",IF(AND(L1463="真",M1463="真"),"TP",IF(AND(L1463="真",M1463="假"),"FP",IF(AND(L1463="假",M1463="真"),"FN","TN"))))))</f>
        <v/>
      </c>
      <c r="S1463" s="3" t="n"/>
      <c r="T1463" s="3" t="n"/>
      <c r="U1463" s="3" t="n"/>
      <c r="V1463" s="3" t="n"/>
    </row>
    <row r="1464">
      <c r="A1464" s="3" t="n"/>
      <c r="B1464" s="3" t="n"/>
      <c r="C1464" s="3" t="n"/>
      <c r="D1464" s="4" t="n"/>
      <c r="E1464" s="3" t="n"/>
      <c r="F1464" s="3" t="n"/>
      <c r="G1464" s="3" t="n"/>
      <c r="H1464" s="3" t="n"/>
      <c r="I1464" s="3" t="n"/>
      <c r="J1464" s="3" t="n"/>
      <c r="K1464" s="3" t="n"/>
      <c r="L1464" s="3" t="n"/>
      <c r="M1464" s="3" t="n"/>
      <c r="N1464" s="3" t="n"/>
      <c r="O1464" s="3" t="n"/>
      <c r="P1464" s="3" t="n"/>
      <c r="Q1464" s="3" t="n"/>
      <c r="R1464" s="5">
        <f>IF(Q1464&lt;&gt;"是","排除",IF(OR(L1464="",M1464=""),"",IF(OR(L1464="未知",M1464="未知"),"未知",IF(AND(L1464="真",M1464="真"),"TP",IF(AND(L1464="真",M1464="假"),"FP",IF(AND(L1464="假",M1464="真"),"FN","TN"))))))</f>
        <v/>
      </c>
      <c r="S1464" s="3" t="n"/>
      <c r="T1464" s="3" t="n"/>
      <c r="U1464" s="3" t="n"/>
      <c r="V1464" s="3" t="n"/>
    </row>
    <row r="1465">
      <c r="A1465" s="3" t="n"/>
      <c r="B1465" s="3" t="n"/>
      <c r="C1465" s="3" t="n"/>
      <c r="D1465" s="4" t="n"/>
      <c r="E1465" s="3" t="n"/>
      <c r="F1465" s="3" t="n"/>
      <c r="G1465" s="3" t="n"/>
      <c r="H1465" s="3" t="n"/>
      <c r="I1465" s="3" t="n"/>
      <c r="J1465" s="3" t="n"/>
      <c r="K1465" s="3" t="n"/>
      <c r="L1465" s="3" t="n"/>
      <c r="M1465" s="3" t="n"/>
      <c r="N1465" s="3" t="n"/>
      <c r="O1465" s="3" t="n"/>
      <c r="P1465" s="3" t="n"/>
      <c r="Q1465" s="3" t="n"/>
      <c r="R1465" s="5">
        <f>IF(Q1465&lt;&gt;"是","排除",IF(OR(L1465="",M1465=""),"",IF(OR(L1465="未知",M1465="未知"),"未知",IF(AND(L1465="真",M1465="真"),"TP",IF(AND(L1465="真",M1465="假"),"FP",IF(AND(L1465="假",M1465="真"),"FN","TN"))))))</f>
        <v/>
      </c>
      <c r="S1465" s="3" t="n"/>
      <c r="T1465" s="3" t="n"/>
      <c r="U1465" s="3" t="n"/>
      <c r="V1465" s="3" t="n"/>
    </row>
    <row r="1466">
      <c r="A1466" s="3" t="n"/>
      <c r="B1466" s="3" t="n"/>
      <c r="C1466" s="3" t="n"/>
      <c r="D1466" s="4" t="n"/>
      <c r="E1466" s="3" t="n"/>
      <c r="F1466" s="3" t="n"/>
      <c r="G1466" s="3" t="n"/>
      <c r="H1466" s="3" t="n"/>
      <c r="I1466" s="3" t="n"/>
      <c r="J1466" s="3" t="n"/>
      <c r="K1466" s="3" t="n"/>
      <c r="L1466" s="3" t="n"/>
      <c r="M1466" s="3" t="n"/>
      <c r="N1466" s="3" t="n"/>
      <c r="O1466" s="3" t="n"/>
      <c r="P1466" s="3" t="n"/>
      <c r="Q1466" s="3" t="n"/>
      <c r="R1466" s="5">
        <f>IF(Q1466&lt;&gt;"是","排除",IF(OR(L1466="",M1466=""),"",IF(OR(L1466="未知",M1466="未知"),"未知",IF(AND(L1466="真",M1466="真"),"TP",IF(AND(L1466="真",M1466="假"),"FP",IF(AND(L1466="假",M1466="真"),"FN","TN"))))))</f>
        <v/>
      </c>
      <c r="S1466" s="3" t="n"/>
      <c r="T1466" s="3" t="n"/>
      <c r="U1466" s="3" t="n"/>
      <c r="V1466" s="3" t="n"/>
    </row>
    <row r="1467">
      <c r="A1467" s="3" t="n"/>
      <c r="B1467" s="3" t="n"/>
      <c r="C1467" s="3" t="n"/>
      <c r="D1467" s="4" t="n"/>
      <c r="E1467" s="3" t="n"/>
      <c r="F1467" s="3" t="n"/>
      <c r="G1467" s="3" t="n"/>
      <c r="H1467" s="3" t="n"/>
      <c r="I1467" s="3" t="n"/>
      <c r="J1467" s="3" t="n"/>
      <c r="K1467" s="3" t="n"/>
      <c r="L1467" s="3" t="n"/>
      <c r="M1467" s="3" t="n"/>
      <c r="N1467" s="3" t="n"/>
      <c r="O1467" s="3" t="n"/>
      <c r="P1467" s="3" t="n"/>
      <c r="Q1467" s="3" t="n"/>
      <c r="R1467" s="5">
        <f>IF(Q1467&lt;&gt;"是","排除",IF(OR(L1467="",M1467=""),"",IF(OR(L1467="未知",M1467="未知"),"未知",IF(AND(L1467="真",M1467="真"),"TP",IF(AND(L1467="真",M1467="假"),"FP",IF(AND(L1467="假",M1467="真"),"FN","TN"))))))</f>
        <v/>
      </c>
      <c r="S1467" s="3" t="n"/>
      <c r="T1467" s="3" t="n"/>
      <c r="U1467" s="3" t="n"/>
      <c r="V1467" s="3" t="n"/>
    </row>
    <row r="1468">
      <c r="A1468" s="3" t="n"/>
      <c r="B1468" s="3" t="n"/>
      <c r="C1468" s="3" t="n"/>
      <c r="D1468" s="4" t="n"/>
      <c r="E1468" s="3" t="n"/>
      <c r="F1468" s="3" t="n"/>
      <c r="G1468" s="3" t="n"/>
      <c r="H1468" s="3" t="n"/>
      <c r="I1468" s="3" t="n"/>
      <c r="J1468" s="3" t="n"/>
      <c r="K1468" s="3" t="n"/>
      <c r="L1468" s="3" t="n"/>
      <c r="M1468" s="3" t="n"/>
      <c r="N1468" s="3" t="n"/>
      <c r="O1468" s="3" t="n"/>
      <c r="P1468" s="3" t="n"/>
      <c r="Q1468" s="3" t="n"/>
      <c r="R1468" s="5">
        <f>IF(Q1468&lt;&gt;"是","排除",IF(OR(L1468="",M1468=""),"",IF(OR(L1468="未知",M1468="未知"),"未知",IF(AND(L1468="真",M1468="真"),"TP",IF(AND(L1468="真",M1468="假"),"FP",IF(AND(L1468="假",M1468="真"),"FN","TN"))))))</f>
        <v/>
      </c>
      <c r="S1468" s="3" t="n"/>
      <c r="T1468" s="3" t="n"/>
      <c r="U1468" s="3" t="n"/>
      <c r="V1468" s="3" t="n"/>
    </row>
    <row r="1469">
      <c r="A1469" s="3" t="n"/>
      <c r="B1469" s="3" t="n"/>
      <c r="C1469" s="3" t="n"/>
      <c r="D1469" s="4" t="n"/>
      <c r="E1469" s="3" t="n"/>
      <c r="F1469" s="3" t="n"/>
      <c r="G1469" s="3" t="n"/>
      <c r="H1469" s="3" t="n"/>
      <c r="I1469" s="3" t="n"/>
      <c r="J1469" s="3" t="n"/>
      <c r="K1469" s="3" t="n"/>
      <c r="L1469" s="3" t="n"/>
      <c r="M1469" s="3" t="n"/>
      <c r="N1469" s="3" t="n"/>
      <c r="O1469" s="3" t="n"/>
      <c r="P1469" s="3" t="n"/>
      <c r="Q1469" s="3" t="n"/>
      <c r="R1469" s="5">
        <f>IF(Q1469&lt;&gt;"是","排除",IF(OR(L1469="",M1469=""),"",IF(OR(L1469="未知",M1469="未知"),"未知",IF(AND(L1469="真",M1469="真"),"TP",IF(AND(L1469="真",M1469="假"),"FP",IF(AND(L1469="假",M1469="真"),"FN","TN"))))))</f>
        <v/>
      </c>
      <c r="S1469" s="3" t="n"/>
      <c r="T1469" s="3" t="n"/>
      <c r="U1469" s="3" t="n"/>
      <c r="V1469" s="3" t="n"/>
    </row>
    <row r="1470">
      <c r="A1470" s="3" t="n"/>
      <c r="B1470" s="3" t="n"/>
      <c r="C1470" s="3" t="n"/>
      <c r="D1470" s="4" t="n"/>
      <c r="E1470" s="3" t="n"/>
      <c r="F1470" s="3" t="n"/>
      <c r="G1470" s="3" t="n"/>
      <c r="H1470" s="3" t="n"/>
      <c r="I1470" s="3" t="n"/>
      <c r="J1470" s="3" t="n"/>
      <c r="K1470" s="3" t="n"/>
      <c r="L1470" s="3" t="n"/>
      <c r="M1470" s="3" t="n"/>
      <c r="N1470" s="3" t="n"/>
      <c r="O1470" s="3" t="n"/>
      <c r="P1470" s="3" t="n"/>
      <c r="Q1470" s="3" t="n"/>
      <c r="R1470" s="5">
        <f>IF(Q1470&lt;&gt;"是","排除",IF(OR(L1470="",M1470=""),"",IF(OR(L1470="未知",M1470="未知"),"未知",IF(AND(L1470="真",M1470="真"),"TP",IF(AND(L1470="真",M1470="假"),"FP",IF(AND(L1470="假",M1470="真"),"FN","TN"))))))</f>
        <v/>
      </c>
      <c r="S1470" s="3" t="n"/>
      <c r="T1470" s="3" t="n"/>
      <c r="U1470" s="3" t="n"/>
      <c r="V1470" s="3" t="n"/>
    </row>
    <row r="1471">
      <c r="A1471" s="3" t="n"/>
      <c r="B1471" s="3" t="n"/>
      <c r="C1471" s="3" t="n"/>
      <c r="D1471" s="4" t="n"/>
      <c r="E1471" s="3" t="n"/>
      <c r="F1471" s="3" t="n"/>
      <c r="G1471" s="3" t="n"/>
      <c r="H1471" s="3" t="n"/>
      <c r="I1471" s="3" t="n"/>
      <c r="J1471" s="3" t="n"/>
      <c r="K1471" s="3" t="n"/>
      <c r="L1471" s="3" t="n"/>
      <c r="M1471" s="3" t="n"/>
      <c r="N1471" s="3" t="n"/>
      <c r="O1471" s="3" t="n"/>
      <c r="P1471" s="3" t="n"/>
      <c r="Q1471" s="3" t="n"/>
      <c r="R1471" s="5">
        <f>IF(Q1471&lt;&gt;"是","排除",IF(OR(L1471="",M1471=""),"",IF(OR(L1471="未知",M1471="未知"),"未知",IF(AND(L1471="真",M1471="真"),"TP",IF(AND(L1471="真",M1471="假"),"FP",IF(AND(L1471="假",M1471="真"),"FN","TN"))))))</f>
        <v/>
      </c>
      <c r="S1471" s="3" t="n"/>
      <c r="T1471" s="3" t="n"/>
      <c r="U1471" s="3" t="n"/>
      <c r="V1471" s="3" t="n"/>
    </row>
    <row r="1472">
      <c r="A1472" s="3" t="n"/>
      <c r="B1472" s="3" t="n"/>
      <c r="C1472" s="3" t="n"/>
      <c r="D1472" s="4" t="n"/>
      <c r="E1472" s="3" t="n"/>
      <c r="F1472" s="3" t="n"/>
      <c r="G1472" s="3" t="n"/>
      <c r="H1472" s="3" t="n"/>
      <c r="I1472" s="3" t="n"/>
      <c r="J1472" s="3" t="n"/>
      <c r="K1472" s="3" t="n"/>
      <c r="L1472" s="3" t="n"/>
      <c r="M1472" s="3" t="n"/>
      <c r="N1472" s="3" t="n"/>
      <c r="O1472" s="3" t="n"/>
      <c r="P1472" s="3" t="n"/>
      <c r="Q1472" s="3" t="n"/>
      <c r="R1472" s="5">
        <f>IF(Q1472&lt;&gt;"是","排除",IF(OR(L1472="",M1472=""),"",IF(OR(L1472="未知",M1472="未知"),"未知",IF(AND(L1472="真",M1472="真"),"TP",IF(AND(L1472="真",M1472="假"),"FP",IF(AND(L1472="假",M1472="真"),"FN","TN"))))))</f>
        <v/>
      </c>
      <c r="S1472" s="3" t="n"/>
      <c r="T1472" s="3" t="n"/>
      <c r="U1472" s="3" t="n"/>
      <c r="V1472" s="3" t="n"/>
    </row>
    <row r="1473">
      <c r="A1473" s="3" t="n"/>
      <c r="B1473" s="3" t="n"/>
      <c r="C1473" s="3" t="n"/>
      <c r="D1473" s="4" t="n"/>
      <c r="E1473" s="3" t="n"/>
      <c r="F1473" s="3" t="n"/>
      <c r="G1473" s="3" t="n"/>
      <c r="H1473" s="3" t="n"/>
      <c r="I1473" s="3" t="n"/>
      <c r="J1473" s="3" t="n"/>
      <c r="K1473" s="3" t="n"/>
      <c r="L1473" s="3" t="n"/>
      <c r="M1473" s="3" t="n"/>
      <c r="N1473" s="3" t="n"/>
      <c r="O1473" s="3" t="n"/>
      <c r="P1473" s="3" t="n"/>
      <c r="Q1473" s="3" t="n"/>
      <c r="R1473" s="5">
        <f>IF(Q1473&lt;&gt;"是","排除",IF(OR(L1473="",M1473=""),"",IF(OR(L1473="未知",M1473="未知"),"未知",IF(AND(L1473="真",M1473="真"),"TP",IF(AND(L1473="真",M1473="假"),"FP",IF(AND(L1473="假",M1473="真"),"FN","TN"))))))</f>
        <v/>
      </c>
      <c r="S1473" s="3" t="n"/>
      <c r="T1473" s="3" t="n"/>
      <c r="U1473" s="3" t="n"/>
      <c r="V1473" s="3" t="n"/>
    </row>
    <row r="1474">
      <c r="A1474" s="3" t="n"/>
      <c r="B1474" s="3" t="n"/>
      <c r="C1474" s="3" t="n"/>
      <c r="D1474" s="4" t="n"/>
      <c r="E1474" s="3" t="n"/>
      <c r="F1474" s="3" t="n"/>
      <c r="G1474" s="3" t="n"/>
      <c r="H1474" s="3" t="n"/>
      <c r="I1474" s="3" t="n"/>
      <c r="J1474" s="3" t="n"/>
      <c r="K1474" s="3" t="n"/>
      <c r="L1474" s="3" t="n"/>
      <c r="M1474" s="3" t="n"/>
      <c r="N1474" s="3" t="n"/>
      <c r="O1474" s="3" t="n"/>
      <c r="P1474" s="3" t="n"/>
      <c r="Q1474" s="3" t="n"/>
      <c r="R1474" s="5">
        <f>IF(Q1474&lt;&gt;"是","排除",IF(OR(L1474="",M1474=""),"",IF(OR(L1474="未知",M1474="未知"),"未知",IF(AND(L1474="真",M1474="真"),"TP",IF(AND(L1474="真",M1474="假"),"FP",IF(AND(L1474="假",M1474="真"),"FN","TN"))))))</f>
        <v/>
      </c>
      <c r="S1474" s="3" t="n"/>
      <c r="T1474" s="3" t="n"/>
      <c r="U1474" s="3" t="n"/>
      <c r="V1474" s="3" t="n"/>
    </row>
    <row r="1475">
      <c r="A1475" s="3" t="n"/>
      <c r="B1475" s="3" t="n"/>
      <c r="C1475" s="3" t="n"/>
      <c r="D1475" s="4" t="n"/>
      <c r="E1475" s="3" t="n"/>
      <c r="F1475" s="3" t="n"/>
      <c r="G1475" s="3" t="n"/>
      <c r="H1475" s="3" t="n"/>
      <c r="I1475" s="3" t="n"/>
      <c r="J1475" s="3" t="n"/>
      <c r="K1475" s="3" t="n"/>
      <c r="L1475" s="3" t="n"/>
      <c r="M1475" s="3" t="n"/>
      <c r="N1475" s="3" t="n"/>
      <c r="O1475" s="3" t="n"/>
      <c r="P1475" s="3" t="n"/>
      <c r="Q1475" s="3" t="n"/>
      <c r="R1475" s="5">
        <f>IF(Q1475&lt;&gt;"是","排除",IF(OR(L1475="",M1475=""),"",IF(OR(L1475="未知",M1475="未知"),"未知",IF(AND(L1475="真",M1475="真"),"TP",IF(AND(L1475="真",M1475="假"),"FP",IF(AND(L1475="假",M1475="真"),"FN","TN"))))))</f>
        <v/>
      </c>
      <c r="S1475" s="3" t="n"/>
      <c r="T1475" s="3" t="n"/>
      <c r="U1475" s="3" t="n"/>
      <c r="V1475" s="3" t="n"/>
    </row>
    <row r="1476">
      <c r="A1476" s="3" t="n"/>
      <c r="B1476" s="3" t="n"/>
      <c r="C1476" s="3" t="n"/>
      <c r="D1476" s="4" t="n"/>
      <c r="E1476" s="3" t="n"/>
      <c r="F1476" s="3" t="n"/>
      <c r="G1476" s="3" t="n"/>
      <c r="H1476" s="3" t="n"/>
      <c r="I1476" s="3" t="n"/>
      <c r="J1476" s="3" t="n"/>
      <c r="K1476" s="3" t="n"/>
      <c r="L1476" s="3" t="n"/>
      <c r="M1476" s="3" t="n"/>
      <c r="N1476" s="3" t="n"/>
      <c r="O1476" s="3" t="n"/>
      <c r="P1476" s="3" t="n"/>
      <c r="Q1476" s="3" t="n"/>
      <c r="R1476" s="5">
        <f>IF(Q1476&lt;&gt;"是","排除",IF(OR(L1476="",M1476=""),"",IF(OR(L1476="未知",M1476="未知"),"未知",IF(AND(L1476="真",M1476="真"),"TP",IF(AND(L1476="真",M1476="假"),"FP",IF(AND(L1476="假",M1476="真"),"FN","TN"))))))</f>
        <v/>
      </c>
      <c r="S1476" s="3" t="n"/>
      <c r="T1476" s="3" t="n"/>
      <c r="U1476" s="3" t="n"/>
      <c r="V1476" s="3" t="n"/>
    </row>
    <row r="1477">
      <c r="A1477" s="3" t="n"/>
      <c r="B1477" s="3" t="n"/>
      <c r="C1477" s="3" t="n"/>
      <c r="D1477" s="4" t="n"/>
      <c r="E1477" s="3" t="n"/>
      <c r="F1477" s="3" t="n"/>
      <c r="G1477" s="3" t="n"/>
      <c r="H1477" s="3" t="n"/>
      <c r="I1477" s="3" t="n"/>
      <c r="J1477" s="3" t="n"/>
      <c r="K1477" s="3" t="n"/>
      <c r="L1477" s="3" t="n"/>
      <c r="M1477" s="3" t="n"/>
      <c r="N1477" s="3" t="n"/>
      <c r="O1477" s="3" t="n"/>
      <c r="P1477" s="3" t="n"/>
      <c r="Q1477" s="3" t="n"/>
      <c r="R1477" s="5">
        <f>IF(Q1477&lt;&gt;"是","排除",IF(OR(L1477="",M1477=""),"",IF(OR(L1477="未知",M1477="未知"),"未知",IF(AND(L1477="真",M1477="真"),"TP",IF(AND(L1477="真",M1477="假"),"FP",IF(AND(L1477="假",M1477="真"),"FN","TN"))))))</f>
        <v/>
      </c>
      <c r="S1477" s="3" t="n"/>
      <c r="T1477" s="3" t="n"/>
      <c r="U1477" s="3" t="n"/>
      <c r="V1477" s="3" t="n"/>
    </row>
    <row r="1478">
      <c r="A1478" s="3" t="n"/>
      <c r="B1478" s="3" t="n"/>
      <c r="C1478" s="3" t="n"/>
      <c r="D1478" s="4" t="n"/>
      <c r="E1478" s="3" t="n"/>
      <c r="F1478" s="3" t="n"/>
      <c r="G1478" s="3" t="n"/>
      <c r="H1478" s="3" t="n"/>
      <c r="I1478" s="3" t="n"/>
      <c r="J1478" s="3" t="n"/>
      <c r="K1478" s="3" t="n"/>
      <c r="L1478" s="3" t="n"/>
      <c r="M1478" s="3" t="n"/>
      <c r="N1478" s="3" t="n"/>
      <c r="O1478" s="3" t="n"/>
      <c r="P1478" s="3" t="n"/>
      <c r="Q1478" s="3" t="n"/>
      <c r="R1478" s="5">
        <f>IF(Q1478&lt;&gt;"是","排除",IF(OR(L1478="",M1478=""),"",IF(OR(L1478="未知",M1478="未知"),"未知",IF(AND(L1478="真",M1478="真"),"TP",IF(AND(L1478="真",M1478="假"),"FP",IF(AND(L1478="假",M1478="真"),"FN","TN"))))))</f>
        <v/>
      </c>
      <c r="S1478" s="3" t="n"/>
      <c r="T1478" s="3" t="n"/>
      <c r="U1478" s="3" t="n"/>
      <c r="V1478" s="3" t="n"/>
    </row>
    <row r="1479">
      <c r="A1479" s="3" t="n"/>
      <c r="B1479" s="3" t="n"/>
      <c r="C1479" s="3" t="n"/>
      <c r="D1479" s="4" t="n"/>
      <c r="E1479" s="3" t="n"/>
      <c r="F1479" s="3" t="n"/>
      <c r="G1479" s="3" t="n"/>
      <c r="H1479" s="3" t="n"/>
      <c r="I1479" s="3" t="n"/>
      <c r="J1479" s="3" t="n"/>
      <c r="K1479" s="3" t="n"/>
      <c r="L1479" s="3" t="n"/>
      <c r="M1479" s="3" t="n"/>
      <c r="N1479" s="3" t="n"/>
      <c r="O1479" s="3" t="n"/>
      <c r="P1479" s="3" t="n"/>
      <c r="Q1479" s="3" t="n"/>
      <c r="R1479" s="5">
        <f>IF(Q1479&lt;&gt;"是","排除",IF(OR(L1479="",M1479=""),"",IF(OR(L1479="未知",M1479="未知"),"未知",IF(AND(L1479="真",M1479="真"),"TP",IF(AND(L1479="真",M1479="假"),"FP",IF(AND(L1479="假",M1479="真"),"FN","TN"))))))</f>
        <v/>
      </c>
      <c r="S1479" s="3" t="n"/>
      <c r="T1479" s="3" t="n"/>
      <c r="U1479" s="3" t="n"/>
      <c r="V1479" s="3" t="n"/>
    </row>
    <row r="1480">
      <c r="A1480" s="3" t="n"/>
      <c r="B1480" s="3" t="n"/>
      <c r="C1480" s="3" t="n"/>
      <c r="D1480" s="4" t="n"/>
      <c r="E1480" s="3" t="n"/>
      <c r="F1480" s="3" t="n"/>
      <c r="G1480" s="3" t="n"/>
      <c r="H1480" s="3" t="n"/>
      <c r="I1480" s="3" t="n"/>
      <c r="J1480" s="3" t="n"/>
      <c r="K1480" s="3" t="n"/>
      <c r="L1480" s="3" t="n"/>
      <c r="M1480" s="3" t="n"/>
      <c r="N1480" s="3" t="n"/>
      <c r="O1480" s="3" t="n"/>
      <c r="P1480" s="3" t="n"/>
      <c r="Q1480" s="3" t="n"/>
      <c r="R1480" s="5">
        <f>IF(Q1480&lt;&gt;"是","排除",IF(OR(L1480="",M1480=""),"",IF(OR(L1480="未知",M1480="未知"),"未知",IF(AND(L1480="真",M1480="真"),"TP",IF(AND(L1480="真",M1480="假"),"FP",IF(AND(L1480="假",M1480="真"),"FN","TN"))))))</f>
        <v/>
      </c>
      <c r="S1480" s="3" t="n"/>
      <c r="T1480" s="3" t="n"/>
      <c r="U1480" s="3" t="n"/>
      <c r="V1480" s="3" t="n"/>
    </row>
    <row r="1481">
      <c r="A1481" s="3" t="n"/>
      <c r="B1481" s="3" t="n"/>
      <c r="C1481" s="3" t="n"/>
      <c r="D1481" s="4" t="n"/>
      <c r="E1481" s="3" t="n"/>
      <c r="F1481" s="3" t="n"/>
      <c r="G1481" s="3" t="n"/>
      <c r="H1481" s="3" t="n"/>
      <c r="I1481" s="3" t="n"/>
      <c r="J1481" s="3" t="n"/>
      <c r="K1481" s="3" t="n"/>
      <c r="L1481" s="3" t="n"/>
      <c r="M1481" s="3" t="n"/>
      <c r="N1481" s="3" t="n"/>
      <c r="O1481" s="3" t="n"/>
      <c r="P1481" s="3" t="n"/>
      <c r="Q1481" s="3" t="n"/>
      <c r="R1481" s="5">
        <f>IF(Q1481&lt;&gt;"是","排除",IF(OR(L1481="",M1481=""),"",IF(OR(L1481="未知",M1481="未知"),"未知",IF(AND(L1481="真",M1481="真"),"TP",IF(AND(L1481="真",M1481="假"),"FP",IF(AND(L1481="假",M1481="真"),"FN","TN"))))))</f>
        <v/>
      </c>
      <c r="S1481" s="3" t="n"/>
      <c r="T1481" s="3" t="n"/>
      <c r="U1481" s="3" t="n"/>
      <c r="V1481" s="3" t="n"/>
    </row>
    <row r="1482">
      <c r="A1482" s="3" t="n"/>
      <c r="B1482" s="3" t="n"/>
      <c r="C1482" s="3" t="n"/>
      <c r="D1482" s="4" t="n"/>
      <c r="E1482" s="3" t="n"/>
      <c r="F1482" s="3" t="n"/>
      <c r="G1482" s="3" t="n"/>
      <c r="H1482" s="3" t="n"/>
      <c r="I1482" s="3" t="n"/>
      <c r="J1482" s="3" t="n"/>
      <c r="K1482" s="3" t="n"/>
      <c r="L1482" s="3" t="n"/>
      <c r="M1482" s="3" t="n"/>
      <c r="N1482" s="3" t="n"/>
      <c r="O1482" s="3" t="n"/>
      <c r="P1482" s="3" t="n"/>
      <c r="Q1482" s="3" t="n"/>
      <c r="R1482" s="5">
        <f>IF(Q1482&lt;&gt;"是","排除",IF(OR(L1482="",M1482=""),"",IF(OR(L1482="未知",M1482="未知"),"未知",IF(AND(L1482="真",M1482="真"),"TP",IF(AND(L1482="真",M1482="假"),"FP",IF(AND(L1482="假",M1482="真"),"FN","TN"))))))</f>
        <v/>
      </c>
      <c r="S1482" s="3" t="n"/>
      <c r="T1482" s="3" t="n"/>
      <c r="U1482" s="3" t="n"/>
      <c r="V1482" s="3" t="n"/>
    </row>
    <row r="1483">
      <c r="A1483" s="3" t="n"/>
      <c r="B1483" s="3" t="n"/>
      <c r="C1483" s="3" t="n"/>
      <c r="D1483" s="4" t="n"/>
      <c r="E1483" s="3" t="n"/>
      <c r="F1483" s="3" t="n"/>
      <c r="G1483" s="3" t="n"/>
      <c r="H1483" s="3" t="n"/>
      <c r="I1483" s="3" t="n"/>
      <c r="J1483" s="3" t="n"/>
      <c r="K1483" s="3" t="n"/>
      <c r="L1483" s="3" t="n"/>
      <c r="M1483" s="3" t="n"/>
      <c r="N1483" s="3" t="n"/>
      <c r="O1483" s="3" t="n"/>
      <c r="P1483" s="3" t="n"/>
      <c r="Q1483" s="3" t="n"/>
      <c r="R1483" s="5">
        <f>IF(Q1483&lt;&gt;"是","排除",IF(OR(L1483="",M1483=""),"",IF(OR(L1483="未知",M1483="未知"),"未知",IF(AND(L1483="真",M1483="真"),"TP",IF(AND(L1483="真",M1483="假"),"FP",IF(AND(L1483="假",M1483="真"),"FN","TN"))))))</f>
        <v/>
      </c>
      <c r="S1483" s="3" t="n"/>
      <c r="T1483" s="3" t="n"/>
      <c r="U1483" s="3" t="n"/>
      <c r="V1483" s="3" t="n"/>
    </row>
    <row r="1484">
      <c r="A1484" s="3" t="n"/>
      <c r="B1484" s="3" t="n"/>
      <c r="C1484" s="3" t="n"/>
      <c r="D1484" s="4" t="n"/>
      <c r="E1484" s="3" t="n"/>
      <c r="F1484" s="3" t="n"/>
      <c r="G1484" s="3" t="n"/>
      <c r="H1484" s="3" t="n"/>
      <c r="I1484" s="3" t="n"/>
      <c r="J1484" s="3" t="n"/>
      <c r="K1484" s="3" t="n"/>
      <c r="L1484" s="3" t="n"/>
      <c r="M1484" s="3" t="n"/>
      <c r="N1484" s="3" t="n"/>
      <c r="O1484" s="3" t="n"/>
      <c r="P1484" s="3" t="n"/>
      <c r="Q1484" s="3" t="n"/>
      <c r="R1484" s="5">
        <f>IF(Q1484&lt;&gt;"是","排除",IF(OR(L1484="",M1484=""),"",IF(OR(L1484="未知",M1484="未知"),"未知",IF(AND(L1484="真",M1484="真"),"TP",IF(AND(L1484="真",M1484="假"),"FP",IF(AND(L1484="假",M1484="真"),"FN","TN"))))))</f>
        <v/>
      </c>
      <c r="S1484" s="3" t="n"/>
      <c r="T1484" s="3" t="n"/>
      <c r="U1484" s="3" t="n"/>
      <c r="V1484" s="3" t="n"/>
    </row>
    <row r="1485">
      <c r="A1485" s="3" t="n"/>
      <c r="B1485" s="3" t="n"/>
      <c r="C1485" s="3" t="n"/>
      <c r="D1485" s="4" t="n"/>
      <c r="E1485" s="3" t="n"/>
      <c r="F1485" s="3" t="n"/>
      <c r="G1485" s="3" t="n"/>
      <c r="H1485" s="3" t="n"/>
      <c r="I1485" s="3" t="n"/>
      <c r="J1485" s="3" t="n"/>
      <c r="K1485" s="3" t="n"/>
      <c r="L1485" s="3" t="n"/>
      <c r="M1485" s="3" t="n"/>
      <c r="N1485" s="3" t="n"/>
      <c r="O1485" s="3" t="n"/>
      <c r="P1485" s="3" t="n"/>
      <c r="Q1485" s="3" t="n"/>
      <c r="R1485" s="5">
        <f>IF(Q1485&lt;&gt;"是","排除",IF(OR(L1485="",M1485=""),"",IF(OR(L1485="未知",M1485="未知"),"未知",IF(AND(L1485="真",M1485="真"),"TP",IF(AND(L1485="真",M1485="假"),"FP",IF(AND(L1485="假",M1485="真"),"FN","TN"))))))</f>
        <v/>
      </c>
      <c r="S1485" s="3" t="n"/>
      <c r="T1485" s="3" t="n"/>
      <c r="U1485" s="3" t="n"/>
      <c r="V1485" s="3" t="n"/>
    </row>
    <row r="1486">
      <c r="A1486" s="3" t="n"/>
      <c r="B1486" s="3" t="n"/>
      <c r="C1486" s="3" t="n"/>
      <c r="D1486" s="4" t="n"/>
      <c r="E1486" s="3" t="n"/>
      <c r="F1486" s="3" t="n"/>
      <c r="G1486" s="3" t="n"/>
      <c r="H1486" s="3" t="n"/>
      <c r="I1486" s="3" t="n"/>
      <c r="J1486" s="3" t="n"/>
      <c r="K1486" s="3" t="n"/>
      <c r="L1486" s="3" t="n"/>
      <c r="M1486" s="3" t="n"/>
      <c r="N1486" s="3" t="n"/>
      <c r="O1486" s="3" t="n"/>
      <c r="P1486" s="3" t="n"/>
      <c r="Q1486" s="3" t="n"/>
      <c r="R1486" s="5">
        <f>IF(Q1486&lt;&gt;"是","排除",IF(OR(L1486="",M1486=""),"",IF(OR(L1486="未知",M1486="未知"),"未知",IF(AND(L1486="真",M1486="真"),"TP",IF(AND(L1486="真",M1486="假"),"FP",IF(AND(L1486="假",M1486="真"),"FN","TN"))))))</f>
        <v/>
      </c>
      <c r="S1486" s="3" t="n"/>
      <c r="T1486" s="3" t="n"/>
      <c r="U1486" s="3" t="n"/>
      <c r="V1486" s="3" t="n"/>
    </row>
    <row r="1487">
      <c r="A1487" s="3" t="n"/>
      <c r="B1487" s="3" t="n"/>
      <c r="C1487" s="3" t="n"/>
      <c r="D1487" s="4" t="n"/>
      <c r="E1487" s="3" t="n"/>
      <c r="F1487" s="3" t="n"/>
      <c r="G1487" s="3" t="n"/>
      <c r="H1487" s="3" t="n"/>
      <c r="I1487" s="3" t="n"/>
      <c r="J1487" s="3" t="n"/>
      <c r="K1487" s="3" t="n"/>
      <c r="L1487" s="3" t="n"/>
      <c r="M1487" s="3" t="n"/>
      <c r="N1487" s="3" t="n"/>
      <c r="O1487" s="3" t="n"/>
      <c r="P1487" s="3" t="n"/>
      <c r="Q1487" s="3" t="n"/>
      <c r="R1487" s="5">
        <f>IF(Q1487&lt;&gt;"是","排除",IF(OR(L1487="",M1487=""),"",IF(OR(L1487="未知",M1487="未知"),"未知",IF(AND(L1487="真",M1487="真"),"TP",IF(AND(L1487="真",M1487="假"),"FP",IF(AND(L1487="假",M1487="真"),"FN","TN"))))))</f>
        <v/>
      </c>
      <c r="S1487" s="3" t="n"/>
      <c r="T1487" s="3" t="n"/>
      <c r="U1487" s="3" t="n"/>
      <c r="V1487" s="3" t="n"/>
    </row>
    <row r="1488">
      <c r="A1488" s="3" t="n"/>
      <c r="B1488" s="3" t="n"/>
      <c r="C1488" s="3" t="n"/>
      <c r="D1488" s="4" t="n"/>
      <c r="E1488" s="3" t="n"/>
      <c r="F1488" s="3" t="n"/>
      <c r="G1488" s="3" t="n"/>
      <c r="H1488" s="3" t="n"/>
      <c r="I1488" s="3" t="n"/>
      <c r="J1488" s="3" t="n"/>
      <c r="K1488" s="3" t="n"/>
      <c r="L1488" s="3" t="n"/>
      <c r="M1488" s="3" t="n"/>
      <c r="N1488" s="3" t="n"/>
      <c r="O1488" s="3" t="n"/>
      <c r="P1488" s="3" t="n"/>
      <c r="Q1488" s="3" t="n"/>
      <c r="R1488" s="5">
        <f>IF(Q1488&lt;&gt;"是","排除",IF(OR(L1488="",M1488=""),"",IF(OR(L1488="未知",M1488="未知"),"未知",IF(AND(L1488="真",M1488="真"),"TP",IF(AND(L1488="真",M1488="假"),"FP",IF(AND(L1488="假",M1488="真"),"FN","TN"))))))</f>
        <v/>
      </c>
      <c r="S1488" s="3" t="n"/>
      <c r="T1488" s="3" t="n"/>
      <c r="U1488" s="3" t="n"/>
      <c r="V1488" s="3" t="n"/>
    </row>
    <row r="1489">
      <c r="A1489" s="3" t="n"/>
      <c r="B1489" s="3" t="n"/>
      <c r="C1489" s="3" t="n"/>
      <c r="D1489" s="4" t="n"/>
      <c r="E1489" s="3" t="n"/>
      <c r="F1489" s="3" t="n"/>
      <c r="G1489" s="3" t="n"/>
      <c r="H1489" s="3" t="n"/>
      <c r="I1489" s="3" t="n"/>
      <c r="J1489" s="3" t="n"/>
      <c r="K1489" s="3" t="n"/>
      <c r="L1489" s="3" t="n"/>
      <c r="M1489" s="3" t="n"/>
      <c r="N1489" s="3" t="n"/>
      <c r="O1489" s="3" t="n"/>
      <c r="P1489" s="3" t="n"/>
      <c r="Q1489" s="3" t="n"/>
      <c r="R1489" s="5">
        <f>IF(Q1489&lt;&gt;"是","排除",IF(OR(L1489="",M1489=""),"",IF(OR(L1489="未知",M1489="未知"),"未知",IF(AND(L1489="真",M1489="真"),"TP",IF(AND(L1489="真",M1489="假"),"FP",IF(AND(L1489="假",M1489="真"),"FN","TN"))))))</f>
        <v/>
      </c>
      <c r="S1489" s="3" t="n"/>
      <c r="T1489" s="3" t="n"/>
      <c r="U1489" s="3" t="n"/>
      <c r="V1489" s="3" t="n"/>
    </row>
    <row r="1490">
      <c r="A1490" s="3" t="n"/>
      <c r="B1490" s="3" t="n"/>
      <c r="C1490" s="3" t="n"/>
      <c r="D1490" s="4" t="n"/>
      <c r="E1490" s="3" t="n"/>
      <c r="F1490" s="3" t="n"/>
      <c r="G1490" s="3" t="n"/>
      <c r="H1490" s="3" t="n"/>
      <c r="I1490" s="3" t="n"/>
      <c r="J1490" s="3" t="n"/>
      <c r="K1490" s="3" t="n"/>
      <c r="L1490" s="3" t="n"/>
      <c r="M1490" s="3" t="n"/>
      <c r="N1490" s="3" t="n"/>
      <c r="O1490" s="3" t="n"/>
      <c r="P1490" s="3" t="n"/>
      <c r="Q1490" s="3" t="n"/>
      <c r="R1490" s="5">
        <f>IF(Q1490&lt;&gt;"是","排除",IF(OR(L1490="",M1490=""),"",IF(OR(L1490="未知",M1490="未知"),"未知",IF(AND(L1490="真",M1490="真"),"TP",IF(AND(L1490="真",M1490="假"),"FP",IF(AND(L1490="假",M1490="真"),"FN","TN"))))))</f>
        <v/>
      </c>
      <c r="S1490" s="3" t="n"/>
      <c r="T1490" s="3" t="n"/>
      <c r="U1490" s="3" t="n"/>
      <c r="V1490" s="3" t="n"/>
    </row>
    <row r="1491">
      <c r="A1491" s="3" t="n"/>
      <c r="B1491" s="3" t="n"/>
      <c r="C1491" s="3" t="n"/>
      <c r="D1491" s="4" t="n"/>
      <c r="E1491" s="3" t="n"/>
      <c r="F1491" s="3" t="n"/>
      <c r="G1491" s="3" t="n"/>
      <c r="H1491" s="3" t="n"/>
      <c r="I1491" s="3" t="n"/>
      <c r="J1491" s="3" t="n"/>
      <c r="K1491" s="3" t="n"/>
      <c r="L1491" s="3" t="n"/>
      <c r="M1491" s="3" t="n"/>
      <c r="N1491" s="3" t="n"/>
      <c r="O1491" s="3" t="n"/>
      <c r="P1491" s="3" t="n"/>
      <c r="Q1491" s="3" t="n"/>
      <c r="R1491" s="5">
        <f>IF(Q1491&lt;&gt;"是","排除",IF(OR(L1491="",M1491=""),"",IF(OR(L1491="未知",M1491="未知"),"未知",IF(AND(L1491="真",M1491="真"),"TP",IF(AND(L1491="真",M1491="假"),"FP",IF(AND(L1491="假",M1491="真"),"FN","TN"))))))</f>
        <v/>
      </c>
      <c r="S1491" s="3" t="n"/>
      <c r="T1491" s="3" t="n"/>
      <c r="U1491" s="3" t="n"/>
      <c r="V1491" s="3" t="n"/>
    </row>
    <row r="1492">
      <c r="A1492" s="3" t="n"/>
      <c r="B1492" s="3" t="n"/>
      <c r="C1492" s="3" t="n"/>
      <c r="D1492" s="4" t="n"/>
      <c r="E1492" s="3" t="n"/>
      <c r="F1492" s="3" t="n"/>
      <c r="G1492" s="3" t="n"/>
      <c r="H1492" s="3" t="n"/>
      <c r="I1492" s="3" t="n"/>
      <c r="J1492" s="3" t="n"/>
      <c r="K1492" s="3" t="n"/>
      <c r="L1492" s="3" t="n"/>
      <c r="M1492" s="3" t="n"/>
      <c r="N1492" s="3" t="n"/>
      <c r="O1492" s="3" t="n"/>
      <c r="P1492" s="3" t="n"/>
      <c r="Q1492" s="3" t="n"/>
      <c r="R1492" s="5">
        <f>IF(Q1492&lt;&gt;"是","排除",IF(OR(L1492="",M1492=""),"",IF(OR(L1492="未知",M1492="未知"),"未知",IF(AND(L1492="真",M1492="真"),"TP",IF(AND(L1492="真",M1492="假"),"FP",IF(AND(L1492="假",M1492="真"),"FN","TN"))))))</f>
        <v/>
      </c>
      <c r="S1492" s="3" t="n"/>
      <c r="T1492" s="3" t="n"/>
      <c r="U1492" s="3" t="n"/>
      <c r="V1492" s="3" t="n"/>
    </row>
    <row r="1493">
      <c r="A1493" s="3" t="n"/>
      <c r="B1493" s="3" t="n"/>
      <c r="C1493" s="3" t="n"/>
      <c r="D1493" s="4" t="n"/>
      <c r="E1493" s="3" t="n"/>
      <c r="F1493" s="3" t="n"/>
      <c r="G1493" s="3" t="n"/>
      <c r="H1493" s="3" t="n"/>
      <c r="I1493" s="3" t="n"/>
      <c r="J1493" s="3" t="n"/>
      <c r="K1493" s="3" t="n"/>
      <c r="L1493" s="3" t="n"/>
      <c r="M1493" s="3" t="n"/>
      <c r="N1493" s="3" t="n"/>
      <c r="O1493" s="3" t="n"/>
      <c r="P1493" s="3" t="n"/>
      <c r="Q1493" s="3" t="n"/>
      <c r="R1493" s="5">
        <f>IF(Q1493&lt;&gt;"是","排除",IF(OR(L1493="",M1493=""),"",IF(OR(L1493="未知",M1493="未知"),"未知",IF(AND(L1493="真",M1493="真"),"TP",IF(AND(L1493="真",M1493="假"),"FP",IF(AND(L1493="假",M1493="真"),"FN","TN"))))))</f>
        <v/>
      </c>
      <c r="S1493" s="3" t="n"/>
      <c r="T1493" s="3" t="n"/>
      <c r="U1493" s="3" t="n"/>
      <c r="V1493" s="3" t="n"/>
    </row>
    <row r="1494">
      <c r="A1494" s="3" t="n"/>
      <c r="B1494" s="3" t="n"/>
      <c r="C1494" s="3" t="n"/>
      <c r="D1494" s="4" t="n"/>
      <c r="E1494" s="3" t="n"/>
      <c r="F1494" s="3" t="n"/>
      <c r="G1494" s="3" t="n"/>
      <c r="H1494" s="3" t="n"/>
      <c r="I1494" s="3" t="n"/>
      <c r="J1494" s="3" t="n"/>
      <c r="K1494" s="3" t="n"/>
      <c r="L1494" s="3" t="n"/>
      <c r="M1494" s="3" t="n"/>
      <c r="N1494" s="3" t="n"/>
      <c r="O1494" s="3" t="n"/>
      <c r="P1494" s="3" t="n"/>
      <c r="Q1494" s="3" t="n"/>
      <c r="R1494" s="5">
        <f>IF(Q1494&lt;&gt;"是","排除",IF(OR(L1494="",M1494=""),"",IF(OR(L1494="未知",M1494="未知"),"未知",IF(AND(L1494="真",M1494="真"),"TP",IF(AND(L1494="真",M1494="假"),"FP",IF(AND(L1494="假",M1494="真"),"FN","TN"))))))</f>
        <v/>
      </c>
      <c r="S1494" s="3" t="n"/>
      <c r="T1494" s="3" t="n"/>
      <c r="U1494" s="3" t="n"/>
      <c r="V1494" s="3" t="n"/>
    </row>
    <row r="1495">
      <c r="A1495" s="3" t="n"/>
      <c r="B1495" s="3" t="n"/>
      <c r="C1495" s="3" t="n"/>
      <c r="D1495" s="4" t="n"/>
      <c r="E1495" s="3" t="n"/>
      <c r="F1495" s="3" t="n"/>
      <c r="G1495" s="3" t="n"/>
      <c r="H1495" s="3" t="n"/>
      <c r="I1495" s="3" t="n"/>
      <c r="J1495" s="3" t="n"/>
      <c r="K1495" s="3" t="n"/>
      <c r="L1495" s="3" t="n"/>
      <c r="M1495" s="3" t="n"/>
      <c r="N1495" s="3" t="n"/>
      <c r="O1495" s="3" t="n"/>
      <c r="P1495" s="3" t="n"/>
      <c r="Q1495" s="3" t="n"/>
      <c r="R1495" s="5">
        <f>IF(Q1495&lt;&gt;"是","排除",IF(OR(L1495="",M1495=""),"",IF(OR(L1495="未知",M1495="未知"),"未知",IF(AND(L1495="真",M1495="真"),"TP",IF(AND(L1495="真",M1495="假"),"FP",IF(AND(L1495="假",M1495="真"),"FN","TN"))))))</f>
        <v/>
      </c>
      <c r="S1495" s="3" t="n"/>
      <c r="T1495" s="3" t="n"/>
      <c r="U1495" s="3" t="n"/>
      <c r="V1495" s="3" t="n"/>
    </row>
    <row r="1496">
      <c r="A1496" s="3" t="n"/>
      <c r="B1496" s="3" t="n"/>
      <c r="C1496" s="3" t="n"/>
      <c r="D1496" s="4" t="n"/>
      <c r="E1496" s="3" t="n"/>
      <c r="F1496" s="3" t="n"/>
      <c r="G1496" s="3" t="n"/>
      <c r="H1496" s="3" t="n"/>
      <c r="I1496" s="3" t="n"/>
      <c r="J1496" s="3" t="n"/>
      <c r="K1496" s="3" t="n"/>
      <c r="L1496" s="3" t="n"/>
      <c r="M1496" s="3" t="n"/>
      <c r="N1496" s="3" t="n"/>
      <c r="O1496" s="3" t="n"/>
      <c r="P1496" s="3" t="n"/>
      <c r="Q1496" s="3" t="n"/>
      <c r="R1496" s="5">
        <f>IF(Q1496&lt;&gt;"是","排除",IF(OR(L1496="",M1496=""),"",IF(OR(L1496="未知",M1496="未知"),"未知",IF(AND(L1496="真",M1496="真"),"TP",IF(AND(L1496="真",M1496="假"),"FP",IF(AND(L1496="假",M1496="真"),"FN","TN"))))))</f>
        <v/>
      </c>
      <c r="S1496" s="3" t="n"/>
      <c r="T1496" s="3" t="n"/>
      <c r="U1496" s="3" t="n"/>
      <c r="V1496" s="3" t="n"/>
    </row>
    <row r="1497">
      <c r="A1497" s="3" t="n"/>
      <c r="B1497" s="3" t="n"/>
      <c r="C1497" s="3" t="n"/>
      <c r="D1497" s="4" t="n"/>
      <c r="E1497" s="3" t="n"/>
      <c r="F1497" s="3" t="n"/>
      <c r="G1497" s="3" t="n"/>
      <c r="H1497" s="3" t="n"/>
      <c r="I1497" s="3" t="n"/>
      <c r="J1497" s="3" t="n"/>
      <c r="K1497" s="3" t="n"/>
      <c r="L1497" s="3" t="n"/>
      <c r="M1497" s="3" t="n"/>
      <c r="N1497" s="3" t="n"/>
      <c r="O1497" s="3" t="n"/>
      <c r="P1497" s="3" t="n"/>
      <c r="Q1497" s="3" t="n"/>
      <c r="R1497" s="5">
        <f>IF(Q1497&lt;&gt;"是","排除",IF(OR(L1497="",M1497=""),"",IF(OR(L1497="未知",M1497="未知"),"未知",IF(AND(L1497="真",M1497="真"),"TP",IF(AND(L1497="真",M1497="假"),"FP",IF(AND(L1497="假",M1497="真"),"FN","TN"))))))</f>
        <v/>
      </c>
      <c r="S1497" s="3" t="n"/>
      <c r="T1497" s="3" t="n"/>
      <c r="U1497" s="3" t="n"/>
      <c r="V1497" s="3" t="n"/>
    </row>
    <row r="1498">
      <c r="A1498" s="3" t="n"/>
      <c r="B1498" s="3" t="n"/>
      <c r="C1498" s="3" t="n"/>
      <c r="D1498" s="4" t="n"/>
      <c r="E1498" s="3" t="n"/>
      <c r="F1498" s="3" t="n"/>
      <c r="G1498" s="3" t="n"/>
      <c r="H1498" s="3" t="n"/>
      <c r="I1498" s="3" t="n"/>
      <c r="J1498" s="3" t="n"/>
      <c r="K1498" s="3" t="n"/>
      <c r="L1498" s="3" t="n"/>
      <c r="M1498" s="3" t="n"/>
      <c r="N1498" s="3" t="n"/>
      <c r="O1498" s="3" t="n"/>
      <c r="P1498" s="3" t="n"/>
      <c r="Q1498" s="3" t="n"/>
      <c r="R1498" s="5">
        <f>IF(Q1498&lt;&gt;"是","排除",IF(OR(L1498="",M1498=""),"",IF(OR(L1498="未知",M1498="未知"),"未知",IF(AND(L1498="真",M1498="真"),"TP",IF(AND(L1498="真",M1498="假"),"FP",IF(AND(L1498="假",M1498="真"),"FN","TN"))))))</f>
        <v/>
      </c>
      <c r="S1498" s="3" t="n"/>
      <c r="T1498" s="3" t="n"/>
      <c r="U1498" s="3" t="n"/>
      <c r="V1498" s="3" t="n"/>
    </row>
    <row r="1499">
      <c r="A1499" s="3" t="n"/>
      <c r="B1499" s="3" t="n"/>
      <c r="C1499" s="3" t="n"/>
      <c r="D1499" s="4" t="n"/>
      <c r="E1499" s="3" t="n"/>
      <c r="F1499" s="3" t="n"/>
      <c r="G1499" s="3" t="n"/>
      <c r="H1499" s="3" t="n"/>
      <c r="I1499" s="3" t="n"/>
      <c r="J1499" s="3" t="n"/>
      <c r="K1499" s="3" t="n"/>
      <c r="L1499" s="3" t="n"/>
      <c r="M1499" s="3" t="n"/>
      <c r="N1499" s="3" t="n"/>
      <c r="O1499" s="3" t="n"/>
      <c r="P1499" s="3" t="n"/>
      <c r="Q1499" s="3" t="n"/>
      <c r="R1499" s="5">
        <f>IF(Q1499&lt;&gt;"是","排除",IF(OR(L1499="",M1499=""),"",IF(OR(L1499="未知",M1499="未知"),"未知",IF(AND(L1499="真",M1499="真"),"TP",IF(AND(L1499="真",M1499="假"),"FP",IF(AND(L1499="假",M1499="真"),"FN","TN"))))))</f>
        <v/>
      </c>
      <c r="S1499" s="3" t="n"/>
      <c r="T1499" s="3" t="n"/>
      <c r="U1499" s="3" t="n"/>
      <c r="V1499" s="3" t="n"/>
    </row>
    <row r="1500">
      <c r="A1500" s="3" t="n"/>
      <c r="B1500" s="3" t="n"/>
      <c r="C1500" s="3" t="n"/>
      <c r="D1500" s="4" t="n"/>
      <c r="E1500" s="3" t="n"/>
      <c r="F1500" s="3" t="n"/>
      <c r="G1500" s="3" t="n"/>
      <c r="H1500" s="3" t="n"/>
      <c r="I1500" s="3" t="n"/>
      <c r="J1500" s="3" t="n"/>
      <c r="K1500" s="3" t="n"/>
      <c r="L1500" s="3" t="n"/>
      <c r="M1500" s="3" t="n"/>
      <c r="N1500" s="3" t="n"/>
      <c r="O1500" s="3" t="n"/>
      <c r="P1500" s="3" t="n"/>
      <c r="Q1500" s="3" t="n"/>
      <c r="R1500" s="5">
        <f>IF(Q1500&lt;&gt;"是","排除",IF(OR(L1500="",M1500=""),"",IF(OR(L1500="未知",M1500="未知"),"未知",IF(AND(L1500="真",M1500="真"),"TP",IF(AND(L1500="真",M1500="假"),"FP",IF(AND(L1500="假",M1500="真"),"FN","TN"))))))</f>
        <v/>
      </c>
      <c r="S1500" s="3" t="n"/>
      <c r="T1500" s="3" t="n"/>
      <c r="U1500" s="3" t="n"/>
      <c r="V1500" s="3" t="n"/>
    </row>
    <row r="1501">
      <c r="A1501" s="3" t="n"/>
      <c r="B1501" s="3" t="n"/>
      <c r="C1501" s="3" t="n"/>
      <c r="D1501" s="4" t="n"/>
      <c r="E1501" s="3" t="n"/>
      <c r="F1501" s="3" t="n"/>
      <c r="G1501" s="3" t="n"/>
      <c r="H1501" s="3" t="n"/>
      <c r="I1501" s="3" t="n"/>
      <c r="J1501" s="3" t="n"/>
      <c r="K1501" s="3" t="n"/>
      <c r="L1501" s="3" t="n"/>
      <c r="M1501" s="3" t="n"/>
      <c r="N1501" s="3" t="n"/>
      <c r="O1501" s="3" t="n"/>
      <c r="P1501" s="3" t="n"/>
      <c r="Q1501" s="3" t="n"/>
      <c r="R1501" s="5">
        <f>IF(Q1501&lt;&gt;"是","排除",IF(OR(L1501="",M1501=""),"",IF(OR(L1501="未知",M1501="未知"),"未知",IF(AND(L1501="真",M1501="真"),"TP",IF(AND(L1501="真",M1501="假"),"FP",IF(AND(L1501="假",M1501="真"),"FN","TN"))))))</f>
        <v/>
      </c>
      <c r="S1501" s="3" t="n"/>
      <c r="T1501" s="3" t="n"/>
      <c r="U1501" s="3" t="n"/>
      <c r="V1501" s="3" t="n"/>
    </row>
    <row r="1502">
      <c r="A1502" s="3" t="n"/>
      <c r="B1502" s="3" t="n"/>
      <c r="C1502" s="3" t="n"/>
      <c r="D1502" s="4" t="n"/>
      <c r="E1502" s="3" t="n"/>
      <c r="F1502" s="3" t="n"/>
      <c r="G1502" s="3" t="n"/>
      <c r="H1502" s="3" t="n"/>
      <c r="I1502" s="3" t="n"/>
      <c r="J1502" s="3" t="n"/>
      <c r="K1502" s="3" t="n"/>
      <c r="L1502" s="3" t="n"/>
      <c r="M1502" s="3" t="n"/>
      <c r="N1502" s="3" t="n"/>
      <c r="O1502" s="3" t="n"/>
      <c r="P1502" s="3" t="n"/>
      <c r="Q1502" s="3" t="n"/>
      <c r="R1502" s="5">
        <f>IF(Q1502&lt;&gt;"是","排除",IF(OR(L1502="",M1502=""),"",IF(OR(L1502="未知",M1502="未知"),"未知",IF(AND(L1502="真",M1502="真"),"TP",IF(AND(L1502="真",M1502="假"),"FP",IF(AND(L1502="假",M1502="真"),"FN","TN"))))))</f>
        <v/>
      </c>
      <c r="S1502" s="3" t="n"/>
      <c r="T1502" s="3" t="n"/>
      <c r="U1502" s="3" t="n"/>
      <c r="V1502" s="3" t="n"/>
    </row>
    <row r="1503">
      <c r="A1503" s="3" t="n"/>
      <c r="B1503" s="3" t="n"/>
      <c r="C1503" s="3" t="n"/>
      <c r="D1503" s="4" t="n"/>
      <c r="E1503" s="3" t="n"/>
      <c r="F1503" s="3" t="n"/>
      <c r="G1503" s="3" t="n"/>
      <c r="H1503" s="3" t="n"/>
      <c r="I1503" s="3" t="n"/>
      <c r="J1503" s="3" t="n"/>
      <c r="K1503" s="3" t="n"/>
      <c r="L1503" s="3" t="n"/>
      <c r="M1503" s="3" t="n"/>
      <c r="N1503" s="3" t="n"/>
      <c r="O1503" s="3" t="n"/>
      <c r="P1503" s="3" t="n"/>
      <c r="Q1503" s="3" t="n"/>
      <c r="R1503" s="5">
        <f>IF(Q1503&lt;&gt;"是","排除",IF(OR(L1503="",M1503=""),"",IF(OR(L1503="未知",M1503="未知"),"未知",IF(AND(L1503="真",M1503="真"),"TP",IF(AND(L1503="真",M1503="假"),"FP",IF(AND(L1503="假",M1503="真"),"FN","TN"))))))</f>
        <v/>
      </c>
      <c r="S1503" s="3" t="n"/>
      <c r="T1503" s="3" t="n"/>
      <c r="U1503" s="3" t="n"/>
      <c r="V1503" s="3" t="n"/>
    </row>
    <row r="1504">
      <c r="A1504" s="3" t="n"/>
      <c r="B1504" s="3" t="n"/>
      <c r="C1504" s="3" t="n"/>
      <c r="D1504" s="4" t="n"/>
      <c r="E1504" s="3" t="n"/>
      <c r="F1504" s="3" t="n"/>
      <c r="G1504" s="3" t="n"/>
      <c r="H1504" s="3" t="n"/>
      <c r="I1504" s="3" t="n"/>
      <c r="J1504" s="3" t="n"/>
      <c r="K1504" s="3" t="n"/>
      <c r="L1504" s="3" t="n"/>
      <c r="M1504" s="3" t="n"/>
      <c r="N1504" s="3" t="n"/>
      <c r="O1504" s="3" t="n"/>
      <c r="P1504" s="3" t="n"/>
      <c r="Q1504" s="3" t="n"/>
      <c r="R1504" s="5">
        <f>IF(Q1504&lt;&gt;"是","排除",IF(OR(L1504="",M1504=""),"",IF(OR(L1504="未知",M1504="未知"),"未知",IF(AND(L1504="真",M1504="真"),"TP",IF(AND(L1504="真",M1504="假"),"FP",IF(AND(L1504="假",M1504="真"),"FN","TN"))))))</f>
        <v/>
      </c>
      <c r="S1504" s="3" t="n"/>
      <c r="T1504" s="3" t="n"/>
      <c r="U1504" s="3" t="n"/>
      <c r="V1504" s="3" t="n"/>
    </row>
    <row r="1505">
      <c r="A1505" s="3" t="n"/>
      <c r="B1505" s="3" t="n"/>
      <c r="C1505" s="3" t="n"/>
      <c r="D1505" s="4" t="n"/>
      <c r="E1505" s="3" t="n"/>
      <c r="F1505" s="3" t="n"/>
      <c r="G1505" s="3" t="n"/>
      <c r="H1505" s="3" t="n"/>
      <c r="I1505" s="3" t="n"/>
      <c r="J1505" s="3" t="n"/>
      <c r="K1505" s="3" t="n"/>
      <c r="L1505" s="3" t="n"/>
      <c r="M1505" s="3" t="n"/>
      <c r="N1505" s="3" t="n"/>
      <c r="O1505" s="3" t="n"/>
      <c r="P1505" s="3" t="n"/>
      <c r="Q1505" s="3" t="n"/>
      <c r="R1505" s="5">
        <f>IF(Q1505&lt;&gt;"是","排除",IF(OR(L1505="",M1505=""),"",IF(OR(L1505="未知",M1505="未知"),"未知",IF(AND(L1505="真",M1505="真"),"TP",IF(AND(L1505="真",M1505="假"),"FP",IF(AND(L1505="假",M1505="真"),"FN","TN"))))))</f>
        <v/>
      </c>
      <c r="S1505" s="3" t="n"/>
      <c r="T1505" s="3" t="n"/>
      <c r="U1505" s="3" t="n"/>
      <c r="V1505" s="3" t="n"/>
    </row>
    <row r="1506">
      <c r="A1506" s="3" t="n"/>
      <c r="B1506" s="3" t="n"/>
      <c r="C1506" s="3" t="n"/>
      <c r="D1506" s="4" t="n"/>
      <c r="E1506" s="3" t="n"/>
      <c r="F1506" s="3" t="n"/>
      <c r="G1506" s="3" t="n"/>
      <c r="H1506" s="3" t="n"/>
      <c r="I1506" s="3" t="n"/>
      <c r="J1506" s="3" t="n"/>
      <c r="K1506" s="3" t="n"/>
      <c r="L1506" s="3" t="n"/>
      <c r="M1506" s="3" t="n"/>
      <c r="N1506" s="3" t="n"/>
      <c r="O1506" s="3" t="n"/>
      <c r="P1506" s="3" t="n"/>
      <c r="Q1506" s="3" t="n"/>
      <c r="R1506" s="5">
        <f>IF(Q1506&lt;&gt;"是","排除",IF(OR(L1506="",M1506=""),"",IF(OR(L1506="未知",M1506="未知"),"未知",IF(AND(L1506="真",M1506="真"),"TP",IF(AND(L1506="真",M1506="假"),"FP",IF(AND(L1506="假",M1506="真"),"FN","TN"))))))</f>
        <v/>
      </c>
      <c r="S1506" s="3" t="n"/>
      <c r="T1506" s="3" t="n"/>
      <c r="U1506" s="3" t="n"/>
      <c r="V1506" s="3" t="n"/>
    </row>
    <row r="1507">
      <c r="A1507" s="3" t="n"/>
      <c r="B1507" s="3" t="n"/>
      <c r="C1507" s="3" t="n"/>
      <c r="D1507" s="4" t="n"/>
      <c r="E1507" s="3" t="n"/>
      <c r="F1507" s="3" t="n"/>
      <c r="G1507" s="3" t="n"/>
      <c r="H1507" s="3" t="n"/>
      <c r="I1507" s="3" t="n"/>
      <c r="J1507" s="3" t="n"/>
      <c r="K1507" s="3" t="n"/>
      <c r="L1507" s="3" t="n"/>
      <c r="M1507" s="3" t="n"/>
      <c r="N1507" s="3" t="n"/>
      <c r="O1507" s="3" t="n"/>
      <c r="P1507" s="3" t="n"/>
      <c r="Q1507" s="3" t="n"/>
      <c r="R1507" s="5">
        <f>IF(Q1507&lt;&gt;"是","排除",IF(OR(L1507="",M1507=""),"",IF(OR(L1507="未知",M1507="未知"),"未知",IF(AND(L1507="真",M1507="真"),"TP",IF(AND(L1507="真",M1507="假"),"FP",IF(AND(L1507="假",M1507="真"),"FN","TN"))))))</f>
        <v/>
      </c>
      <c r="S1507" s="3" t="n"/>
      <c r="T1507" s="3" t="n"/>
      <c r="U1507" s="3" t="n"/>
      <c r="V1507" s="3" t="n"/>
    </row>
    <row r="1508">
      <c r="A1508" s="3" t="n"/>
      <c r="B1508" s="3" t="n"/>
      <c r="C1508" s="3" t="n"/>
      <c r="D1508" s="4" t="n"/>
      <c r="E1508" s="3" t="n"/>
      <c r="F1508" s="3" t="n"/>
      <c r="G1508" s="3" t="n"/>
      <c r="H1508" s="3" t="n"/>
      <c r="I1508" s="3" t="n"/>
      <c r="J1508" s="3" t="n"/>
      <c r="K1508" s="3" t="n"/>
      <c r="L1508" s="3" t="n"/>
      <c r="M1508" s="3" t="n"/>
      <c r="N1508" s="3" t="n"/>
      <c r="O1508" s="3" t="n"/>
      <c r="P1508" s="3" t="n"/>
      <c r="Q1508" s="3" t="n"/>
      <c r="R1508" s="5">
        <f>IF(Q1508&lt;&gt;"是","排除",IF(OR(L1508="",M1508=""),"",IF(OR(L1508="未知",M1508="未知"),"未知",IF(AND(L1508="真",M1508="真"),"TP",IF(AND(L1508="真",M1508="假"),"FP",IF(AND(L1508="假",M1508="真"),"FN","TN"))))))</f>
        <v/>
      </c>
      <c r="S1508" s="3" t="n"/>
      <c r="T1508" s="3" t="n"/>
      <c r="U1508" s="3" t="n"/>
      <c r="V1508" s="3" t="n"/>
    </row>
    <row r="1509">
      <c r="A1509" s="3" t="n"/>
      <c r="B1509" s="3" t="n"/>
      <c r="C1509" s="3" t="n"/>
      <c r="D1509" s="4" t="n"/>
      <c r="E1509" s="3" t="n"/>
      <c r="F1509" s="3" t="n"/>
      <c r="G1509" s="3" t="n"/>
      <c r="H1509" s="3" t="n"/>
      <c r="I1509" s="3" t="n"/>
      <c r="J1509" s="3" t="n"/>
      <c r="K1509" s="3" t="n"/>
      <c r="L1509" s="3" t="n"/>
      <c r="M1509" s="3" t="n"/>
      <c r="N1509" s="3" t="n"/>
      <c r="O1509" s="3" t="n"/>
      <c r="P1509" s="3" t="n"/>
      <c r="Q1509" s="3" t="n"/>
      <c r="R1509" s="5">
        <f>IF(Q1509&lt;&gt;"是","排除",IF(OR(L1509="",M1509=""),"",IF(OR(L1509="未知",M1509="未知"),"未知",IF(AND(L1509="真",M1509="真"),"TP",IF(AND(L1509="真",M1509="假"),"FP",IF(AND(L1509="假",M1509="真"),"FN","TN"))))))</f>
        <v/>
      </c>
      <c r="S1509" s="3" t="n"/>
      <c r="T1509" s="3" t="n"/>
      <c r="U1509" s="3" t="n"/>
      <c r="V1509" s="3" t="n"/>
    </row>
    <row r="1510">
      <c r="A1510" s="3" t="n"/>
      <c r="B1510" s="3" t="n"/>
      <c r="C1510" s="3" t="n"/>
      <c r="D1510" s="4" t="n"/>
      <c r="E1510" s="3" t="n"/>
      <c r="F1510" s="3" t="n"/>
      <c r="G1510" s="3" t="n"/>
      <c r="H1510" s="3" t="n"/>
      <c r="I1510" s="3" t="n"/>
      <c r="J1510" s="3" t="n"/>
      <c r="K1510" s="3" t="n"/>
      <c r="L1510" s="3" t="n"/>
      <c r="M1510" s="3" t="n"/>
      <c r="N1510" s="3" t="n"/>
      <c r="O1510" s="3" t="n"/>
      <c r="P1510" s="3" t="n"/>
      <c r="Q1510" s="3" t="n"/>
      <c r="R1510" s="5">
        <f>IF(Q1510&lt;&gt;"是","排除",IF(OR(L1510="",M1510=""),"",IF(OR(L1510="未知",M1510="未知"),"未知",IF(AND(L1510="真",M1510="真"),"TP",IF(AND(L1510="真",M1510="假"),"FP",IF(AND(L1510="假",M1510="真"),"FN","TN"))))))</f>
        <v/>
      </c>
      <c r="S1510" s="3" t="n"/>
      <c r="T1510" s="3" t="n"/>
      <c r="U1510" s="3" t="n"/>
      <c r="V1510" s="3" t="n"/>
    </row>
    <row r="1511">
      <c r="A1511" s="3" t="n"/>
      <c r="B1511" s="3" t="n"/>
      <c r="C1511" s="3" t="n"/>
      <c r="D1511" s="4" t="n"/>
      <c r="E1511" s="3" t="n"/>
      <c r="F1511" s="3" t="n"/>
      <c r="G1511" s="3" t="n"/>
      <c r="H1511" s="3" t="n"/>
      <c r="I1511" s="3" t="n"/>
      <c r="J1511" s="3" t="n"/>
      <c r="K1511" s="3" t="n"/>
      <c r="L1511" s="3" t="n"/>
      <c r="M1511" s="3" t="n"/>
      <c r="N1511" s="3" t="n"/>
      <c r="O1511" s="3" t="n"/>
      <c r="P1511" s="3" t="n"/>
      <c r="Q1511" s="3" t="n"/>
      <c r="R1511" s="5">
        <f>IF(Q1511&lt;&gt;"是","排除",IF(OR(L1511="",M1511=""),"",IF(OR(L1511="未知",M1511="未知"),"未知",IF(AND(L1511="真",M1511="真"),"TP",IF(AND(L1511="真",M1511="假"),"FP",IF(AND(L1511="假",M1511="真"),"FN","TN"))))))</f>
        <v/>
      </c>
      <c r="S1511" s="3" t="n"/>
      <c r="T1511" s="3" t="n"/>
      <c r="U1511" s="3" t="n"/>
      <c r="V1511" s="3" t="n"/>
    </row>
    <row r="1512">
      <c r="A1512" s="3" t="n"/>
      <c r="B1512" s="3" t="n"/>
      <c r="C1512" s="3" t="n"/>
      <c r="D1512" s="4" t="n"/>
      <c r="E1512" s="3" t="n"/>
      <c r="F1512" s="3" t="n"/>
      <c r="G1512" s="3" t="n"/>
      <c r="H1512" s="3" t="n"/>
      <c r="I1512" s="3" t="n"/>
      <c r="J1512" s="3" t="n"/>
      <c r="K1512" s="3" t="n"/>
      <c r="L1512" s="3" t="n"/>
      <c r="M1512" s="3" t="n"/>
      <c r="N1512" s="3" t="n"/>
      <c r="O1512" s="3" t="n"/>
      <c r="P1512" s="3" t="n"/>
      <c r="Q1512" s="3" t="n"/>
      <c r="R1512" s="5">
        <f>IF(Q1512&lt;&gt;"是","排除",IF(OR(L1512="",M1512=""),"",IF(OR(L1512="未知",M1512="未知"),"未知",IF(AND(L1512="真",M1512="真"),"TP",IF(AND(L1512="真",M1512="假"),"FP",IF(AND(L1512="假",M1512="真"),"FN","TN"))))))</f>
        <v/>
      </c>
      <c r="S1512" s="3" t="n"/>
      <c r="T1512" s="3" t="n"/>
      <c r="U1512" s="3" t="n"/>
      <c r="V1512" s="3" t="n"/>
    </row>
    <row r="1513">
      <c r="A1513" s="3" t="n"/>
      <c r="B1513" s="3" t="n"/>
      <c r="C1513" s="3" t="n"/>
      <c r="D1513" s="4" t="n"/>
      <c r="E1513" s="3" t="n"/>
      <c r="F1513" s="3" t="n"/>
      <c r="G1513" s="3" t="n"/>
      <c r="H1513" s="3" t="n"/>
      <c r="I1513" s="3" t="n"/>
      <c r="J1513" s="3" t="n"/>
      <c r="K1513" s="3" t="n"/>
      <c r="L1513" s="3" t="n"/>
      <c r="M1513" s="3" t="n"/>
      <c r="N1513" s="3" t="n"/>
      <c r="O1513" s="3" t="n"/>
      <c r="P1513" s="3" t="n"/>
      <c r="Q1513" s="3" t="n"/>
      <c r="R1513" s="5">
        <f>IF(Q1513&lt;&gt;"是","排除",IF(OR(L1513="",M1513=""),"",IF(OR(L1513="未知",M1513="未知"),"未知",IF(AND(L1513="真",M1513="真"),"TP",IF(AND(L1513="真",M1513="假"),"FP",IF(AND(L1513="假",M1513="真"),"FN","TN"))))))</f>
        <v/>
      </c>
      <c r="S1513" s="3" t="n"/>
      <c r="T1513" s="3" t="n"/>
      <c r="U1513" s="3" t="n"/>
      <c r="V1513" s="3" t="n"/>
    </row>
    <row r="1514">
      <c r="A1514" s="3" t="n"/>
      <c r="B1514" s="3" t="n"/>
      <c r="C1514" s="3" t="n"/>
      <c r="D1514" s="4" t="n"/>
      <c r="E1514" s="3" t="n"/>
      <c r="F1514" s="3" t="n"/>
      <c r="G1514" s="3" t="n"/>
      <c r="H1514" s="3" t="n"/>
      <c r="I1514" s="3" t="n"/>
      <c r="J1514" s="3" t="n"/>
      <c r="K1514" s="3" t="n"/>
      <c r="L1514" s="3" t="n"/>
      <c r="M1514" s="3" t="n"/>
      <c r="N1514" s="3" t="n"/>
      <c r="O1514" s="3" t="n"/>
      <c r="P1514" s="3" t="n"/>
      <c r="Q1514" s="3" t="n"/>
      <c r="R1514" s="5">
        <f>IF(Q1514&lt;&gt;"是","排除",IF(OR(L1514="",M1514=""),"",IF(OR(L1514="未知",M1514="未知"),"未知",IF(AND(L1514="真",M1514="真"),"TP",IF(AND(L1514="真",M1514="假"),"FP",IF(AND(L1514="假",M1514="真"),"FN","TN"))))))</f>
        <v/>
      </c>
      <c r="S1514" s="3" t="n"/>
      <c r="T1514" s="3" t="n"/>
      <c r="U1514" s="3" t="n"/>
      <c r="V1514" s="3" t="n"/>
    </row>
    <row r="1515">
      <c r="A1515" s="3" t="n"/>
      <c r="B1515" s="3" t="n"/>
      <c r="C1515" s="3" t="n"/>
      <c r="D1515" s="4" t="n"/>
      <c r="E1515" s="3" t="n"/>
      <c r="F1515" s="3" t="n"/>
      <c r="G1515" s="3" t="n"/>
      <c r="H1515" s="3" t="n"/>
      <c r="I1515" s="3" t="n"/>
      <c r="J1515" s="3" t="n"/>
      <c r="K1515" s="3" t="n"/>
      <c r="L1515" s="3" t="n"/>
      <c r="M1515" s="3" t="n"/>
      <c r="N1515" s="3" t="n"/>
      <c r="O1515" s="3" t="n"/>
      <c r="P1515" s="3" t="n"/>
      <c r="Q1515" s="3" t="n"/>
      <c r="R1515" s="5">
        <f>IF(Q1515&lt;&gt;"是","排除",IF(OR(L1515="",M1515=""),"",IF(OR(L1515="未知",M1515="未知"),"未知",IF(AND(L1515="真",M1515="真"),"TP",IF(AND(L1515="真",M1515="假"),"FP",IF(AND(L1515="假",M1515="真"),"FN","TN"))))))</f>
        <v/>
      </c>
      <c r="S1515" s="3" t="n"/>
      <c r="T1515" s="3" t="n"/>
      <c r="U1515" s="3" t="n"/>
      <c r="V1515" s="3" t="n"/>
    </row>
    <row r="1516">
      <c r="A1516" s="3" t="n"/>
      <c r="B1516" s="3" t="n"/>
      <c r="C1516" s="3" t="n"/>
      <c r="D1516" s="4" t="n"/>
      <c r="E1516" s="3" t="n"/>
      <c r="F1516" s="3" t="n"/>
      <c r="G1516" s="3" t="n"/>
      <c r="H1516" s="3" t="n"/>
      <c r="I1516" s="3" t="n"/>
      <c r="J1516" s="3" t="n"/>
      <c r="K1516" s="3" t="n"/>
      <c r="L1516" s="3" t="n"/>
      <c r="M1516" s="3" t="n"/>
      <c r="N1516" s="3" t="n"/>
      <c r="O1516" s="3" t="n"/>
      <c r="P1516" s="3" t="n"/>
      <c r="Q1516" s="3" t="n"/>
      <c r="R1516" s="5">
        <f>IF(Q1516&lt;&gt;"是","排除",IF(OR(L1516="",M1516=""),"",IF(OR(L1516="未知",M1516="未知"),"未知",IF(AND(L1516="真",M1516="真"),"TP",IF(AND(L1516="真",M1516="假"),"FP",IF(AND(L1516="假",M1516="真"),"FN","TN"))))))</f>
        <v/>
      </c>
      <c r="S1516" s="3" t="n"/>
      <c r="T1516" s="3" t="n"/>
      <c r="U1516" s="3" t="n"/>
      <c r="V1516" s="3" t="n"/>
    </row>
    <row r="1517">
      <c r="A1517" s="3" t="n"/>
      <c r="B1517" s="3" t="n"/>
      <c r="C1517" s="3" t="n"/>
      <c r="D1517" s="4" t="n"/>
      <c r="E1517" s="3" t="n"/>
      <c r="F1517" s="3" t="n"/>
      <c r="G1517" s="3" t="n"/>
      <c r="H1517" s="3" t="n"/>
      <c r="I1517" s="3" t="n"/>
      <c r="J1517" s="3" t="n"/>
      <c r="K1517" s="3" t="n"/>
      <c r="L1517" s="3" t="n"/>
      <c r="M1517" s="3" t="n"/>
      <c r="N1517" s="3" t="n"/>
      <c r="O1517" s="3" t="n"/>
      <c r="P1517" s="3" t="n"/>
      <c r="Q1517" s="3" t="n"/>
      <c r="R1517" s="5">
        <f>IF(Q1517&lt;&gt;"是","排除",IF(OR(L1517="",M1517=""),"",IF(OR(L1517="未知",M1517="未知"),"未知",IF(AND(L1517="真",M1517="真"),"TP",IF(AND(L1517="真",M1517="假"),"FP",IF(AND(L1517="假",M1517="真"),"FN","TN"))))))</f>
        <v/>
      </c>
      <c r="S1517" s="3" t="n"/>
      <c r="T1517" s="3" t="n"/>
      <c r="U1517" s="3" t="n"/>
      <c r="V1517" s="3" t="n"/>
    </row>
    <row r="1518">
      <c r="A1518" s="3" t="n"/>
      <c r="B1518" s="3" t="n"/>
      <c r="C1518" s="3" t="n"/>
      <c r="D1518" s="4" t="n"/>
      <c r="E1518" s="3" t="n"/>
      <c r="F1518" s="3" t="n"/>
      <c r="G1518" s="3" t="n"/>
      <c r="H1518" s="3" t="n"/>
      <c r="I1518" s="3" t="n"/>
      <c r="J1518" s="3" t="n"/>
      <c r="K1518" s="3" t="n"/>
      <c r="L1518" s="3" t="n"/>
      <c r="M1518" s="3" t="n"/>
      <c r="N1518" s="3" t="n"/>
      <c r="O1518" s="3" t="n"/>
      <c r="P1518" s="3" t="n"/>
      <c r="Q1518" s="3" t="n"/>
      <c r="R1518" s="5">
        <f>IF(Q1518&lt;&gt;"是","排除",IF(OR(L1518="",M1518=""),"",IF(OR(L1518="未知",M1518="未知"),"未知",IF(AND(L1518="真",M1518="真"),"TP",IF(AND(L1518="真",M1518="假"),"FP",IF(AND(L1518="假",M1518="真"),"FN","TN"))))))</f>
        <v/>
      </c>
      <c r="S1518" s="3" t="n"/>
      <c r="T1518" s="3" t="n"/>
      <c r="U1518" s="3" t="n"/>
      <c r="V1518" s="3" t="n"/>
    </row>
    <row r="1519">
      <c r="A1519" s="3" t="n"/>
      <c r="B1519" s="3" t="n"/>
      <c r="C1519" s="3" t="n"/>
      <c r="D1519" s="4" t="n"/>
      <c r="E1519" s="3" t="n"/>
      <c r="F1519" s="3" t="n"/>
      <c r="G1519" s="3" t="n"/>
      <c r="H1519" s="3" t="n"/>
      <c r="I1519" s="3" t="n"/>
      <c r="J1519" s="3" t="n"/>
      <c r="K1519" s="3" t="n"/>
      <c r="L1519" s="3" t="n"/>
      <c r="M1519" s="3" t="n"/>
      <c r="N1519" s="3" t="n"/>
      <c r="O1519" s="3" t="n"/>
      <c r="P1519" s="3" t="n"/>
      <c r="Q1519" s="3" t="n"/>
      <c r="R1519" s="5">
        <f>IF(Q1519&lt;&gt;"是","排除",IF(OR(L1519="",M1519=""),"",IF(OR(L1519="未知",M1519="未知"),"未知",IF(AND(L1519="真",M1519="真"),"TP",IF(AND(L1519="真",M1519="假"),"FP",IF(AND(L1519="假",M1519="真"),"FN","TN"))))))</f>
        <v/>
      </c>
      <c r="S1519" s="3" t="n"/>
      <c r="T1519" s="3" t="n"/>
      <c r="U1519" s="3" t="n"/>
      <c r="V1519" s="3" t="n"/>
    </row>
    <row r="1520">
      <c r="A1520" s="3" t="n"/>
      <c r="B1520" s="3" t="n"/>
      <c r="C1520" s="3" t="n"/>
      <c r="D1520" s="4" t="n"/>
      <c r="E1520" s="3" t="n"/>
      <c r="F1520" s="3" t="n"/>
      <c r="G1520" s="3" t="n"/>
      <c r="H1520" s="3" t="n"/>
      <c r="I1520" s="3" t="n"/>
      <c r="J1520" s="3" t="n"/>
      <c r="K1520" s="3" t="n"/>
      <c r="L1520" s="3" t="n"/>
      <c r="M1520" s="3" t="n"/>
      <c r="N1520" s="3" t="n"/>
      <c r="O1520" s="3" t="n"/>
      <c r="P1520" s="3" t="n"/>
      <c r="Q1520" s="3" t="n"/>
      <c r="R1520" s="5">
        <f>IF(Q1520&lt;&gt;"是","排除",IF(OR(L1520="",M1520=""),"",IF(OR(L1520="未知",M1520="未知"),"未知",IF(AND(L1520="真",M1520="真"),"TP",IF(AND(L1520="真",M1520="假"),"FP",IF(AND(L1520="假",M1520="真"),"FN","TN"))))))</f>
        <v/>
      </c>
      <c r="S1520" s="3" t="n"/>
      <c r="T1520" s="3" t="n"/>
      <c r="U1520" s="3" t="n"/>
      <c r="V1520" s="3" t="n"/>
    </row>
    <row r="1521">
      <c r="A1521" s="3" t="n"/>
      <c r="B1521" s="3" t="n"/>
      <c r="C1521" s="3" t="n"/>
      <c r="D1521" s="4" t="n"/>
      <c r="E1521" s="3" t="n"/>
      <c r="F1521" s="3" t="n"/>
      <c r="G1521" s="3" t="n"/>
      <c r="H1521" s="3" t="n"/>
      <c r="I1521" s="3" t="n"/>
      <c r="J1521" s="3" t="n"/>
      <c r="K1521" s="3" t="n"/>
      <c r="L1521" s="3" t="n"/>
      <c r="M1521" s="3" t="n"/>
      <c r="N1521" s="3" t="n"/>
      <c r="O1521" s="3" t="n"/>
      <c r="P1521" s="3" t="n"/>
      <c r="Q1521" s="3" t="n"/>
      <c r="R1521" s="5">
        <f>IF(Q1521&lt;&gt;"是","排除",IF(OR(L1521="",M1521=""),"",IF(OR(L1521="未知",M1521="未知"),"未知",IF(AND(L1521="真",M1521="真"),"TP",IF(AND(L1521="真",M1521="假"),"FP",IF(AND(L1521="假",M1521="真"),"FN","TN"))))))</f>
        <v/>
      </c>
      <c r="S1521" s="3" t="n"/>
      <c r="T1521" s="3" t="n"/>
      <c r="U1521" s="3" t="n"/>
      <c r="V1521" s="3" t="n"/>
    </row>
    <row r="1522">
      <c r="A1522" s="3" t="n"/>
      <c r="B1522" s="3" t="n"/>
      <c r="C1522" s="3" t="n"/>
      <c r="D1522" s="4" t="n"/>
      <c r="E1522" s="3" t="n"/>
      <c r="F1522" s="3" t="n"/>
      <c r="G1522" s="3" t="n"/>
      <c r="H1522" s="3" t="n"/>
      <c r="I1522" s="3" t="n"/>
      <c r="J1522" s="3" t="n"/>
      <c r="K1522" s="3" t="n"/>
      <c r="L1522" s="3" t="n"/>
      <c r="M1522" s="3" t="n"/>
      <c r="N1522" s="3" t="n"/>
      <c r="O1522" s="3" t="n"/>
      <c r="P1522" s="3" t="n"/>
      <c r="Q1522" s="3" t="n"/>
      <c r="R1522" s="5">
        <f>IF(Q1522&lt;&gt;"是","排除",IF(OR(L1522="",M1522=""),"",IF(OR(L1522="未知",M1522="未知"),"未知",IF(AND(L1522="真",M1522="真"),"TP",IF(AND(L1522="真",M1522="假"),"FP",IF(AND(L1522="假",M1522="真"),"FN","TN"))))))</f>
        <v/>
      </c>
      <c r="S1522" s="3" t="n"/>
      <c r="T1522" s="3" t="n"/>
      <c r="U1522" s="3" t="n"/>
      <c r="V1522" s="3" t="n"/>
    </row>
    <row r="1523">
      <c r="A1523" s="3" t="n"/>
      <c r="B1523" s="3" t="n"/>
      <c r="C1523" s="3" t="n"/>
      <c r="D1523" s="4" t="n"/>
      <c r="E1523" s="3" t="n"/>
      <c r="F1523" s="3" t="n"/>
      <c r="G1523" s="3" t="n"/>
      <c r="H1523" s="3" t="n"/>
      <c r="I1523" s="3" t="n"/>
      <c r="J1523" s="3" t="n"/>
      <c r="K1523" s="3" t="n"/>
      <c r="L1523" s="3" t="n"/>
      <c r="M1523" s="3" t="n"/>
      <c r="N1523" s="3" t="n"/>
      <c r="O1523" s="3" t="n"/>
      <c r="P1523" s="3" t="n"/>
      <c r="Q1523" s="3" t="n"/>
      <c r="R1523" s="5">
        <f>IF(Q1523&lt;&gt;"是","排除",IF(OR(L1523="",M1523=""),"",IF(OR(L1523="未知",M1523="未知"),"未知",IF(AND(L1523="真",M1523="真"),"TP",IF(AND(L1523="真",M1523="假"),"FP",IF(AND(L1523="假",M1523="真"),"FN","TN"))))))</f>
        <v/>
      </c>
      <c r="S1523" s="3" t="n"/>
      <c r="T1523" s="3" t="n"/>
      <c r="U1523" s="3" t="n"/>
      <c r="V1523" s="3" t="n"/>
    </row>
    <row r="1524">
      <c r="A1524" s="3" t="n"/>
      <c r="B1524" s="3" t="n"/>
      <c r="C1524" s="3" t="n"/>
      <c r="D1524" s="4" t="n"/>
      <c r="E1524" s="3" t="n"/>
      <c r="F1524" s="3" t="n"/>
      <c r="G1524" s="3" t="n"/>
      <c r="H1524" s="3" t="n"/>
      <c r="I1524" s="3" t="n"/>
      <c r="J1524" s="3" t="n"/>
      <c r="K1524" s="3" t="n"/>
      <c r="L1524" s="3" t="n"/>
      <c r="M1524" s="3" t="n"/>
      <c r="N1524" s="3" t="n"/>
      <c r="O1524" s="3" t="n"/>
      <c r="P1524" s="3" t="n"/>
      <c r="Q1524" s="3" t="n"/>
      <c r="R1524" s="5">
        <f>IF(Q1524&lt;&gt;"是","排除",IF(OR(L1524="",M1524=""),"",IF(OR(L1524="未知",M1524="未知"),"未知",IF(AND(L1524="真",M1524="真"),"TP",IF(AND(L1524="真",M1524="假"),"FP",IF(AND(L1524="假",M1524="真"),"FN","TN"))))))</f>
        <v/>
      </c>
      <c r="S1524" s="3" t="n"/>
      <c r="T1524" s="3" t="n"/>
      <c r="U1524" s="3" t="n"/>
      <c r="V1524" s="3" t="n"/>
    </row>
    <row r="1525">
      <c r="A1525" s="3" t="n"/>
      <c r="B1525" s="3" t="n"/>
      <c r="C1525" s="3" t="n"/>
      <c r="D1525" s="4" t="n"/>
      <c r="E1525" s="3" t="n"/>
      <c r="F1525" s="3" t="n"/>
      <c r="G1525" s="3" t="n"/>
      <c r="H1525" s="3" t="n"/>
      <c r="I1525" s="3" t="n"/>
      <c r="J1525" s="3" t="n"/>
      <c r="K1525" s="3" t="n"/>
      <c r="L1525" s="3" t="n"/>
      <c r="M1525" s="3" t="n"/>
      <c r="N1525" s="3" t="n"/>
      <c r="O1525" s="3" t="n"/>
      <c r="P1525" s="3" t="n"/>
      <c r="Q1525" s="3" t="n"/>
      <c r="R1525" s="5">
        <f>IF(Q1525&lt;&gt;"是","排除",IF(OR(L1525="",M1525=""),"",IF(OR(L1525="未知",M1525="未知"),"未知",IF(AND(L1525="真",M1525="真"),"TP",IF(AND(L1525="真",M1525="假"),"FP",IF(AND(L1525="假",M1525="真"),"FN","TN"))))))</f>
        <v/>
      </c>
      <c r="S1525" s="3" t="n"/>
      <c r="T1525" s="3" t="n"/>
      <c r="U1525" s="3" t="n"/>
      <c r="V1525" s="3" t="n"/>
    </row>
    <row r="1526">
      <c r="A1526" s="3" t="n"/>
      <c r="B1526" s="3" t="n"/>
      <c r="C1526" s="3" t="n"/>
      <c r="D1526" s="4" t="n"/>
      <c r="E1526" s="3" t="n"/>
      <c r="F1526" s="3" t="n"/>
      <c r="G1526" s="3" t="n"/>
      <c r="H1526" s="3" t="n"/>
      <c r="I1526" s="3" t="n"/>
      <c r="J1526" s="3" t="n"/>
      <c r="K1526" s="3" t="n"/>
      <c r="L1526" s="3" t="n"/>
      <c r="M1526" s="3" t="n"/>
      <c r="N1526" s="3" t="n"/>
      <c r="O1526" s="3" t="n"/>
      <c r="P1526" s="3" t="n"/>
      <c r="Q1526" s="3" t="n"/>
      <c r="R1526" s="5">
        <f>IF(Q1526&lt;&gt;"是","排除",IF(OR(L1526="",M1526=""),"",IF(OR(L1526="未知",M1526="未知"),"未知",IF(AND(L1526="真",M1526="真"),"TP",IF(AND(L1526="真",M1526="假"),"FP",IF(AND(L1526="假",M1526="真"),"FN","TN"))))))</f>
        <v/>
      </c>
      <c r="S1526" s="3" t="n"/>
      <c r="T1526" s="3" t="n"/>
      <c r="U1526" s="3" t="n"/>
      <c r="V1526" s="3" t="n"/>
    </row>
    <row r="1527">
      <c r="A1527" s="3" t="n"/>
      <c r="B1527" s="3" t="n"/>
      <c r="C1527" s="3" t="n"/>
      <c r="D1527" s="4" t="n"/>
      <c r="E1527" s="3" t="n"/>
      <c r="F1527" s="3" t="n"/>
      <c r="G1527" s="3" t="n"/>
      <c r="H1527" s="3" t="n"/>
      <c r="I1527" s="3" t="n"/>
      <c r="J1527" s="3" t="n"/>
      <c r="K1527" s="3" t="n"/>
      <c r="L1527" s="3" t="n"/>
      <c r="M1527" s="3" t="n"/>
      <c r="N1527" s="3" t="n"/>
      <c r="O1527" s="3" t="n"/>
      <c r="P1527" s="3" t="n"/>
      <c r="Q1527" s="3" t="n"/>
      <c r="R1527" s="5">
        <f>IF(Q1527&lt;&gt;"是","排除",IF(OR(L1527="",M1527=""),"",IF(OR(L1527="未知",M1527="未知"),"未知",IF(AND(L1527="真",M1527="真"),"TP",IF(AND(L1527="真",M1527="假"),"FP",IF(AND(L1527="假",M1527="真"),"FN","TN"))))))</f>
        <v/>
      </c>
      <c r="S1527" s="3" t="n"/>
      <c r="T1527" s="3" t="n"/>
      <c r="U1527" s="3" t="n"/>
      <c r="V1527" s="3" t="n"/>
    </row>
    <row r="1528">
      <c r="A1528" s="3" t="n"/>
      <c r="B1528" s="3" t="n"/>
      <c r="C1528" s="3" t="n"/>
      <c r="D1528" s="4" t="n"/>
      <c r="E1528" s="3" t="n"/>
      <c r="F1528" s="3" t="n"/>
      <c r="G1528" s="3" t="n"/>
      <c r="H1528" s="3" t="n"/>
      <c r="I1528" s="3" t="n"/>
      <c r="J1528" s="3" t="n"/>
      <c r="K1528" s="3" t="n"/>
      <c r="L1528" s="3" t="n"/>
      <c r="M1528" s="3" t="n"/>
      <c r="N1528" s="3" t="n"/>
      <c r="O1528" s="3" t="n"/>
      <c r="P1528" s="3" t="n"/>
      <c r="Q1528" s="3" t="n"/>
      <c r="R1528" s="5">
        <f>IF(Q1528&lt;&gt;"是","排除",IF(OR(L1528="",M1528=""),"",IF(OR(L1528="未知",M1528="未知"),"未知",IF(AND(L1528="真",M1528="真"),"TP",IF(AND(L1528="真",M1528="假"),"FP",IF(AND(L1528="假",M1528="真"),"FN","TN"))))))</f>
        <v/>
      </c>
      <c r="S1528" s="3" t="n"/>
      <c r="T1528" s="3" t="n"/>
      <c r="U1528" s="3" t="n"/>
      <c r="V1528" s="3" t="n"/>
    </row>
    <row r="1529">
      <c r="A1529" s="3" t="n"/>
      <c r="B1529" s="3" t="n"/>
      <c r="C1529" s="3" t="n"/>
      <c r="D1529" s="4" t="n"/>
      <c r="E1529" s="3" t="n"/>
      <c r="F1529" s="3" t="n"/>
      <c r="G1529" s="3" t="n"/>
      <c r="H1529" s="3" t="n"/>
      <c r="I1529" s="3" t="n"/>
      <c r="J1529" s="3" t="n"/>
      <c r="K1529" s="3" t="n"/>
      <c r="L1529" s="3" t="n"/>
      <c r="M1529" s="3" t="n"/>
      <c r="N1529" s="3" t="n"/>
      <c r="O1529" s="3" t="n"/>
      <c r="P1529" s="3" t="n"/>
      <c r="Q1529" s="3" t="n"/>
      <c r="R1529" s="5">
        <f>IF(Q1529&lt;&gt;"是","排除",IF(OR(L1529="",M1529=""),"",IF(OR(L1529="未知",M1529="未知"),"未知",IF(AND(L1529="真",M1529="真"),"TP",IF(AND(L1529="真",M1529="假"),"FP",IF(AND(L1529="假",M1529="真"),"FN","TN"))))))</f>
        <v/>
      </c>
      <c r="S1529" s="3" t="n"/>
      <c r="T1529" s="3" t="n"/>
      <c r="U1529" s="3" t="n"/>
      <c r="V1529" s="3" t="n"/>
    </row>
    <row r="1530">
      <c r="A1530" s="3" t="n"/>
      <c r="B1530" s="3" t="n"/>
      <c r="C1530" s="3" t="n"/>
      <c r="D1530" s="4" t="n"/>
      <c r="E1530" s="3" t="n"/>
      <c r="F1530" s="3" t="n"/>
      <c r="G1530" s="3" t="n"/>
      <c r="H1530" s="3" t="n"/>
      <c r="I1530" s="3" t="n"/>
      <c r="J1530" s="3" t="n"/>
      <c r="K1530" s="3" t="n"/>
      <c r="L1530" s="3" t="n"/>
      <c r="M1530" s="3" t="n"/>
      <c r="N1530" s="3" t="n"/>
      <c r="O1530" s="3" t="n"/>
      <c r="P1530" s="3" t="n"/>
      <c r="Q1530" s="3" t="n"/>
      <c r="R1530" s="5">
        <f>IF(Q1530&lt;&gt;"是","排除",IF(OR(L1530="",M1530=""),"",IF(OR(L1530="未知",M1530="未知"),"未知",IF(AND(L1530="真",M1530="真"),"TP",IF(AND(L1530="真",M1530="假"),"FP",IF(AND(L1530="假",M1530="真"),"FN","TN"))))))</f>
        <v/>
      </c>
      <c r="S1530" s="3" t="n"/>
      <c r="T1530" s="3" t="n"/>
      <c r="U1530" s="3" t="n"/>
      <c r="V1530" s="3" t="n"/>
    </row>
    <row r="1531">
      <c r="A1531" s="3" t="n"/>
      <c r="B1531" s="3" t="n"/>
      <c r="C1531" s="3" t="n"/>
      <c r="D1531" s="4" t="n"/>
      <c r="E1531" s="3" t="n"/>
      <c r="F1531" s="3" t="n"/>
      <c r="G1531" s="3" t="n"/>
      <c r="H1531" s="3" t="n"/>
      <c r="I1531" s="3" t="n"/>
      <c r="J1531" s="3" t="n"/>
      <c r="K1531" s="3" t="n"/>
      <c r="L1531" s="3" t="n"/>
      <c r="M1531" s="3" t="n"/>
      <c r="N1531" s="3" t="n"/>
      <c r="O1531" s="3" t="n"/>
      <c r="P1531" s="3" t="n"/>
      <c r="Q1531" s="3" t="n"/>
      <c r="R1531" s="5">
        <f>IF(Q1531&lt;&gt;"是","排除",IF(OR(L1531="",M1531=""),"",IF(OR(L1531="未知",M1531="未知"),"未知",IF(AND(L1531="真",M1531="真"),"TP",IF(AND(L1531="真",M1531="假"),"FP",IF(AND(L1531="假",M1531="真"),"FN","TN"))))))</f>
        <v/>
      </c>
      <c r="S1531" s="3" t="n"/>
      <c r="T1531" s="3" t="n"/>
      <c r="U1531" s="3" t="n"/>
      <c r="V1531" s="3" t="n"/>
    </row>
    <row r="1532">
      <c r="A1532" s="3" t="n"/>
      <c r="B1532" s="3" t="n"/>
      <c r="C1532" s="3" t="n"/>
      <c r="D1532" s="4" t="n"/>
      <c r="E1532" s="3" t="n"/>
      <c r="F1532" s="3" t="n"/>
      <c r="G1532" s="3" t="n"/>
      <c r="H1532" s="3" t="n"/>
      <c r="I1532" s="3" t="n"/>
      <c r="J1532" s="3" t="n"/>
      <c r="K1532" s="3" t="n"/>
      <c r="L1532" s="3" t="n"/>
      <c r="M1532" s="3" t="n"/>
      <c r="N1532" s="3" t="n"/>
      <c r="O1532" s="3" t="n"/>
      <c r="P1532" s="3" t="n"/>
      <c r="Q1532" s="3" t="n"/>
      <c r="R1532" s="5">
        <f>IF(Q1532&lt;&gt;"是","排除",IF(OR(L1532="",M1532=""),"",IF(OR(L1532="未知",M1532="未知"),"未知",IF(AND(L1532="真",M1532="真"),"TP",IF(AND(L1532="真",M1532="假"),"FP",IF(AND(L1532="假",M1532="真"),"FN","TN"))))))</f>
        <v/>
      </c>
      <c r="S1532" s="3" t="n"/>
      <c r="T1532" s="3" t="n"/>
      <c r="U1532" s="3" t="n"/>
      <c r="V1532" s="3" t="n"/>
    </row>
    <row r="1533">
      <c r="A1533" s="3" t="n"/>
      <c r="B1533" s="3" t="n"/>
      <c r="C1533" s="3" t="n"/>
      <c r="D1533" s="4" t="n"/>
      <c r="E1533" s="3" t="n"/>
      <c r="F1533" s="3" t="n"/>
      <c r="G1533" s="3" t="n"/>
      <c r="H1533" s="3" t="n"/>
      <c r="I1533" s="3" t="n"/>
      <c r="J1533" s="3" t="n"/>
      <c r="K1533" s="3" t="n"/>
      <c r="L1533" s="3" t="n"/>
      <c r="M1533" s="3" t="n"/>
      <c r="N1533" s="3" t="n"/>
      <c r="O1533" s="3" t="n"/>
      <c r="P1533" s="3" t="n"/>
      <c r="Q1533" s="3" t="n"/>
      <c r="R1533" s="5">
        <f>IF(Q1533&lt;&gt;"是","排除",IF(OR(L1533="",M1533=""),"",IF(OR(L1533="未知",M1533="未知"),"未知",IF(AND(L1533="真",M1533="真"),"TP",IF(AND(L1533="真",M1533="假"),"FP",IF(AND(L1533="假",M1533="真"),"FN","TN"))))))</f>
        <v/>
      </c>
      <c r="S1533" s="3" t="n"/>
      <c r="T1533" s="3" t="n"/>
      <c r="U1533" s="3" t="n"/>
      <c r="V1533" s="3" t="n"/>
    </row>
    <row r="1534">
      <c r="A1534" s="3" t="n"/>
      <c r="B1534" s="3" t="n"/>
      <c r="C1534" s="3" t="n"/>
      <c r="D1534" s="4" t="n"/>
      <c r="E1534" s="3" t="n"/>
      <c r="F1534" s="3" t="n"/>
      <c r="G1534" s="3" t="n"/>
      <c r="H1534" s="3" t="n"/>
      <c r="I1534" s="3" t="n"/>
      <c r="J1534" s="3" t="n"/>
      <c r="K1534" s="3" t="n"/>
      <c r="L1534" s="3" t="n"/>
      <c r="M1534" s="3" t="n"/>
      <c r="N1534" s="3" t="n"/>
      <c r="O1534" s="3" t="n"/>
      <c r="P1534" s="3" t="n"/>
      <c r="Q1534" s="3" t="n"/>
      <c r="R1534" s="5">
        <f>IF(Q1534&lt;&gt;"是","排除",IF(OR(L1534="",M1534=""),"",IF(OR(L1534="未知",M1534="未知"),"未知",IF(AND(L1534="真",M1534="真"),"TP",IF(AND(L1534="真",M1534="假"),"FP",IF(AND(L1534="假",M1534="真"),"FN","TN"))))))</f>
        <v/>
      </c>
      <c r="S1534" s="3" t="n"/>
      <c r="T1534" s="3" t="n"/>
      <c r="U1534" s="3" t="n"/>
      <c r="V1534" s="3" t="n"/>
    </row>
    <row r="1535">
      <c r="A1535" s="3" t="n"/>
      <c r="B1535" s="3" t="n"/>
      <c r="C1535" s="3" t="n"/>
      <c r="D1535" s="4" t="n"/>
      <c r="E1535" s="3" t="n"/>
      <c r="F1535" s="3" t="n"/>
      <c r="G1535" s="3" t="n"/>
      <c r="H1535" s="3" t="n"/>
      <c r="I1535" s="3" t="n"/>
      <c r="J1535" s="3" t="n"/>
      <c r="K1535" s="3" t="n"/>
      <c r="L1535" s="3" t="n"/>
      <c r="M1535" s="3" t="n"/>
      <c r="N1535" s="3" t="n"/>
      <c r="O1535" s="3" t="n"/>
      <c r="P1535" s="3" t="n"/>
      <c r="Q1535" s="3" t="n"/>
      <c r="R1535" s="5">
        <f>IF(Q1535&lt;&gt;"是","排除",IF(OR(L1535="",M1535=""),"",IF(OR(L1535="未知",M1535="未知"),"未知",IF(AND(L1535="真",M1535="真"),"TP",IF(AND(L1535="真",M1535="假"),"FP",IF(AND(L1535="假",M1535="真"),"FN","TN"))))))</f>
        <v/>
      </c>
      <c r="S1535" s="3" t="n"/>
      <c r="T1535" s="3" t="n"/>
      <c r="U1535" s="3" t="n"/>
      <c r="V1535" s="3" t="n"/>
    </row>
    <row r="1536">
      <c r="A1536" s="3" t="n"/>
      <c r="B1536" s="3" t="n"/>
      <c r="C1536" s="3" t="n"/>
      <c r="D1536" s="4" t="n"/>
      <c r="E1536" s="3" t="n"/>
      <c r="F1536" s="3" t="n"/>
      <c r="G1536" s="3" t="n"/>
      <c r="H1536" s="3" t="n"/>
      <c r="I1536" s="3" t="n"/>
      <c r="J1536" s="3" t="n"/>
      <c r="K1536" s="3" t="n"/>
      <c r="L1536" s="3" t="n"/>
      <c r="M1536" s="3" t="n"/>
      <c r="N1536" s="3" t="n"/>
      <c r="O1536" s="3" t="n"/>
      <c r="P1536" s="3" t="n"/>
      <c r="Q1536" s="3" t="n"/>
      <c r="R1536" s="5">
        <f>IF(Q1536&lt;&gt;"是","排除",IF(OR(L1536="",M1536=""),"",IF(OR(L1536="未知",M1536="未知"),"未知",IF(AND(L1536="真",M1536="真"),"TP",IF(AND(L1536="真",M1536="假"),"FP",IF(AND(L1536="假",M1536="真"),"FN","TN"))))))</f>
        <v/>
      </c>
      <c r="S1536" s="3" t="n"/>
      <c r="T1536" s="3" t="n"/>
      <c r="U1536" s="3" t="n"/>
      <c r="V1536" s="3" t="n"/>
    </row>
    <row r="1537">
      <c r="A1537" s="3" t="n"/>
      <c r="B1537" s="3" t="n"/>
      <c r="C1537" s="3" t="n"/>
      <c r="D1537" s="4" t="n"/>
      <c r="E1537" s="3" t="n"/>
      <c r="F1537" s="3" t="n"/>
      <c r="G1537" s="3" t="n"/>
      <c r="H1537" s="3" t="n"/>
      <c r="I1537" s="3" t="n"/>
      <c r="J1537" s="3" t="n"/>
      <c r="K1537" s="3" t="n"/>
      <c r="L1537" s="3" t="n"/>
      <c r="M1537" s="3" t="n"/>
      <c r="N1537" s="3" t="n"/>
      <c r="O1537" s="3" t="n"/>
      <c r="P1537" s="3" t="n"/>
      <c r="Q1537" s="3" t="n"/>
      <c r="R1537" s="5">
        <f>IF(Q1537&lt;&gt;"是","排除",IF(OR(L1537="",M1537=""),"",IF(OR(L1537="未知",M1537="未知"),"未知",IF(AND(L1537="真",M1537="真"),"TP",IF(AND(L1537="真",M1537="假"),"FP",IF(AND(L1537="假",M1537="真"),"FN","TN"))))))</f>
        <v/>
      </c>
      <c r="S1537" s="3" t="n"/>
      <c r="T1537" s="3" t="n"/>
      <c r="U1537" s="3" t="n"/>
      <c r="V1537" s="3" t="n"/>
    </row>
    <row r="1538">
      <c r="A1538" s="3" t="n"/>
      <c r="B1538" s="3" t="n"/>
      <c r="C1538" s="3" t="n"/>
      <c r="D1538" s="4" t="n"/>
      <c r="E1538" s="3" t="n"/>
      <c r="F1538" s="3" t="n"/>
      <c r="G1538" s="3" t="n"/>
      <c r="H1538" s="3" t="n"/>
      <c r="I1538" s="3" t="n"/>
      <c r="J1538" s="3" t="n"/>
      <c r="K1538" s="3" t="n"/>
      <c r="L1538" s="3" t="n"/>
      <c r="M1538" s="3" t="n"/>
      <c r="N1538" s="3" t="n"/>
      <c r="O1538" s="3" t="n"/>
      <c r="P1538" s="3" t="n"/>
      <c r="Q1538" s="3" t="n"/>
      <c r="R1538" s="5">
        <f>IF(Q1538&lt;&gt;"是","排除",IF(OR(L1538="",M1538=""),"",IF(OR(L1538="未知",M1538="未知"),"未知",IF(AND(L1538="真",M1538="真"),"TP",IF(AND(L1538="真",M1538="假"),"FP",IF(AND(L1538="假",M1538="真"),"FN","TN"))))))</f>
        <v/>
      </c>
      <c r="S1538" s="3" t="n"/>
      <c r="T1538" s="3" t="n"/>
      <c r="U1538" s="3" t="n"/>
      <c r="V1538" s="3" t="n"/>
    </row>
    <row r="1539">
      <c r="A1539" s="3" t="n"/>
      <c r="B1539" s="3" t="n"/>
      <c r="C1539" s="3" t="n"/>
      <c r="D1539" s="4" t="n"/>
      <c r="E1539" s="3" t="n"/>
      <c r="F1539" s="3" t="n"/>
      <c r="G1539" s="3" t="n"/>
      <c r="H1539" s="3" t="n"/>
      <c r="I1539" s="3" t="n"/>
      <c r="J1539" s="3" t="n"/>
      <c r="K1539" s="3" t="n"/>
      <c r="L1539" s="3" t="n"/>
      <c r="M1539" s="3" t="n"/>
      <c r="N1539" s="3" t="n"/>
      <c r="O1539" s="3" t="n"/>
      <c r="P1539" s="3" t="n"/>
      <c r="Q1539" s="3" t="n"/>
      <c r="R1539" s="5">
        <f>IF(Q1539&lt;&gt;"是","排除",IF(OR(L1539="",M1539=""),"",IF(OR(L1539="未知",M1539="未知"),"未知",IF(AND(L1539="真",M1539="真"),"TP",IF(AND(L1539="真",M1539="假"),"FP",IF(AND(L1539="假",M1539="真"),"FN","TN"))))))</f>
        <v/>
      </c>
      <c r="S1539" s="3" t="n"/>
      <c r="T1539" s="3" t="n"/>
      <c r="U1539" s="3" t="n"/>
      <c r="V1539" s="3" t="n"/>
    </row>
    <row r="1540">
      <c r="A1540" s="3" t="n"/>
      <c r="B1540" s="3" t="n"/>
      <c r="C1540" s="3" t="n"/>
      <c r="D1540" s="4" t="n"/>
      <c r="E1540" s="3" t="n"/>
      <c r="F1540" s="3" t="n"/>
      <c r="G1540" s="3" t="n"/>
      <c r="H1540" s="3" t="n"/>
      <c r="I1540" s="3" t="n"/>
      <c r="J1540" s="3" t="n"/>
      <c r="K1540" s="3" t="n"/>
      <c r="L1540" s="3" t="n"/>
      <c r="M1540" s="3" t="n"/>
      <c r="N1540" s="3" t="n"/>
      <c r="O1540" s="3" t="n"/>
      <c r="P1540" s="3" t="n"/>
      <c r="Q1540" s="3" t="n"/>
      <c r="R1540" s="5">
        <f>IF(Q1540&lt;&gt;"是","排除",IF(OR(L1540="",M1540=""),"",IF(OR(L1540="未知",M1540="未知"),"未知",IF(AND(L1540="真",M1540="真"),"TP",IF(AND(L1540="真",M1540="假"),"FP",IF(AND(L1540="假",M1540="真"),"FN","TN"))))))</f>
        <v/>
      </c>
      <c r="S1540" s="3" t="n"/>
      <c r="T1540" s="3" t="n"/>
      <c r="U1540" s="3" t="n"/>
      <c r="V1540" s="3" t="n"/>
    </row>
    <row r="1541">
      <c r="A1541" s="3" t="n"/>
      <c r="B1541" s="3" t="n"/>
      <c r="C1541" s="3" t="n"/>
      <c r="D1541" s="4" t="n"/>
      <c r="E1541" s="3" t="n"/>
      <c r="F1541" s="3" t="n"/>
      <c r="G1541" s="3" t="n"/>
      <c r="H1541" s="3" t="n"/>
      <c r="I1541" s="3" t="n"/>
      <c r="J1541" s="3" t="n"/>
      <c r="K1541" s="3" t="n"/>
      <c r="L1541" s="3" t="n"/>
      <c r="M1541" s="3" t="n"/>
      <c r="N1541" s="3" t="n"/>
      <c r="O1541" s="3" t="n"/>
      <c r="P1541" s="3" t="n"/>
      <c r="Q1541" s="3" t="n"/>
      <c r="R1541" s="5">
        <f>IF(Q1541&lt;&gt;"是","排除",IF(OR(L1541="",M1541=""),"",IF(OR(L1541="未知",M1541="未知"),"未知",IF(AND(L1541="真",M1541="真"),"TP",IF(AND(L1541="真",M1541="假"),"FP",IF(AND(L1541="假",M1541="真"),"FN","TN"))))))</f>
        <v/>
      </c>
      <c r="S1541" s="3" t="n"/>
      <c r="T1541" s="3" t="n"/>
      <c r="U1541" s="3" t="n"/>
      <c r="V1541" s="3" t="n"/>
    </row>
    <row r="1542">
      <c r="A1542" s="3" t="n"/>
      <c r="B1542" s="3" t="n"/>
      <c r="C1542" s="3" t="n"/>
      <c r="D1542" s="4" t="n"/>
      <c r="E1542" s="3" t="n"/>
      <c r="F1542" s="3" t="n"/>
      <c r="G1542" s="3" t="n"/>
      <c r="H1542" s="3" t="n"/>
      <c r="I1542" s="3" t="n"/>
      <c r="J1542" s="3" t="n"/>
      <c r="K1542" s="3" t="n"/>
      <c r="L1542" s="3" t="n"/>
      <c r="M1542" s="3" t="n"/>
      <c r="N1542" s="3" t="n"/>
      <c r="O1542" s="3" t="n"/>
      <c r="P1542" s="3" t="n"/>
      <c r="Q1542" s="3" t="n"/>
      <c r="R1542" s="5">
        <f>IF(Q1542&lt;&gt;"是","排除",IF(OR(L1542="",M1542=""),"",IF(OR(L1542="未知",M1542="未知"),"未知",IF(AND(L1542="真",M1542="真"),"TP",IF(AND(L1542="真",M1542="假"),"FP",IF(AND(L1542="假",M1542="真"),"FN","TN"))))))</f>
        <v/>
      </c>
      <c r="S1542" s="3" t="n"/>
      <c r="T1542" s="3" t="n"/>
      <c r="U1542" s="3" t="n"/>
      <c r="V1542" s="3" t="n"/>
    </row>
    <row r="1543">
      <c r="A1543" s="3" t="n"/>
      <c r="B1543" s="3" t="n"/>
      <c r="C1543" s="3" t="n"/>
      <c r="D1543" s="4" t="n"/>
      <c r="E1543" s="3" t="n"/>
      <c r="F1543" s="3" t="n"/>
      <c r="G1543" s="3" t="n"/>
      <c r="H1543" s="3" t="n"/>
      <c r="I1543" s="3" t="n"/>
      <c r="J1543" s="3" t="n"/>
      <c r="K1543" s="3" t="n"/>
      <c r="L1543" s="3" t="n"/>
      <c r="M1543" s="3" t="n"/>
      <c r="N1543" s="3" t="n"/>
      <c r="O1543" s="3" t="n"/>
      <c r="P1543" s="3" t="n"/>
      <c r="Q1543" s="3" t="n"/>
      <c r="R1543" s="5">
        <f>IF(Q1543&lt;&gt;"是","排除",IF(OR(L1543="",M1543=""),"",IF(OR(L1543="未知",M1543="未知"),"未知",IF(AND(L1543="真",M1543="真"),"TP",IF(AND(L1543="真",M1543="假"),"FP",IF(AND(L1543="假",M1543="真"),"FN","TN"))))))</f>
        <v/>
      </c>
      <c r="S1543" s="3" t="n"/>
      <c r="T1543" s="3" t="n"/>
      <c r="U1543" s="3" t="n"/>
      <c r="V1543" s="3" t="n"/>
    </row>
    <row r="1544">
      <c r="A1544" s="3" t="n"/>
      <c r="B1544" s="3" t="n"/>
      <c r="C1544" s="3" t="n"/>
      <c r="D1544" s="4" t="n"/>
      <c r="E1544" s="3" t="n"/>
      <c r="F1544" s="3" t="n"/>
      <c r="G1544" s="3" t="n"/>
      <c r="H1544" s="3" t="n"/>
      <c r="I1544" s="3" t="n"/>
      <c r="J1544" s="3" t="n"/>
      <c r="K1544" s="3" t="n"/>
      <c r="L1544" s="3" t="n"/>
      <c r="M1544" s="3" t="n"/>
      <c r="N1544" s="3" t="n"/>
      <c r="O1544" s="3" t="n"/>
      <c r="P1544" s="3" t="n"/>
      <c r="Q1544" s="3" t="n"/>
      <c r="R1544" s="5">
        <f>IF(Q1544&lt;&gt;"是","排除",IF(OR(L1544="",M1544=""),"",IF(OR(L1544="未知",M1544="未知"),"未知",IF(AND(L1544="真",M1544="真"),"TP",IF(AND(L1544="真",M1544="假"),"FP",IF(AND(L1544="假",M1544="真"),"FN","TN"))))))</f>
        <v/>
      </c>
      <c r="S1544" s="3" t="n"/>
      <c r="T1544" s="3" t="n"/>
      <c r="U1544" s="3" t="n"/>
      <c r="V1544" s="3" t="n"/>
    </row>
    <row r="1545">
      <c r="A1545" s="3" t="n"/>
      <c r="B1545" s="3" t="n"/>
      <c r="C1545" s="3" t="n"/>
      <c r="D1545" s="4" t="n"/>
      <c r="E1545" s="3" t="n"/>
      <c r="F1545" s="3" t="n"/>
      <c r="G1545" s="3" t="n"/>
      <c r="H1545" s="3" t="n"/>
      <c r="I1545" s="3" t="n"/>
      <c r="J1545" s="3" t="n"/>
      <c r="K1545" s="3" t="n"/>
      <c r="L1545" s="3" t="n"/>
      <c r="M1545" s="3" t="n"/>
      <c r="N1545" s="3" t="n"/>
      <c r="O1545" s="3" t="n"/>
      <c r="P1545" s="3" t="n"/>
      <c r="Q1545" s="3" t="n"/>
      <c r="R1545" s="5">
        <f>IF(Q1545&lt;&gt;"是","排除",IF(OR(L1545="",M1545=""),"",IF(OR(L1545="未知",M1545="未知"),"未知",IF(AND(L1545="真",M1545="真"),"TP",IF(AND(L1545="真",M1545="假"),"FP",IF(AND(L1545="假",M1545="真"),"FN","TN"))))))</f>
        <v/>
      </c>
      <c r="S1545" s="3" t="n"/>
      <c r="T1545" s="3" t="n"/>
      <c r="U1545" s="3" t="n"/>
      <c r="V1545" s="3" t="n"/>
    </row>
    <row r="1546">
      <c r="A1546" s="3" t="n"/>
      <c r="B1546" s="3" t="n"/>
      <c r="C1546" s="3" t="n"/>
      <c r="D1546" s="4" t="n"/>
      <c r="E1546" s="3" t="n"/>
      <c r="F1546" s="3" t="n"/>
      <c r="G1546" s="3" t="n"/>
      <c r="H1546" s="3" t="n"/>
      <c r="I1546" s="3" t="n"/>
      <c r="J1546" s="3" t="n"/>
      <c r="K1546" s="3" t="n"/>
      <c r="L1546" s="3" t="n"/>
      <c r="M1546" s="3" t="n"/>
      <c r="N1546" s="3" t="n"/>
      <c r="O1546" s="3" t="n"/>
      <c r="P1546" s="3" t="n"/>
      <c r="Q1546" s="3" t="n"/>
      <c r="R1546" s="5">
        <f>IF(Q1546&lt;&gt;"是","排除",IF(OR(L1546="",M1546=""),"",IF(OR(L1546="未知",M1546="未知"),"未知",IF(AND(L1546="真",M1546="真"),"TP",IF(AND(L1546="真",M1546="假"),"FP",IF(AND(L1546="假",M1546="真"),"FN","TN"))))))</f>
        <v/>
      </c>
      <c r="S1546" s="3" t="n"/>
      <c r="T1546" s="3" t="n"/>
      <c r="U1546" s="3" t="n"/>
      <c r="V1546" s="3" t="n"/>
    </row>
    <row r="1547">
      <c r="A1547" s="3" t="n"/>
      <c r="B1547" s="3" t="n"/>
      <c r="C1547" s="3" t="n"/>
      <c r="D1547" s="4" t="n"/>
      <c r="E1547" s="3" t="n"/>
      <c r="F1547" s="3" t="n"/>
      <c r="G1547" s="3" t="n"/>
      <c r="H1547" s="3" t="n"/>
      <c r="I1547" s="3" t="n"/>
      <c r="J1547" s="3" t="n"/>
      <c r="K1547" s="3" t="n"/>
      <c r="L1547" s="3" t="n"/>
      <c r="M1547" s="3" t="n"/>
      <c r="N1547" s="3" t="n"/>
      <c r="O1547" s="3" t="n"/>
      <c r="P1547" s="3" t="n"/>
      <c r="Q1547" s="3" t="n"/>
      <c r="R1547" s="5">
        <f>IF(Q1547&lt;&gt;"是","排除",IF(OR(L1547="",M1547=""),"",IF(OR(L1547="未知",M1547="未知"),"未知",IF(AND(L1547="真",M1547="真"),"TP",IF(AND(L1547="真",M1547="假"),"FP",IF(AND(L1547="假",M1547="真"),"FN","TN"))))))</f>
        <v/>
      </c>
      <c r="S1547" s="3" t="n"/>
      <c r="T1547" s="3" t="n"/>
      <c r="U1547" s="3" t="n"/>
      <c r="V1547" s="3" t="n"/>
    </row>
    <row r="1548">
      <c r="A1548" s="3" t="n"/>
      <c r="B1548" s="3" t="n"/>
      <c r="C1548" s="3" t="n"/>
      <c r="D1548" s="4" t="n"/>
      <c r="E1548" s="3" t="n"/>
      <c r="F1548" s="3" t="n"/>
      <c r="G1548" s="3" t="n"/>
      <c r="H1548" s="3" t="n"/>
      <c r="I1548" s="3" t="n"/>
      <c r="J1548" s="3" t="n"/>
      <c r="K1548" s="3" t="n"/>
      <c r="L1548" s="3" t="n"/>
      <c r="M1548" s="3" t="n"/>
      <c r="N1548" s="3" t="n"/>
      <c r="O1548" s="3" t="n"/>
      <c r="P1548" s="3" t="n"/>
      <c r="Q1548" s="3" t="n"/>
      <c r="R1548" s="5">
        <f>IF(Q1548&lt;&gt;"是","排除",IF(OR(L1548="",M1548=""),"",IF(OR(L1548="未知",M1548="未知"),"未知",IF(AND(L1548="真",M1548="真"),"TP",IF(AND(L1548="真",M1548="假"),"FP",IF(AND(L1548="假",M1548="真"),"FN","TN"))))))</f>
        <v/>
      </c>
      <c r="S1548" s="3" t="n"/>
      <c r="T1548" s="3" t="n"/>
      <c r="U1548" s="3" t="n"/>
      <c r="V1548" s="3" t="n"/>
    </row>
    <row r="1549">
      <c r="A1549" s="3" t="n"/>
      <c r="B1549" s="3" t="n"/>
      <c r="C1549" s="3" t="n"/>
      <c r="D1549" s="4" t="n"/>
      <c r="E1549" s="3" t="n"/>
      <c r="F1549" s="3" t="n"/>
      <c r="G1549" s="3" t="n"/>
      <c r="H1549" s="3" t="n"/>
      <c r="I1549" s="3" t="n"/>
      <c r="J1549" s="3" t="n"/>
      <c r="K1549" s="3" t="n"/>
      <c r="L1549" s="3" t="n"/>
      <c r="M1549" s="3" t="n"/>
      <c r="N1549" s="3" t="n"/>
      <c r="O1549" s="3" t="n"/>
      <c r="P1549" s="3" t="n"/>
      <c r="Q1549" s="3" t="n"/>
      <c r="R1549" s="5">
        <f>IF(Q1549&lt;&gt;"是","排除",IF(OR(L1549="",M1549=""),"",IF(OR(L1549="未知",M1549="未知"),"未知",IF(AND(L1549="真",M1549="真"),"TP",IF(AND(L1549="真",M1549="假"),"FP",IF(AND(L1549="假",M1549="真"),"FN","TN"))))))</f>
        <v/>
      </c>
      <c r="S1549" s="3" t="n"/>
      <c r="T1549" s="3" t="n"/>
      <c r="U1549" s="3" t="n"/>
      <c r="V1549" s="3" t="n"/>
    </row>
    <row r="1550">
      <c r="A1550" s="3" t="n"/>
      <c r="B1550" s="3" t="n"/>
      <c r="C1550" s="3" t="n"/>
      <c r="D1550" s="4" t="n"/>
      <c r="E1550" s="3" t="n"/>
      <c r="F1550" s="3" t="n"/>
      <c r="G1550" s="3" t="n"/>
      <c r="H1550" s="3" t="n"/>
      <c r="I1550" s="3" t="n"/>
      <c r="J1550" s="3" t="n"/>
      <c r="K1550" s="3" t="n"/>
      <c r="L1550" s="3" t="n"/>
      <c r="M1550" s="3" t="n"/>
      <c r="N1550" s="3" t="n"/>
      <c r="O1550" s="3" t="n"/>
      <c r="P1550" s="3" t="n"/>
      <c r="Q1550" s="3" t="n"/>
      <c r="R1550" s="5">
        <f>IF(Q1550&lt;&gt;"是","排除",IF(OR(L1550="",M1550=""),"",IF(OR(L1550="未知",M1550="未知"),"未知",IF(AND(L1550="真",M1550="真"),"TP",IF(AND(L1550="真",M1550="假"),"FP",IF(AND(L1550="假",M1550="真"),"FN","TN"))))))</f>
        <v/>
      </c>
      <c r="S1550" s="3" t="n"/>
      <c r="T1550" s="3" t="n"/>
      <c r="U1550" s="3" t="n"/>
      <c r="V1550" s="3" t="n"/>
    </row>
    <row r="1551">
      <c r="A1551" s="3" t="n"/>
      <c r="B1551" s="3" t="n"/>
      <c r="C1551" s="3" t="n"/>
      <c r="D1551" s="4" t="n"/>
      <c r="E1551" s="3" t="n"/>
      <c r="F1551" s="3" t="n"/>
      <c r="G1551" s="3" t="n"/>
      <c r="H1551" s="3" t="n"/>
      <c r="I1551" s="3" t="n"/>
      <c r="J1551" s="3" t="n"/>
      <c r="K1551" s="3" t="n"/>
      <c r="L1551" s="3" t="n"/>
      <c r="M1551" s="3" t="n"/>
      <c r="N1551" s="3" t="n"/>
      <c r="O1551" s="3" t="n"/>
      <c r="P1551" s="3" t="n"/>
      <c r="Q1551" s="3" t="n"/>
      <c r="R1551" s="5">
        <f>IF(Q1551&lt;&gt;"是","排除",IF(OR(L1551="",M1551=""),"",IF(OR(L1551="未知",M1551="未知"),"未知",IF(AND(L1551="真",M1551="真"),"TP",IF(AND(L1551="真",M1551="假"),"FP",IF(AND(L1551="假",M1551="真"),"FN","TN"))))))</f>
        <v/>
      </c>
      <c r="S1551" s="3" t="n"/>
      <c r="T1551" s="3" t="n"/>
      <c r="U1551" s="3" t="n"/>
      <c r="V1551" s="3" t="n"/>
    </row>
    <row r="1552">
      <c r="A1552" s="3" t="n"/>
      <c r="B1552" s="3" t="n"/>
      <c r="C1552" s="3" t="n"/>
      <c r="D1552" s="4" t="n"/>
      <c r="E1552" s="3" t="n"/>
      <c r="F1552" s="3" t="n"/>
      <c r="G1552" s="3" t="n"/>
      <c r="H1552" s="3" t="n"/>
      <c r="I1552" s="3" t="n"/>
      <c r="J1552" s="3" t="n"/>
      <c r="K1552" s="3" t="n"/>
      <c r="L1552" s="3" t="n"/>
      <c r="M1552" s="3" t="n"/>
      <c r="N1552" s="3" t="n"/>
      <c r="O1552" s="3" t="n"/>
      <c r="P1552" s="3" t="n"/>
      <c r="Q1552" s="3" t="n"/>
      <c r="R1552" s="5">
        <f>IF(Q1552&lt;&gt;"是","排除",IF(OR(L1552="",M1552=""),"",IF(OR(L1552="未知",M1552="未知"),"未知",IF(AND(L1552="真",M1552="真"),"TP",IF(AND(L1552="真",M1552="假"),"FP",IF(AND(L1552="假",M1552="真"),"FN","TN"))))))</f>
        <v/>
      </c>
      <c r="S1552" s="3" t="n"/>
      <c r="T1552" s="3" t="n"/>
      <c r="U1552" s="3" t="n"/>
      <c r="V1552" s="3" t="n"/>
    </row>
    <row r="1553">
      <c r="A1553" s="3" t="n"/>
      <c r="B1553" s="3" t="n"/>
      <c r="C1553" s="3" t="n"/>
      <c r="D1553" s="4" t="n"/>
      <c r="E1553" s="3" t="n"/>
      <c r="F1553" s="3" t="n"/>
      <c r="G1553" s="3" t="n"/>
      <c r="H1553" s="3" t="n"/>
      <c r="I1553" s="3" t="n"/>
      <c r="J1553" s="3" t="n"/>
      <c r="K1553" s="3" t="n"/>
      <c r="L1553" s="3" t="n"/>
      <c r="M1553" s="3" t="n"/>
      <c r="N1553" s="3" t="n"/>
      <c r="O1553" s="3" t="n"/>
      <c r="P1553" s="3" t="n"/>
      <c r="Q1553" s="3" t="n"/>
      <c r="R1553" s="5">
        <f>IF(Q1553&lt;&gt;"是","排除",IF(OR(L1553="",M1553=""),"",IF(OR(L1553="未知",M1553="未知"),"未知",IF(AND(L1553="真",M1553="真"),"TP",IF(AND(L1553="真",M1553="假"),"FP",IF(AND(L1553="假",M1553="真"),"FN","TN"))))))</f>
        <v/>
      </c>
      <c r="S1553" s="3" t="n"/>
      <c r="T1553" s="3" t="n"/>
      <c r="U1553" s="3" t="n"/>
      <c r="V1553" s="3" t="n"/>
    </row>
    <row r="1554">
      <c r="A1554" s="3" t="n"/>
      <c r="B1554" s="3" t="n"/>
      <c r="C1554" s="3" t="n"/>
      <c r="D1554" s="4" t="n"/>
      <c r="E1554" s="3" t="n"/>
      <c r="F1554" s="3" t="n"/>
      <c r="G1554" s="3" t="n"/>
      <c r="H1554" s="3" t="n"/>
      <c r="I1554" s="3" t="n"/>
      <c r="J1554" s="3" t="n"/>
      <c r="K1554" s="3" t="n"/>
      <c r="L1554" s="3" t="n"/>
      <c r="M1554" s="3" t="n"/>
      <c r="N1554" s="3" t="n"/>
      <c r="O1554" s="3" t="n"/>
      <c r="P1554" s="3" t="n"/>
      <c r="Q1554" s="3" t="n"/>
      <c r="R1554" s="5">
        <f>IF(Q1554&lt;&gt;"是","排除",IF(OR(L1554="",M1554=""),"",IF(OR(L1554="未知",M1554="未知"),"未知",IF(AND(L1554="真",M1554="真"),"TP",IF(AND(L1554="真",M1554="假"),"FP",IF(AND(L1554="假",M1554="真"),"FN","TN"))))))</f>
        <v/>
      </c>
      <c r="S1554" s="3" t="n"/>
      <c r="T1554" s="3" t="n"/>
      <c r="U1554" s="3" t="n"/>
      <c r="V1554" s="3" t="n"/>
    </row>
    <row r="1555">
      <c r="A1555" s="3" t="n"/>
      <c r="B1555" s="3" t="n"/>
      <c r="C1555" s="3" t="n"/>
      <c r="D1555" s="4" t="n"/>
      <c r="E1555" s="3" t="n"/>
      <c r="F1555" s="3" t="n"/>
      <c r="G1555" s="3" t="n"/>
      <c r="H1555" s="3" t="n"/>
      <c r="I1555" s="3" t="n"/>
      <c r="J1555" s="3" t="n"/>
      <c r="K1555" s="3" t="n"/>
      <c r="L1555" s="3" t="n"/>
      <c r="M1555" s="3" t="n"/>
      <c r="N1555" s="3" t="n"/>
      <c r="O1555" s="3" t="n"/>
      <c r="P1555" s="3" t="n"/>
      <c r="Q1555" s="3" t="n"/>
      <c r="R1555" s="5">
        <f>IF(Q1555&lt;&gt;"是","排除",IF(OR(L1555="",M1555=""),"",IF(OR(L1555="未知",M1555="未知"),"未知",IF(AND(L1555="真",M1555="真"),"TP",IF(AND(L1555="真",M1555="假"),"FP",IF(AND(L1555="假",M1555="真"),"FN","TN"))))))</f>
        <v/>
      </c>
      <c r="S1555" s="3" t="n"/>
      <c r="T1555" s="3" t="n"/>
      <c r="U1555" s="3" t="n"/>
      <c r="V1555" s="3" t="n"/>
    </row>
    <row r="1556">
      <c r="A1556" s="3" t="n"/>
      <c r="B1556" s="3" t="n"/>
      <c r="C1556" s="3" t="n"/>
      <c r="D1556" s="4" t="n"/>
      <c r="E1556" s="3" t="n"/>
      <c r="F1556" s="3" t="n"/>
      <c r="G1556" s="3" t="n"/>
      <c r="H1556" s="3" t="n"/>
      <c r="I1556" s="3" t="n"/>
      <c r="J1556" s="3" t="n"/>
      <c r="K1556" s="3" t="n"/>
      <c r="L1556" s="3" t="n"/>
      <c r="M1556" s="3" t="n"/>
      <c r="N1556" s="3" t="n"/>
      <c r="O1556" s="3" t="n"/>
      <c r="P1556" s="3" t="n"/>
      <c r="Q1556" s="3" t="n"/>
      <c r="R1556" s="5">
        <f>IF(Q1556&lt;&gt;"是","排除",IF(OR(L1556="",M1556=""),"",IF(OR(L1556="未知",M1556="未知"),"未知",IF(AND(L1556="真",M1556="真"),"TP",IF(AND(L1556="真",M1556="假"),"FP",IF(AND(L1556="假",M1556="真"),"FN","TN"))))))</f>
        <v/>
      </c>
      <c r="S1556" s="3" t="n"/>
      <c r="T1556" s="3" t="n"/>
      <c r="U1556" s="3" t="n"/>
      <c r="V1556" s="3" t="n"/>
    </row>
    <row r="1557">
      <c r="A1557" s="3" t="n"/>
      <c r="B1557" s="3" t="n"/>
      <c r="C1557" s="3" t="n"/>
      <c r="D1557" s="4" t="n"/>
      <c r="E1557" s="3" t="n"/>
      <c r="F1557" s="3" t="n"/>
      <c r="G1557" s="3" t="n"/>
      <c r="H1557" s="3" t="n"/>
      <c r="I1557" s="3" t="n"/>
      <c r="J1557" s="3" t="n"/>
      <c r="K1557" s="3" t="n"/>
      <c r="L1557" s="3" t="n"/>
      <c r="M1557" s="3" t="n"/>
      <c r="N1557" s="3" t="n"/>
      <c r="O1557" s="3" t="n"/>
      <c r="P1557" s="3" t="n"/>
      <c r="Q1557" s="3" t="n"/>
      <c r="R1557" s="5">
        <f>IF(Q1557&lt;&gt;"是","排除",IF(OR(L1557="",M1557=""),"",IF(OR(L1557="未知",M1557="未知"),"未知",IF(AND(L1557="真",M1557="真"),"TP",IF(AND(L1557="真",M1557="假"),"FP",IF(AND(L1557="假",M1557="真"),"FN","TN"))))))</f>
        <v/>
      </c>
      <c r="S1557" s="3" t="n"/>
      <c r="T1557" s="3" t="n"/>
      <c r="U1557" s="3" t="n"/>
      <c r="V1557" s="3" t="n"/>
    </row>
    <row r="1558">
      <c r="A1558" s="3" t="n"/>
      <c r="B1558" s="3" t="n"/>
      <c r="C1558" s="3" t="n"/>
      <c r="D1558" s="4" t="n"/>
      <c r="E1558" s="3" t="n"/>
      <c r="F1558" s="3" t="n"/>
      <c r="G1558" s="3" t="n"/>
      <c r="H1558" s="3" t="n"/>
      <c r="I1558" s="3" t="n"/>
      <c r="J1558" s="3" t="n"/>
      <c r="K1558" s="3" t="n"/>
      <c r="L1558" s="3" t="n"/>
      <c r="M1558" s="3" t="n"/>
      <c r="N1558" s="3" t="n"/>
      <c r="O1558" s="3" t="n"/>
      <c r="P1558" s="3" t="n"/>
      <c r="Q1558" s="3" t="n"/>
      <c r="R1558" s="5">
        <f>IF(Q1558&lt;&gt;"是","排除",IF(OR(L1558="",M1558=""),"",IF(OR(L1558="未知",M1558="未知"),"未知",IF(AND(L1558="真",M1558="真"),"TP",IF(AND(L1558="真",M1558="假"),"FP",IF(AND(L1558="假",M1558="真"),"FN","TN"))))))</f>
        <v/>
      </c>
      <c r="S1558" s="3" t="n"/>
      <c r="T1558" s="3" t="n"/>
      <c r="U1558" s="3" t="n"/>
      <c r="V1558" s="3" t="n"/>
    </row>
    <row r="1559">
      <c r="A1559" s="3" t="n"/>
      <c r="B1559" s="3" t="n"/>
      <c r="C1559" s="3" t="n"/>
      <c r="D1559" s="4" t="n"/>
      <c r="E1559" s="3" t="n"/>
      <c r="F1559" s="3" t="n"/>
      <c r="G1559" s="3" t="n"/>
      <c r="H1559" s="3" t="n"/>
      <c r="I1559" s="3" t="n"/>
      <c r="J1559" s="3" t="n"/>
      <c r="K1559" s="3" t="n"/>
      <c r="L1559" s="3" t="n"/>
      <c r="M1559" s="3" t="n"/>
      <c r="N1559" s="3" t="n"/>
      <c r="O1559" s="3" t="n"/>
      <c r="P1559" s="3" t="n"/>
      <c r="Q1559" s="3" t="n"/>
      <c r="R1559" s="5">
        <f>IF(Q1559&lt;&gt;"是","排除",IF(OR(L1559="",M1559=""),"",IF(OR(L1559="未知",M1559="未知"),"未知",IF(AND(L1559="真",M1559="真"),"TP",IF(AND(L1559="真",M1559="假"),"FP",IF(AND(L1559="假",M1559="真"),"FN","TN"))))))</f>
        <v/>
      </c>
      <c r="S1559" s="3" t="n"/>
      <c r="T1559" s="3" t="n"/>
      <c r="U1559" s="3" t="n"/>
      <c r="V1559" s="3" t="n"/>
    </row>
    <row r="1560">
      <c r="A1560" s="3" t="n"/>
      <c r="B1560" s="3" t="n"/>
      <c r="C1560" s="3" t="n"/>
      <c r="D1560" s="4" t="n"/>
      <c r="E1560" s="3" t="n"/>
      <c r="F1560" s="3" t="n"/>
      <c r="G1560" s="3" t="n"/>
      <c r="H1560" s="3" t="n"/>
      <c r="I1560" s="3" t="n"/>
      <c r="J1560" s="3" t="n"/>
      <c r="K1560" s="3" t="n"/>
      <c r="L1560" s="3" t="n"/>
      <c r="M1560" s="3" t="n"/>
      <c r="N1560" s="3" t="n"/>
      <c r="O1560" s="3" t="n"/>
      <c r="P1560" s="3" t="n"/>
      <c r="Q1560" s="3" t="n"/>
      <c r="R1560" s="5">
        <f>IF(Q1560&lt;&gt;"是","排除",IF(OR(L1560="",M1560=""),"",IF(OR(L1560="未知",M1560="未知"),"未知",IF(AND(L1560="真",M1560="真"),"TP",IF(AND(L1560="真",M1560="假"),"FP",IF(AND(L1560="假",M1560="真"),"FN","TN"))))))</f>
        <v/>
      </c>
      <c r="S1560" s="3" t="n"/>
      <c r="T1560" s="3" t="n"/>
      <c r="U1560" s="3" t="n"/>
      <c r="V1560" s="3" t="n"/>
    </row>
    <row r="1561">
      <c r="A1561" s="3" t="n"/>
      <c r="B1561" s="3" t="n"/>
      <c r="C1561" s="3" t="n"/>
      <c r="D1561" s="4" t="n"/>
      <c r="E1561" s="3" t="n"/>
      <c r="F1561" s="3" t="n"/>
      <c r="G1561" s="3" t="n"/>
      <c r="H1561" s="3" t="n"/>
      <c r="I1561" s="3" t="n"/>
      <c r="J1561" s="3" t="n"/>
      <c r="K1561" s="3" t="n"/>
      <c r="L1561" s="3" t="n"/>
      <c r="M1561" s="3" t="n"/>
      <c r="N1561" s="3" t="n"/>
      <c r="O1561" s="3" t="n"/>
      <c r="P1561" s="3" t="n"/>
      <c r="Q1561" s="3" t="n"/>
      <c r="R1561" s="5">
        <f>IF(Q1561&lt;&gt;"是","排除",IF(OR(L1561="",M1561=""),"",IF(OR(L1561="未知",M1561="未知"),"未知",IF(AND(L1561="真",M1561="真"),"TP",IF(AND(L1561="真",M1561="假"),"FP",IF(AND(L1561="假",M1561="真"),"FN","TN"))))))</f>
        <v/>
      </c>
      <c r="S1561" s="3" t="n"/>
      <c r="T1561" s="3" t="n"/>
      <c r="U1561" s="3" t="n"/>
      <c r="V1561" s="3" t="n"/>
    </row>
    <row r="1562">
      <c r="A1562" s="3" t="n"/>
      <c r="B1562" s="3" t="n"/>
      <c r="C1562" s="3" t="n"/>
      <c r="D1562" s="4" t="n"/>
      <c r="E1562" s="3" t="n"/>
      <c r="F1562" s="3" t="n"/>
      <c r="G1562" s="3" t="n"/>
      <c r="H1562" s="3" t="n"/>
      <c r="I1562" s="3" t="n"/>
      <c r="J1562" s="3" t="n"/>
      <c r="K1562" s="3" t="n"/>
      <c r="L1562" s="3" t="n"/>
      <c r="M1562" s="3" t="n"/>
      <c r="N1562" s="3" t="n"/>
      <c r="O1562" s="3" t="n"/>
      <c r="P1562" s="3" t="n"/>
      <c r="Q1562" s="3" t="n"/>
      <c r="R1562" s="5">
        <f>IF(Q1562&lt;&gt;"是","排除",IF(OR(L1562="",M1562=""),"",IF(OR(L1562="未知",M1562="未知"),"未知",IF(AND(L1562="真",M1562="真"),"TP",IF(AND(L1562="真",M1562="假"),"FP",IF(AND(L1562="假",M1562="真"),"FN","TN"))))))</f>
        <v/>
      </c>
      <c r="S1562" s="3" t="n"/>
      <c r="T1562" s="3" t="n"/>
      <c r="U1562" s="3" t="n"/>
      <c r="V1562" s="3" t="n"/>
    </row>
    <row r="1563">
      <c r="A1563" s="3" t="n"/>
      <c r="B1563" s="3" t="n"/>
      <c r="C1563" s="3" t="n"/>
      <c r="D1563" s="4" t="n"/>
      <c r="E1563" s="3" t="n"/>
      <c r="F1563" s="3" t="n"/>
      <c r="G1563" s="3" t="n"/>
      <c r="H1563" s="3" t="n"/>
      <c r="I1563" s="3" t="n"/>
      <c r="J1563" s="3" t="n"/>
      <c r="K1563" s="3" t="n"/>
      <c r="L1563" s="3" t="n"/>
      <c r="M1563" s="3" t="n"/>
      <c r="N1563" s="3" t="n"/>
      <c r="O1563" s="3" t="n"/>
      <c r="P1563" s="3" t="n"/>
      <c r="Q1563" s="3" t="n"/>
      <c r="R1563" s="5">
        <f>IF(Q1563&lt;&gt;"是","排除",IF(OR(L1563="",M1563=""),"",IF(OR(L1563="未知",M1563="未知"),"未知",IF(AND(L1563="真",M1563="真"),"TP",IF(AND(L1563="真",M1563="假"),"FP",IF(AND(L1563="假",M1563="真"),"FN","TN"))))))</f>
        <v/>
      </c>
      <c r="S1563" s="3" t="n"/>
      <c r="T1563" s="3" t="n"/>
      <c r="U1563" s="3" t="n"/>
      <c r="V1563" s="3" t="n"/>
    </row>
    <row r="1564">
      <c r="A1564" s="3" t="n"/>
      <c r="B1564" s="3" t="n"/>
      <c r="C1564" s="3" t="n"/>
      <c r="D1564" s="4" t="n"/>
      <c r="E1564" s="3" t="n"/>
      <c r="F1564" s="3" t="n"/>
      <c r="G1564" s="3" t="n"/>
      <c r="H1564" s="3" t="n"/>
      <c r="I1564" s="3" t="n"/>
      <c r="J1564" s="3" t="n"/>
      <c r="K1564" s="3" t="n"/>
      <c r="L1564" s="3" t="n"/>
      <c r="M1564" s="3" t="n"/>
      <c r="N1564" s="3" t="n"/>
      <c r="O1564" s="3" t="n"/>
      <c r="P1564" s="3" t="n"/>
      <c r="Q1564" s="3" t="n"/>
      <c r="R1564" s="5">
        <f>IF(Q1564&lt;&gt;"是","排除",IF(OR(L1564="",M1564=""),"",IF(OR(L1564="未知",M1564="未知"),"未知",IF(AND(L1564="真",M1564="真"),"TP",IF(AND(L1564="真",M1564="假"),"FP",IF(AND(L1564="假",M1564="真"),"FN","TN"))))))</f>
        <v/>
      </c>
      <c r="S1564" s="3" t="n"/>
      <c r="T1564" s="3" t="n"/>
      <c r="U1564" s="3" t="n"/>
      <c r="V1564" s="3" t="n"/>
    </row>
    <row r="1565">
      <c r="A1565" s="3" t="n"/>
      <c r="B1565" s="3" t="n"/>
      <c r="C1565" s="3" t="n"/>
      <c r="D1565" s="4" t="n"/>
      <c r="E1565" s="3" t="n"/>
      <c r="F1565" s="3" t="n"/>
      <c r="G1565" s="3" t="n"/>
      <c r="H1565" s="3" t="n"/>
      <c r="I1565" s="3" t="n"/>
      <c r="J1565" s="3" t="n"/>
      <c r="K1565" s="3" t="n"/>
      <c r="L1565" s="3" t="n"/>
      <c r="M1565" s="3" t="n"/>
      <c r="N1565" s="3" t="n"/>
      <c r="O1565" s="3" t="n"/>
      <c r="P1565" s="3" t="n"/>
      <c r="Q1565" s="3" t="n"/>
      <c r="R1565" s="5">
        <f>IF(Q1565&lt;&gt;"是","排除",IF(OR(L1565="",M1565=""),"",IF(OR(L1565="未知",M1565="未知"),"未知",IF(AND(L1565="真",M1565="真"),"TP",IF(AND(L1565="真",M1565="假"),"FP",IF(AND(L1565="假",M1565="真"),"FN","TN"))))))</f>
        <v/>
      </c>
      <c r="S1565" s="3" t="n"/>
      <c r="T1565" s="3" t="n"/>
      <c r="U1565" s="3" t="n"/>
      <c r="V1565" s="3" t="n"/>
    </row>
    <row r="1566">
      <c r="A1566" s="3" t="n"/>
      <c r="B1566" s="3" t="n"/>
      <c r="C1566" s="3" t="n"/>
      <c r="D1566" s="4" t="n"/>
      <c r="E1566" s="3" t="n"/>
      <c r="F1566" s="3" t="n"/>
      <c r="G1566" s="3" t="n"/>
      <c r="H1566" s="3" t="n"/>
      <c r="I1566" s="3" t="n"/>
      <c r="J1566" s="3" t="n"/>
      <c r="K1566" s="3" t="n"/>
      <c r="L1566" s="3" t="n"/>
      <c r="M1566" s="3" t="n"/>
      <c r="N1566" s="3" t="n"/>
      <c r="O1566" s="3" t="n"/>
      <c r="P1566" s="3" t="n"/>
      <c r="Q1566" s="3" t="n"/>
      <c r="R1566" s="5">
        <f>IF(Q1566&lt;&gt;"是","排除",IF(OR(L1566="",M1566=""),"",IF(OR(L1566="未知",M1566="未知"),"未知",IF(AND(L1566="真",M1566="真"),"TP",IF(AND(L1566="真",M1566="假"),"FP",IF(AND(L1566="假",M1566="真"),"FN","TN"))))))</f>
        <v/>
      </c>
      <c r="S1566" s="3" t="n"/>
      <c r="T1566" s="3" t="n"/>
      <c r="U1566" s="3" t="n"/>
      <c r="V1566" s="3" t="n"/>
    </row>
    <row r="1567">
      <c r="A1567" s="3" t="n"/>
      <c r="B1567" s="3" t="n"/>
      <c r="C1567" s="3" t="n"/>
      <c r="D1567" s="4" t="n"/>
      <c r="E1567" s="3" t="n"/>
      <c r="F1567" s="3" t="n"/>
      <c r="G1567" s="3" t="n"/>
      <c r="H1567" s="3" t="n"/>
      <c r="I1567" s="3" t="n"/>
      <c r="J1567" s="3" t="n"/>
      <c r="K1567" s="3" t="n"/>
      <c r="L1567" s="3" t="n"/>
      <c r="M1567" s="3" t="n"/>
      <c r="N1567" s="3" t="n"/>
      <c r="O1567" s="3" t="n"/>
      <c r="P1567" s="3" t="n"/>
      <c r="Q1567" s="3" t="n"/>
      <c r="R1567" s="5">
        <f>IF(Q1567&lt;&gt;"是","排除",IF(OR(L1567="",M1567=""),"",IF(OR(L1567="未知",M1567="未知"),"未知",IF(AND(L1567="真",M1567="真"),"TP",IF(AND(L1567="真",M1567="假"),"FP",IF(AND(L1567="假",M1567="真"),"FN","TN"))))))</f>
        <v/>
      </c>
      <c r="S1567" s="3" t="n"/>
      <c r="T1567" s="3" t="n"/>
      <c r="U1567" s="3" t="n"/>
      <c r="V1567" s="3" t="n"/>
    </row>
    <row r="1568">
      <c r="A1568" s="3" t="n"/>
      <c r="B1568" s="3" t="n"/>
      <c r="C1568" s="3" t="n"/>
      <c r="D1568" s="4" t="n"/>
      <c r="E1568" s="3" t="n"/>
      <c r="F1568" s="3" t="n"/>
      <c r="G1568" s="3" t="n"/>
      <c r="H1568" s="3" t="n"/>
      <c r="I1568" s="3" t="n"/>
      <c r="J1568" s="3" t="n"/>
      <c r="K1568" s="3" t="n"/>
      <c r="L1568" s="3" t="n"/>
      <c r="M1568" s="3" t="n"/>
      <c r="N1568" s="3" t="n"/>
      <c r="O1568" s="3" t="n"/>
      <c r="P1568" s="3" t="n"/>
      <c r="Q1568" s="3" t="n"/>
      <c r="R1568" s="5">
        <f>IF(Q1568&lt;&gt;"是","排除",IF(OR(L1568="",M1568=""),"",IF(OR(L1568="未知",M1568="未知"),"未知",IF(AND(L1568="真",M1568="真"),"TP",IF(AND(L1568="真",M1568="假"),"FP",IF(AND(L1568="假",M1568="真"),"FN","TN"))))))</f>
        <v/>
      </c>
      <c r="S1568" s="3" t="n"/>
      <c r="T1568" s="3" t="n"/>
      <c r="U1568" s="3" t="n"/>
      <c r="V1568" s="3" t="n"/>
    </row>
    <row r="1569">
      <c r="A1569" s="3" t="n"/>
      <c r="B1569" s="3" t="n"/>
      <c r="C1569" s="3" t="n"/>
      <c r="D1569" s="4" t="n"/>
      <c r="E1569" s="3" t="n"/>
      <c r="F1569" s="3" t="n"/>
      <c r="G1569" s="3" t="n"/>
      <c r="H1569" s="3" t="n"/>
      <c r="I1569" s="3" t="n"/>
      <c r="J1569" s="3" t="n"/>
      <c r="K1569" s="3" t="n"/>
      <c r="L1569" s="3" t="n"/>
      <c r="M1569" s="3" t="n"/>
      <c r="N1569" s="3" t="n"/>
      <c r="O1569" s="3" t="n"/>
      <c r="P1569" s="3" t="n"/>
      <c r="Q1569" s="3" t="n"/>
      <c r="R1569" s="5">
        <f>IF(Q1569&lt;&gt;"是","排除",IF(OR(L1569="",M1569=""),"",IF(OR(L1569="未知",M1569="未知"),"未知",IF(AND(L1569="真",M1569="真"),"TP",IF(AND(L1569="真",M1569="假"),"FP",IF(AND(L1569="假",M1569="真"),"FN","TN"))))))</f>
        <v/>
      </c>
      <c r="S1569" s="3" t="n"/>
      <c r="T1569" s="3" t="n"/>
      <c r="U1569" s="3" t="n"/>
      <c r="V1569" s="3" t="n"/>
    </row>
    <row r="1570">
      <c r="A1570" s="3" t="n"/>
      <c r="B1570" s="3" t="n"/>
      <c r="C1570" s="3" t="n"/>
      <c r="D1570" s="4" t="n"/>
      <c r="E1570" s="3" t="n"/>
      <c r="F1570" s="3" t="n"/>
      <c r="G1570" s="3" t="n"/>
      <c r="H1570" s="3" t="n"/>
      <c r="I1570" s="3" t="n"/>
      <c r="J1570" s="3" t="n"/>
      <c r="K1570" s="3" t="n"/>
      <c r="L1570" s="3" t="n"/>
      <c r="M1570" s="3" t="n"/>
      <c r="N1570" s="3" t="n"/>
      <c r="O1570" s="3" t="n"/>
      <c r="P1570" s="3" t="n"/>
      <c r="Q1570" s="3" t="n"/>
      <c r="R1570" s="5">
        <f>IF(Q1570&lt;&gt;"是","排除",IF(OR(L1570="",M1570=""),"",IF(OR(L1570="未知",M1570="未知"),"未知",IF(AND(L1570="真",M1570="真"),"TP",IF(AND(L1570="真",M1570="假"),"FP",IF(AND(L1570="假",M1570="真"),"FN","TN"))))))</f>
        <v/>
      </c>
      <c r="S1570" s="3" t="n"/>
      <c r="T1570" s="3" t="n"/>
      <c r="U1570" s="3" t="n"/>
      <c r="V1570" s="3" t="n"/>
    </row>
    <row r="1571">
      <c r="A1571" s="3" t="n"/>
      <c r="B1571" s="3" t="n"/>
      <c r="C1571" s="3" t="n"/>
      <c r="D1571" s="4" t="n"/>
      <c r="E1571" s="3" t="n"/>
      <c r="F1571" s="3" t="n"/>
      <c r="G1571" s="3" t="n"/>
      <c r="H1571" s="3" t="n"/>
      <c r="I1571" s="3" t="n"/>
      <c r="J1571" s="3" t="n"/>
      <c r="K1571" s="3" t="n"/>
      <c r="L1571" s="3" t="n"/>
      <c r="M1571" s="3" t="n"/>
      <c r="N1571" s="3" t="n"/>
      <c r="O1571" s="3" t="n"/>
      <c r="P1571" s="3" t="n"/>
      <c r="Q1571" s="3" t="n"/>
      <c r="R1571" s="5">
        <f>IF(Q1571&lt;&gt;"是","排除",IF(OR(L1571="",M1571=""),"",IF(OR(L1571="未知",M1571="未知"),"未知",IF(AND(L1571="真",M1571="真"),"TP",IF(AND(L1571="真",M1571="假"),"FP",IF(AND(L1571="假",M1571="真"),"FN","TN"))))))</f>
        <v/>
      </c>
      <c r="S1571" s="3" t="n"/>
      <c r="T1571" s="3" t="n"/>
      <c r="U1571" s="3" t="n"/>
      <c r="V1571" s="3" t="n"/>
    </row>
    <row r="1572">
      <c r="A1572" s="3" t="n"/>
      <c r="B1572" s="3" t="n"/>
      <c r="C1572" s="3" t="n"/>
      <c r="D1572" s="4" t="n"/>
      <c r="E1572" s="3" t="n"/>
      <c r="F1572" s="3" t="n"/>
      <c r="G1572" s="3" t="n"/>
      <c r="H1572" s="3" t="n"/>
      <c r="I1572" s="3" t="n"/>
      <c r="J1572" s="3" t="n"/>
      <c r="K1572" s="3" t="n"/>
      <c r="L1572" s="3" t="n"/>
      <c r="M1572" s="3" t="n"/>
      <c r="N1572" s="3" t="n"/>
      <c r="O1572" s="3" t="n"/>
      <c r="P1572" s="3" t="n"/>
      <c r="Q1572" s="3" t="n"/>
      <c r="R1572" s="5">
        <f>IF(Q1572&lt;&gt;"是","排除",IF(OR(L1572="",M1572=""),"",IF(OR(L1572="未知",M1572="未知"),"未知",IF(AND(L1572="真",M1572="真"),"TP",IF(AND(L1572="真",M1572="假"),"FP",IF(AND(L1572="假",M1572="真"),"FN","TN"))))))</f>
        <v/>
      </c>
      <c r="S1572" s="3" t="n"/>
      <c r="T1572" s="3" t="n"/>
      <c r="U1572" s="3" t="n"/>
      <c r="V1572" s="3" t="n"/>
    </row>
    <row r="1573">
      <c r="A1573" s="3" t="n"/>
      <c r="B1573" s="3" t="n"/>
      <c r="C1573" s="3" t="n"/>
      <c r="D1573" s="4" t="n"/>
      <c r="E1573" s="3" t="n"/>
      <c r="F1573" s="3" t="n"/>
      <c r="G1573" s="3" t="n"/>
      <c r="H1573" s="3" t="n"/>
      <c r="I1573" s="3" t="n"/>
      <c r="J1573" s="3" t="n"/>
      <c r="K1573" s="3" t="n"/>
      <c r="L1573" s="3" t="n"/>
      <c r="M1573" s="3" t="n"/>
      <c r="N1573" s="3" t="n"/>
      <c r="O1573" s="3" t="n"/>
      <c r="P1573" s="3" t="n"/>
      <c r="Q1573" s="3" t="n"/>
      <c r="R1573" s="5">
        <f>IF(Q1573&lt;&gt;"是","排除",IF(OR(L1573="",M1573=""),"",IF(OR(L1573="未知",M1573="未知"),"未知",IF(AND(L1573="真",M1573="真"),"TP",IF(AND(L1573="真",M1573="假"),"FP",IF(AND(L1573="假",M1573="真"),"FN","TN"))))))</f>
        <v/>
      </c>
      <c r="S1573" s="3" t="n"/>
      <c r="T1573" s="3" t="n"/>
      <c r="U1573" s="3" t="n"/>
      <c r="V1573" s="3" t="n"/>
    </row>
    <row r="1574">
      <c r="A1574" s="3" t="n"/>
      <c r="B1574" s="3" t="n"/>
      <c r="C1574" s="3" t="n"/>
      <c r="D1574" s="4" t="n"/>
      <c r="E1574" s="3" t="n"/>
      <c r="F1574" s="3" t="n"/>
      <c r="G1574" s="3" t="n"/>
      <c r="H1574" s="3" t="n"/>
      <c r="I1574" s="3" t="n"/>
      <c r="J1574" s="3" t="n"/>
      <c r="K1574" s="3" t="n"/>
      <c r="L1574" s="3" t="n"/>
      <c r="M1574" s="3" t="n"/>
      <c r="N1574" s="3" t="n"/>
      <c r="O1574" s="3" t="n"/>
      <c r="P1574" s="3" t="n"/>
      <c r="Q1574" s="3" t="n"/>
      <c r="R1574" s="5">
        <f>IF(Q1574&lt;&gt;"是","排除",IF(OR(L1574="",M1574=""),"",IF(OR(L1574="未知",M1574="未知"),"未知",IF(AND(L1574="真",M1574="真"),"TP",IF(AND(L1574="真",M1574="假"),"FP",IF(AND(L1574="假",M1574="真"),"FN","TN"))))))</f>
        <v/>
      </c>
      <c r="S1574" s="3" t="n"/>
      <c r="T1574" s="3" t="n"/>
      <c r="U1574" s="3" t="n"/>
      <c r="V1574" s="3" t="n"/>
    </row>
    <row r="1575">
      <c r="A1575" s="3" t="n"/>
      <c r="B1575" s="3" t="n"/>
      <c r="C1575" s="3" t="n"/>
      <c r="D1575" s="4" t="n"/>
      <c r="E1575" s="3" t="n"/>
      <c r="F1575" s="3" t="n"/>
      <c r="G1575" s="3" t="n"/>
      <c r="H1575" s="3" t="n"/>
      <c r="I1575" s="3" t="n"/>
      <c r="J1575" s="3" t="n"/>
      <c r="K1575" s="3" t="n"/>
      <c r="L1575" s="3" t="n"/>
      <c r="M1575" s="3" t="n"/>
      <c r="N1575" s="3" t="n"/>
      <c r="O1575" s="3" t="n"/>
      <c r="P1575" s="3" t="n"/>
      <c r="Q1575" s="3" t="n"/>
      <c r="R1575" s="5">
        <f>IF(Q1575&lt;&gt;"是","排除",IF(OR(L1575="",M1575=""),"",IF(OR(L1575="未知",M1575="未知"),"未知",IF(AND(L1575="真",M1575="真"),"TP",IF(AND(L1575="真",M1575="假"),"FP",IF(AND(L1575="假",M1575="真"),"FN","TN"))))))</f>
        <v/>
      </c>
      <c r="S1575" s="3" t="n"/>
      <c r="T1575" s="3" t="n"/>
      <c r="U1575" s="3" t="n"/>
      <c r="V1575" s="3" t="n"/>
    </row>
    <row r="1576">
      <c r="A1576" s="3" t="n"/>
      <c r="B1576" s="3" t="n"/>
      <c r="C1576" s="3" t="n"/>
      <c r="D1576" s="4" t="n"/>
      <c r="E1576" s="3" t="n"/>
      <c r="F1576" s="3" t="n"/>
      <c r="G1576" s="3" t="n"/>
      <c r="H1576" s="3" t="n"/>
      <c r="I1576" s="3" t="n"/>
      <c r="J1576" s="3" t="n"/>
      <c r="K1576" s="3" t="n"/>
      <c r="L1576" s="3" t="n"/>
      <c r="M1576" s="3" t="n"/>
      <c r="N1576" s="3" t="n"/>
      <c r="O1576" s="3" t="n"/>
      <c r="P1576" s="3" t="n"/>
      <c r="Q1576" s="3" t="n"/>
      <c r="R1576" s="5">
        <f>IF(Q1576&lt;&gt;"是","排除",IF(OR(L1576="",M1576=""),"",IF(OR(L1576="未知",M1576="未知"),"未知",IF(AND(L1576="真",M1576="真"),"TP",IF(AND(L1576="真",M1576="假"),"FP",IF(AND(L1576="假",M1576="真"),"FN","TN"))))))</f>
        <v/>
      </c>
      <c r="S1576" s="3" t="n"/>
      <c r="T1576" s="3" t="n"/>
      <c r="U1576" s="3" t="n"/>
      <c r="V1576" s="3" t="n"/>
    </row>
    <row r="1577">
      <c r="A1577" s="3" t="n"/>
      <c r="B1577" s="3" t="n"/>
      <c r="C1577" s="3" t="n"/>
      <c r="D1577" s="4" t="n"/>
      <c r="E1577" s="3" t="n"/>
      <c r="F1577" s="3" t="n"/>
      <c r="G1577" s="3" t="n"/>
      <c r="H1577" s="3" t="n"/>
      <c r="I1577" s="3" t="n"/>
      <c r="J1577" s="3" t="n"/>
      <c r="K1577" s="3" t="n"/>
      <c r="L1577" s="3" t="n"/>
      <c r="M1577" s="3" t="n"/>
      <c r="N1577" s="3" t="n"/>
      <c r="O1577" s="3" t="n"/>
      <c r="P1577" s="3" t="n"/>
      <c r="Q1577" s="3" t="n"/>
      <c r="R1577" s="5">
        <f>IF(Q1577&lt;&gt;"是","排除",IF(OR(L1577="",M1577=""),"",IF(OR(L1577="未知",M1577="未知"),"未知",IF(AND(L1577="真",M1577="真"),"TP",IF(AND(L1577="真",M1577="假"),"FP",IF(AND(L1577="假",M1577="真"),"FN","TN"))))))</f>
        <v/>
      </c>
      <c r="S1577" s="3" t="n"/>
      <c r="T1577" s="3" t="n"/>
      <c r="U1577" s="3" t="n"/>
      <c r="V1577" s="3" t="n"/>
    </row>
    <row r="1578">
      <c r="A1578" s="3" t="n"/>
      <c r="B1578" s="3" t="n"/>
      <c r="C1578" s="3" t="n"/>
      <c r="D1578" s="4" t="n"/>
      <c r="E1578" s="3" t="n"/>
      <c r="F1578" s="3" t="n"/>
      <c r="G1578" s="3" t="n"/>
      <c r="H1578" s="3" t="n"/>
      <c r="I1578" s="3" t="n"/>
      <c r="J1578" s="3" t="n"/>
      <c r="K1578" s="3" t="n"/>
      <c r="L1578" s="3" t="n"/>
      <c r="M1578" s="3" t="n"/>
      <c r="N1578" s="3" t="n"/>
      <c r="O1578" s="3" t="n"/>
      <c r="P1578" s="3" t="n"/>
      <c r="Q1578" s="3" t="n"/>
      <c r="R1578" s="5">
        <f>IF(Q1578&lt;&gt;"是","排除",IF(OR(L1578="",M1578=""),"",IF(OR(L1578="未知",M1578="未知"),"未知",IF(AND(L1578="真",M1578="真"),"TP",IF(AND(L1578="真",M1578="假"),"FP",IF(AND(L1578="假",M1578="真"),"FN","TN"))))))</f>
        <v/>
      </c>
      <c r="S1578" s="3" t="n"/>
      <c r="T1578" s="3" t="n"/>
      <c r="U1578" s="3" t="n"/>
      <c r="V1578" s="3" t="n"/>
    </row>
    <row r="1579">
      <c r="A1579" s="3" t="n"/>
      <c r="B1579" s="3" t="n"/>
      <c r="C1579" s="3" t="n"/>
      <c r="D1579" s="4" t="n"/>
      <c r="E1579" s="3" t="n"/>
      <c r="F1579" s="3" t="n"/>
      <c r="G1579" s="3" t="n"/>
      <c r="H1579" s="3" t="n"/>
      <c r="I1579" s="3" t="n"/>
      <c r="J1579" s="3" t="n"/>
      <c r="K1579" s="3" t="n"/>
      <c r="L1579" s="3" t="n"/>
      <c r="M1579" s="3" t="n"/>
      <c r="N1579" s="3" t="n"/>
      <c r="O1579" s="3" t="n"/>
      <c r="P1579" s="3" t="n"/>
      <c r="Q1579" s="3" t="n"/>
      <c r="R1579" s="5">
        <f>IF(Q1579&lt;&gt;"是","排除",IF(OR(L1579="",M1579=""),"",IF(OR(L1579="未知",M1579="未知"),"未知",IF(AND(L1579="真",M1579="真"),"TP",IF(AND(L1579="真",M1579="假"),"FP",IF(AND(L1579="假",M1579="真"),"FN","TN"))))))</f>
        <v/>
      </c>
      <c r="S1579" s="3" t="n"/>
      <c r="T1579" s="3" t="n"/>
      <c r="U1579" s="3" t="n"/>
      <c r="V1579" s="3" t="n"/>
    </row>
    <row r="1580">
      <c r="A1580" s="3" t="n"/>
      <c r="B1580" s="3" t="n"/>
      <c r="C1580" s="3" t="n"/>
      <c r="D1580" s="4" t="n"/>
      <c r="E1580" s="3" t="n"/>
      <c r="F1580" s="3" t="n"/>
      <c r="G1580" s="3" t="n"/>
      <c r="H1580" s="3" t="n"/>
      <c r="I1580" s="3" t="n"/>
      <c r="J1580" s="3" t="n"/>
      <c r="K1580" s="3" t="n"/>
      <c r="L1580" s="3" t="n"/>
      <c r="M1580" s="3" t="n"/>
      <c r="N1580" s="3" t="n"/>
      <c r="O1580" s="3" t="n"/>
      <c r="P1580" s="3" t="n"/>
      <c r="Q1580" s="3" t="n"/>
      <c r="R1580" s="5">
        <f>IF(Q1580&lt;&gt;"是","排除",IF(OR(L1580="",M1580=""),"",IF(OR(L1580="未知",M1580="未知"),"未知",IF(AND(L1580="真",M1580="真"),"TP",IF(AND(L1580="真",M1580="假"),"FP",IF(AND(L1580="假",M1580="真"),"FN","TN"))))))</f>
        <v/>
      </c>
      <c r="S1580" s="3" t="n"/>
      <c r="T1580" s="3" t="n"/>
      <c r="U1580" s="3" t="n"/>
      <c r="V1580" s="3" t="n"/>
    </row>
    <row r="1581">
      <c r="A1581" s="3" t="n"/>
      <c r="B1581" s="3" t="n"/>
      <c r="C1581" s="3" t="n"/>
      <c r="D1581" s="4" t="n"/>
      <c r="E1581" s="3" t="n"/>
      <c r="F1581" s="3" t="n"/>
      <c r="G1581" s="3" t="n"/>
      <c r="H1581" s="3" t="n"/>
      <c r="I1581" s="3" t="n"/>
      <c r="J1581" s="3" t="n"/>
      <c r="K1581" s="3" t="n"/>
      <c r="L1581" s="3" t="n"/>
      <c r="M1581" s="3" t="n"/>
      <c r="N1581" s="3" t="n"/>
      <c r="O1581" s="3" t="n"/>
      <c r="P1581" s="3" t="n"/>
      <c r="Q1581" s="3" t="n"/>
      <c r="R1581" s="5">
        <f>IF(Q1581&lt;&gt;"是","排除",IF(OR(L1581="",M1581=""),"",IF(OR(L1581="未知",M1581="未知"),"未知",IF(AND(L1581="真",M1581="真"),"TP",IF(AND(L1581="真",M1581="假"),"FP",IF(AND(L1581="假",M1581="真"),"FN","TN"))))))</f>
        <v/>
      </c>
      <c r="S1581" s="3" t="n"/>
      <c r="T1581" s="3" t="n"/>
      <c r="U1581" s="3" t="n"/>
      <c r="V1581" s="3" t="n"/>
    </row>
    <row r="1582">
      <c r="A1582" s="3" t="n"/>
      <c r="B1582" s="3" t="n"/>
      <c r="C1582" s="3" t="n"/>
      <c r="D1582" s="4" t="n"/>
      <c r="E1582" s="3" t="n"/>
      <c r="F1582" s="3" t="n"/>
      <c r="G1582" s="3" t="n"/>
      <c r="H1582" s="3" t="n"/>
      <c r="I1582" s="3" t="n"/>
      <c r="J1582" s="3" t="n"/>
      <c r="K1582" s="3" t="n"/>
      <c r="L1582" s="3" t="n"/>
      <c r="M1582" s="3" t="n"/>
      <c r="N1582" s="3" t="n"/>
      <c r="O1582" s="3" t="n"/>
      <c r="P1582" s="3" t="n"/>
      <c r="Q1582" s="3" t="n"/>
      <c r="R1582" s="5">
        <f>IF(Q1582&lt;&gt;"是","排除",IF(OR(L1582="",M1582=""),"",IF(OR(L1582="未知",M1582="未知"),"未知",IF(AND(L1582="真",M1582="真"),"TP",IF(AND(L1582="真",M1582="假"),"FP",IF(AND(L1582="假",M1582="真"),"FN","TN"))))))</f>
        <v/>
      </c>
      <c r="S1582" s="3" t="n"/>
      <c r="T1582" s="3" t="n"/>
      <c r="U1582" s="3" t="n"/>
      <c r="V1582" s="3" t="n"/>
    </row>
    <row r="1583">
      <c r="A1583" s="3" t="n"/>
      <c r="B1583" s="3" t="n"/>
      <c r="C1583" s="3" t="n"/>
      <c r="D1583" s="4" t="n"/>
      <c r="E1583" s="3" t="n"/>
      <c r="F1583" s="3" t="n"/>
      <c r="G1583" s="3" t="n"/>
      <c r="H1583" s="3" t="n"/>
      <c r="I1583" s="3" t="n"/>
      <c r="J1583" s="3" t="n"/>
      <c r="K1583" s="3" t="n"/>
      <c r="L1583" s="3" t="n"/>
      <c r="M1583" s="3" t="n"/>
      <c r="N1583" s="3" t="n"/>
      <c r="O1583" s="3" t="n"/>
      <c r="P1583" s="3" t="n"/>
      <c r="Q1583" s="3" t="n"/>
      <c r="R1583" s="5">
        <f>IF(Q1583&lt;&gt;"是","排除",IF(OR(L1583="",M1583=""),"",IF(OR(L1583="未知",M1583="未知"),"未知",IF(AND(L1583="真",M1583="真"),"TP",IF(AND(L1583="真",M1583="假"),"FP",IF(AND(L1583="假",M1583="真"),"FN","TN"))))))</f>
        <v/>
      </c>
      <c r="S1583" s="3" t="n"/>
      <c r="T1583" s="3" t="n"/>
      <c r="U1583" s="3" t="n"/>
      <c r="V1583" s="3" t="n"/>
    </row>
    <row r="1584">
      <c r="A1584" s="3" t="n"/>
      <c r="B1584" s="3" t="n"/>
      <c r="C1584" s="3" t="n"/>
      <c r="D1584" s="4" t="n"/>
      <c r="E1584" s="3" t="n"/>
      <c r="F1584" s="3" t="n"/>
      <c r="G1584" s="3" t="n"/>
      <c r="H1584" s="3" t="n"/>
      <c r="I1584" s="3" t="n"/>
      <c r="J1584" s="3" t="n"/>
      <c r="K1584" s="3" t="n"/>
      <c r="L1584" s="3" t="n"/>
      <c r="M1584" s="3" t="n"/>
      <c r="N1584" s="3" t="n"/>
      <c r="O1584" s="3" t="n"/>
      <c r="P1584" s="3" t="n"/>
      <c r="Q1584" s="3" t="n"/>
      <c r="R1584" s="5">
        <f>IF(Q1584&lt;&gt;"是","排除",IF(OR(L1584="",M1584=""),"",IF(OR(L1584="未知",M1584="未知"),"未知",IF(AND(L1584="真",M1584="真"),"TP",IF(AND(L1584="真",M1584="假"),"FP",IF(AND(L1584="假",M1584="真"),"FN","TN"))))))</f>
        <v/>
      </c>
      <c r="S1584" s="3" t="n"/>
      <c r="T1584" s="3" t="n"/>
      <c r="U1584" s="3" t="n"/>
      <c r="V1584" s="3" t="n"/>
    </row>
    <row r="1585">
      <c r="A1585" s="3" t="n"/>
      <c r="B1585" s="3" t="n"/>
      <c r="C1585" s="3" t="n"/>
      <c r="D1585" s="4" t="n"/>
      <c r="E1585" s="3" t="n"/>
      <c r="F1585" s="3" t="n"/>
      <c r="G1585" s="3" t="n"/>
      <c r="H1585" s="3" t="n"/>
      <c r="I1585" s="3" t="n"/>
      <c r="J1585" s="3" t="n"/>
      <c r="K1585" s="3" t="n"/>
      <c r="L1585" s="3" t="n"/>
      <c r="M1585" s="3" t="n"/>
      <c r="N1585" s="3" t="n"/>
      <c r="O1585" s="3" t="n"/>
      <c r="P1585" s="3" t="n"/>
      <c r="Q1585" s="3" t="n"/>
      <c r="R1585" s="5">
        <f>IF(Q1585&lt;&gt;"是","排除",IF(OR(L1585="",M1585=""),"",IF(OR(L1585="未知",M1585="未知"),"未知",IF(AND(L1585="真",M1585="真"),"TP",IF(AND(L1585="真",M1585="假"),"FP",IF(AND(L1585="假",M1585="真"),"FN","TN"))))))</f>
        <v/>
      </c>
      <c r="S1585" s="3" t="n"/>
      <c r="T1585" s="3" t="n"/>
      <c r="U1585" s="3" t="n"/>
      <c r="V1585" s="3" t="n"/>
    </row>
    <row r="1586">
      <c r="A1586" s="3" t="n"/>
      <c r="B1586" s="3" t="n"/>
      <c r="C1586" s="3" t="n"/>
      <c r="D1586" s="4" t="n"/>
      <c r="E1586" s="3" t="n"/>
      <c r="F1586" s="3" t="n"/>
      <c r="G1586" s="3" t="n"/>
      <c r="H1586" s="3" t="n"/>
      <c r="I1586" s="3" t="n"/>
      <c r="J1586" s="3" t="n"/>
      <c r="K1586" s="3" t="n"/>
      <c r="L1586" s="3" t="n"/>
      <c r="M1586" s="3" t="n"/>
      <c r="N1586" s="3" t="n"/>
      <c r="O1586" s="3" t="n"/>
      <c r="P1586" s="3" t="n"/>
      <c r="Q1586" s="3" t="n"/>
      <c r="R1586" s="5">
        <f>IF(Q1586&lt;&gt;"是","排除",IF(OR(L1586="",M1586=""),"",IF(OR(L1586="未知",M1586="未知"),"未知",IF(AND(L1586="真",M1586="真"),"TP",IF(AND(L1586="真",M1586="假"),"FP",IF(AND(L1586="假",M1586="真"),"FN","TN"))))))</f>
        <v/>
      </c>
      <c r="S1586" s="3" t="n"/>
      <c r="T1586" s="3" t="n"/>
      <c r="U1586" s="3" t="n"/>
      <c r="V1586" s="3" t="n"/>
    </row>
    <row r="1587">
      <c r="A1587" s="3" t="n"/>
      <c r="B1587" s="3" t="n"/>
      <c r="C1587" s="3" t="n"/>
      <c r="D1587" s="4" t="n"/>
      <c r="E1587" s="3" t="n"/>
      <c r="F1587" s="3" t="n"/>
      <c r="G1587" s="3" t="n"/>
      <c r="H1587" s="3" t="n"/>
      <c r="I1587" s="3" t="n"/>
      <c r="J1587" s="3" t="n"/>
      <c r="K1587" s="3" t="n"/>
      <c r="L1587" s="3" t="n"/>
      <c r="M1587" s="3" t="n"/>
      <c r="N1587" s="3" t="n"/>
      <c r="O1587" s="3" t="n"/>
      <c r="P1587" s="3" t="n"/>
      <c r="Q1587" s="3" t="n"/>
      <c r="R1587" s="5">
        <f>IF(Q1587&lt;&gt;"是","排除",IF(OR(L1587="",M1587=""),"",IF(OR(L1587="未知",M1587="未知"),"未知",IF(AND(L1587="真",M1587="真"),"TP",IF(AND(L1587="真",M1587="假"),"FP",IF(AND(L1587="假",M1587="真"),"FN","TN"))))))</f>
        <v/>
      </c>
      <c r="S1587" s="3" t="n"/>
      <c r="T1587" s="3" t="n"/>
      <c r="U1587" s="3" t="n"/>
      <c r="V1587" s="3" t="n"/>
    </row>
    <row r="1588">
      <c r="A1588" s="3" t="n"/>
      <c r="B1588" s="3" t="n"/>
      <c r="C1588" s="3" t="n"/>
      <c r="D1588" s="4" t="n"/>
      <c r="E1588" s="3" t="n"/>
      <c r="F1588" s="3" t="n"/>
      <c r="G1588" s="3" t="n"/>
      <c r="H1588" s="3" t="n"/>
      <c r="I1588" s="3" t="n"/>
      <c r="J1588" s="3" t="n"/>
      <c r="K1588" s="3" t="n"/>
      <c r="L1588" s="3" t="n"/>
      <c r="M1588" s="3" t="n"/>
      <c r="N1588" s="3" t="n"/>
      <c r="O1588" s="3" t="n"/>
      <c r="P1588" s="3" t="n"/>
      <c r="Q1588" s="3" t="n"/>
      <c r="R1588" s="5">
        <f>IF(Q1588&lt;&gt;"是","排除",IF(OR(L1588="",M1588=""),"",IF(OR(L1588="未知",M1588="未知"),"未知",IF(AND(L1588="真",M1588="真"),"TP",IF(AND(L1588="真",M1588="假"),"FP",IF(AND(L1588="假",M1588="真"),"FN","TN"))))))</f>
        <v/>
      </c>
      <c r="S1588" s="3" t="n"/>
      <c r="T1588" s="3" t="n"/>
      <c r="U1588" s="3" t="n"/>
      <c r="V1588" s="3" t="n"/>
    </row>
    <row r="1589">
      <c r="A1589" s="3" t="n"/>
      <c r="B1589" s="3" t="n"/>
      <c r="C1589" s="3" t="n"/>
      <c r="D1589" s="4" t="n"/>
      <c r="E1589" s="3" t="n"/>
      <c r="F1589" s="3" t="n"/>
      <c r="G1589" s="3" t="n"/>
      <c r="H1589" s="3" t="n"/>
      <c r="I1589" s="3" t="n"/>
      <c r="J1589" s="3" t="n"/>
      <c r="K1589" s="3" t="n"/>
      <c r="L1589" s="3" t="n"/>
      <c r="M1589" s="3" t="n"/>
      <c r="N1589" s="3" t="n"/>
      <c r="O1589" s="3" t="n"/>
      <c r="P1589" s="3" t="n"/>
      <c r="Q1589" s="3" t="n"/>
      <c r="R1589" s="5">
        <f>IF(Q1589&lt;&gt;"是","排除",IF(OR(L1589="",M1589=""),"",IF(OR(L1589="未知",M1589="未知"),"未知",IF(AND(L1589="真",M1589="真"),"TP",IF(AND(L1589="真",M1589="假"),"FP",IF(AND(L1589="假",M1589="真"),"FN","TN"))))))</f>
        <v/>
      </c>
      <c r="S1589" s="3" t="n"/>
      <c r="T1589" s="3" t="n"/>
      <c r="U1589" s="3" t="n"/>
      <c r="V1589" s="3" t="n"/>
    </row>
    <row r="1590">
      <c r="A1590" s="3" t="n"/>
      <c r="B1590" s="3" t="n"/>
      <c r="C1590" s="3" t="n"/>
      <c r="D1590" s="4" t="n"/>
      <c r="E1590" s="3" t="n"/>
      <c r="F1590" s="3" t="n"/>
      <c r="G1590" s="3" t="n"/>
      <c r="H1590" s="3" t="n"/>
      <c r="I1590" s="3" t="n"/>
      <c r="J1590" s="3" t="n"/>
      <c r="K1590" s="3" t="n"/>
      <c r="L1590" s="3" t="n"/>
      <c r="M1590" s="3" t="n"/>
      <c r="N1590" s="3" t="n"/>
      <c r="O1590" s="3" t="n"/>
      <c r="P1590" s="3" t="n"/>
      <c r="Q1590" s="3" t="n"/>
      <c r="R1590" s="5">
        <f>IF(Q1590&lt;&gt;"是","排除",IF(OR(L1590="",M1590=""),"",IF(OR(L1590="未知",M1590="未知"),"未知",IF(AND(L1590="真",M1590="真"),"TP",IF(AND(L1590="真",M1590="假"),"FP",IF(AND(L1590="假",M1590="真"),"FN","TN"))))))</f>
        <v/>
      </c>
      <c r="S1590" s="3" t="n"/>
      <c r="T1590" s="3" t="n"/>
      <c r="U1590" s="3" t="n"/>
      <c r="V1590" s="3" t="n"/>
    </row>
    <row r="1591">
      <c r="A1591" s="3" t="n"/>
      <c r="B1591" s="3" t="n"/>
      <c r="C1591" s="3" t="n"/>
      <c r="D1591" s="4" t="n"/>
      <c r="E1591" s="3" t="n"/>
      <c r="F1591" s="3" t="n"/>
      <c r="G1591" s="3" t="n"/>
      <c r="H1591" s="3" t="n"/>
      <c r="I1591" s="3" t="n"/>
      <c r="J1591" s="3" t="n"/>
      <c r="K1591" s="3" t="n"/>
      <c r="L1591" s="3" t="n"/>
      <c r="M1591" s="3" t="n"/>
      <c r="N1591" s="3" t="n"/>
      <c r="O1591" s="3" t="n"/>
      <c r="P1591" s="3" t="n"/>
      <c r="Q1591" s="3" t="n"/>
      <c r="R1591" s="5">
        <f>IF(Q1591&lt;&gt;"是","排除",IF(OR(L1591="",M1591=""),"",IF(OR(L1591="未知",M1591="未知"),"未知",IF(AND(L1591="真",M1591="真"),"TP",IF(AND(L1591="真",M1591="假"),"FP",IF(AND(L1591="假",M1591="真"),"FN","TN"))))))</f>
        <v/>
      </c>
      <c r="S1591" s="3" t="n"/>
      <c r="T1591" s="3" t="n"/>
      <c r="U1591" s="3" t="n"/>
      <c r="V1591" s="3" t="n"/>
    </row>
    <row r="1592">
      <c r="A1592" s="3" t="n"/>
      <c r="B1592" s="3" t="n"/>
      <c r="C1592" s="3" t="n"/>
      <c r="D1592" s="4" t="n"/>
      <c r="E1592" s="3" t="n"/>
      <c r="F1592" s="3" t="n"/>
      <c r="G1592" s="3" t="n"/>
      <c r="H1592" s="3" t="n"/>
      <c r="I1592" s="3" t="n"/>
      <c r="J1592" s="3" t="n"/>
      <c r="K1592" s="3" t="n"/>
      <c r="L1592" s="3" t="n"/>
      <c r="M1592" s="3" t="n"/>
      <c r="N1592" s="3" t="n"/>
      <c r="O1592" s="3" t="n"/>
      <c r="P1592" s="3" t="n"/>
      <c r="Q1592" s="3" t="n"/>
      <c r="R1592" s="5">
        <f>IF(Q1592&lt;&gt;"是","排除",IF(OR(L1592="",M1592=""),"",IF(OR(L1592="未知",M1592="未知"),"未知",IF(AND(L1592="真",M1592="真"),"TP",IF(AND(L1592="真",M1592="假"),"FP",IF(AND(L1592="假",M1592="真"),"FN","TN"))))))</f>
        <v/>
      </c>
      <c r="S1592" s="3" t="n"/>
      <c r="T1592" s="3" t="n"/>
      <c r="U1592" s="3" t="n"/>
      <c r="V1592" s="3" t="n"/>
    </row>
    <row r="1593">
      <c r="A1593" s="3" t="n"/>
      <c r="B1593" s="3" t="n"/>
      <c r="C1593" s="3" t="n"/>
      <c r="D1593" s="4" t="n"/>
      <c r="E1593" s="3" t="n"/>
      <c r="F1593" s="3" t="n"/>
      <c r="G1593" s="3" t="n"/>
      <c r="H1593" s="3" t="n"/>
      <c r="I1593" s="3" t="n"/>
      <c r="J1593" s="3" t="n"/>
      <c r="K1593" s="3" t="n"/>
      <c r="L1593" s="3" t="n"/>
      <c r="M1593" s="3" t="n"/>
      <c r="N1593" s="3" t="n"/>
      <c r="O1593" s="3" t="n"/>
      <c r="P1593" s="3" t="n"/>
      <c r="Q1593" s="3" t="n"/>
      <c r="R1593" s="5">
        <f>IF(Q1593&lt;&gt;"是","排除",IF(OR(L1593="",M1593=""),"",IF(OR(L1593="未知",M1593="未知"),"未知",IF(AND(L1593="真",M1593="真"),"TP",IF(AND(L1593="真",M1593="假"),"FP",IF(AND(L1593="假",M1593="真"),"FN","TN"))))))</f>
        <v/>
      </c>
      <c r="S1593" s="3" t="n"/>
      <c r="T1593" s="3" t="n"/>
      <c r="U1593" s="3" t="n"/>
      <c r="V1593" s="3" t="n"/>
    </row>
    <row r="1594">
      <c r="A1594" s="3" t="n"/>
      <c r="B1594" s="3" t="n"/>
      <c r="C1594" s="3" t="n"/>
      <c r="D1594" s="4" t="n"/>
      <c r="E1594" s="3" t="n"/>
      <c r="F1594" s="3" t="n"/>
      <c r="G1594" s="3" t="n"/>
      <c r="H1594" s="3" t="n"/>
      <c r="I1594" s="3" t="n"/>
      <c r="J1594" s="3" t="n"/>
      <c r="K1594" s="3" t="n"/>
      <c r="L1594" s="3" t="n"/>
      <c r="M1594" s="3" t="n"/>
      <c r="N1594" s="3" t="n"/>
      <c r="O1594" s="3" t="n"/>
      <c r="P1594" s="3" t="n"/>
      <c r="Q1594" s="3" t="n"/>
      <c r="R1594" s="5">
        <f>IF(Q1594&lt;&gt;"是","排除",IF(OR(L1594="",M1594=""),"",IF(OR(L1594="未知",M1594="未知"),"未知",IF(AND(L1594="真",M1594="真"),"TP",IF(AND(L1594="真",M1594="假"),"FP",IF(AND(L1594="假",M1594="真"),"FN","TN"))))))</f>
        <v/>
      </c>
      <c r="S1594" s="3" t="n"/>
      <c r="T1594" s="3" t="n"/>
      <c r="U1594" s="3" t="n"/>
      <c r="V1594" s="3" t="n"/>
    </row>
    <row r="1595">
      <c r="A1595" s="3" t="n"/>
      <c r="B1595" s="3" t="n"/>
      <c r="C1595" s="3" t="n"/>
      <c r="D1595" s="4" t="n"/>
      <c r="E1595" s="3" t="n"/>
      <c r="F1595" s="3" t="n"/>
      <c r="G1595" s="3" t="n"/>
      <c r="H1595" s="3" t="n"/>
      <c r="I1595" s="3" t="n"/>
      <c r="J1595" s="3" t="n"/>
      <c r="K1595" s="3" t="n"/>
      <c r="L1595" s="3" t="n"/>
      <c r="M1595" s="3" t="n"/>
      <c r="N1595" s="3" t="n"/>
      <c r="O1595" s="3" t="n"/>
      <c r="P1595" s="3" t="n"/>
      <c r="Q1595" s="3" t="n"/>
      <c r="R1595" s="5">
        <f>IF(Q1595&lt;&gt;"是","排除",IF(OR(L1595="",M1595=""),"",IF(OR(L1595="未知",M1595="未知"),"未知",IF(AND(L1595="真",M1595="真"),"TP",IF(AND(L1595="真",M1595="假"),"FP",IF(AND(L1595="假",M1595="真"),"FN","TN"))))))</f>
        <v/>
      </c>
      <c r="S1595" s="3" t="n"/>
      <c r="T1595" s="3" t="n"/>
      <c r="U1595" s="3" t="n"/>
      <c r="V1595" s="3" t="n"/>
    </row>
    <row r="1596">
      <c r="A1596" s="3" t="n"/>
      <c r="B1596" s="3" t="n"/>
      <c r="C1596" s="3" t="n"/>
      <c r="D1596" s="4" t="n"/>
      <c r="E1596" s="3" t="n"/>
      <c r="F1596" s="3" t="n"/>
      <c r="G1596" s="3" t="n"/>
      <c r="H1596" s="3" t="n"/>
      <c r="I1596" s="3" t="n"/>
      <c r="J1596" s="3" t="n"/>
      <c r="K1596" s="3" t="n"/>
      <c r="L1596" s="3" t="n"/>
      <c r="M1596" s="3" t="n"/>
      <c r="N1596" s="3" t="n"/>
      <c r="O1596" s="3" t="n"/>
      <c r="P1596" s="3" t="n"/>
      <c r="Q1596" s="3" t="n"/>
      <c r="R1596" s="5">
        <f>IF(Q1596&lt;&gt;"是","排除",IF(OR(L1596="",M1596=""),"",IF(OR(L1596="未知",M1596="未知"),"未知",IF(AND(L1596="真",M1596="真"),"TP",IF(AND(L1596="真",M1596="假"),"FP",IF(AND(L1596="假",M1596="真"),"FN","TN"))))))</f>
        <v/>
      </c>
      <c r="S1596" s="3" t="n"/>
      <c r="T1596" s="3" t="n"/>
      <c r="U1596" s="3" t="n"/>
      <c r="V1596" s="3" t="n"/>
    </row>
    <row r="1597">
      <c r="A1597" s="3" t="n"/>
      <c r="B1597" s="3" t="n"/>
      <c r="C1597" s="3" t="n"/>
      <c r="D1597" s="4" t="n"/>
      <c r="E1597" s="3" t="n"/>
      <c r="F1597" s="3" t="n"/>
      <c r="G1597" s="3" t="n"/>
      <c r="H1597" s="3" t="n"/>
      <c r="I1597" s="3" t="n"/>
      <c r="J1597" s="3" t="n"/>
      <c r="K1597" s="3" t="n"/>
      <c r="L1597" s="3" t="n"/>
      <c r="M1597" s="3" t="n"/>
      <c r="N1597" s="3" t="n"/>
      <c r="O1597" s="3" t="n"/>
      <c r="P1597" s="3" t="n"/>
      <c r="Q1597" s="3" t="n"/>
      <c r="R1597" s="5">
        <f>IF(Q1597&lt;&gt;"是","排除",IF(OR(L1597="",M1597=""),"",IF(OR(L1597="未知",M1597="未知"),"未知",IF(AND(L1597="真",M1597="真"),"TP",IF(AND(L1597="真",M1597="假"),"FP",IF(AND(L1597="假",M1597="真"),"FN","TN"))))))</f>
        <v/>
      </c>
      <c r="S1597" s="3" t="n"/>
      <c r="T1597" s="3" t="n"/>
      <c r="U1597" s="3" t="n"/>
      <c r="V1597" s="3" t="n"/>
    </row>
    <row r="1598">
      <c r="A1598" s="3" t="n"/>
      <c r="B1598" s="3" t="n"/>
      <c r="C1598" s="3" t="n"/>
      <c r="D1598" s="4" t="n"/>
      <c r="E1598" s="3" t="n"/>
      <c r="F1598" s="3" t="n"/>
      <c r="G1598" s="3" t="n"/>
      <c r="H1598" s="3" t="n"/>
      <c r="I1598" s="3" t="n"/>
      <c r="J1598" s="3" t="n"/>
      <c r="K1598" s="3" t="n"/>
      <c r="L1598" s="3" t="n"/>
      <c r="M1598" s="3" t="n"/>
      <c r="N1598" s="3" t="n"/>
      <c r="O1598" s="3" t="n"/>
      <c r="P1598" s="3" t="n"/>
      <c r="Q1598" s="3" t="n"/>
      <c r="R1598" s="5">
        <f>IF(Q1598&lt;&gt;"是","排除",IF(OR(L1598="",M1598=""),"",IF(OR(L1598="未知",M1598="未知"),"未知",IF(AND(L1598="真",M1598="真"),"TP",IF(AND(L1598="真",M1598="假"),"FP",IF(AND(L1598="假",M1598="真"),"FN","TN"))))))</f>
        <v/>
      </c>
      <c r="S1598" s="3" t="n"/>
      <c r="T1598" s="3" t="n"/>
      <c r="U1598" s="3" t="n"/>
      <c r="V1598" s="3" t="n"/>
    </row>
    <row r="1599">
      <c r="A1599" s="3" t="n"/>
      <c r="B1599" s="3" t="n"/>
      <c r="C1599" s="3" t="n"/>
      <c r="D1599" s="4" t="n"/>
      <c r="E1599" s="3" t="n"/>
      <c r="F1599" s="3" t="n"/>
      <c r="G1599" s="3" t="n"/>
      <c r="H1599" s="3" t="n"/>
      <c r="I1599" s="3" t="n"/>
      <c r="J1599" s="3" t="n"/>
      <c r="K1599" s="3" t="n"/>
      <c r="L1599" s="3" t="n"/>
      <c r="M1599" s="3" t="n"/>
      <c r="N1599" s="3" t="n"/>
      <c r="O1599" s="3" t="n"/>
      <c r="P1599" s="3" t="n"/>
      <c r="Q1599" s="3" t="n"/>
      <c r="R1599" s="5">
        <f>IF(Q1599&lt;&gt;"是","排除",IF(OR(L1599="",M1599=""),"",IF(OR(L1599="未知",M1599="未知"),"未知",IF(AND(L1599="真",M1599="真"),"TP",IF(AND(L1599="真",M1599="假"),"FP",IF(AND(L1599="假",M1599="真"),"FN","TN"))))))</f>
        <v/>
      </c>
      <c r="S1599" s="3" t="n"/>
      <c r="T1599" s="3" t="n"/>
      <c r="U1599" s="3" t="n"/>
      <c r="V1599" s="3" t="n"/>
    </row>
    <row r="1600">
      <c r="A1600" s="3" t="n"/>
      <c r="B1600" s="3" t="n"/>
      <c r="C1600" s="3" t="n"/>
      <c r="D1600" s="4" t="n"/>
      <c r="E1600" s="3" t="n"/>
      <c r="F1600" s="3" t="n"/>
      <c r="G1600" s="3" t="n"/>
      <c r="H1600" s="3" t="n"/>
      <c r="I1600" s="3" t="n"/>
      <c r="J1600" s="3" t="n"/>
      <c r="K1600" s="3" t="n"/>
      <c r="L1600" s="3" t="n"/>
      <c r="M1600" s="3" t="n"/>
      <c r="N1600" s="3" t="n"/>
      <c r="O1600" s="3" t="n"/>
      <c r="P1600" s="3" t="n"/>
      <c r="Q1600" s="3" t="n"/>
      <c r="R1600" s="5">
        <f>IF(Q1600&lt;&gt;"是","排除",IF(OR(L1600="",M1600=""),"",IF(OR(L1600="未知",M1600="未知"),"未知",IF(AND(L1600="真",M1600="真"),"TP",IF(AND(L1600="真",M1600="假"),"FP",IF(AND(L1600="假",M1600="真"),"FN","TN"))))))</f>
        <v/>
      </c>
      <c r="S1600" s="3" t="n"/>
      <c r="T1600" s="3" t="n"/>
      <c r="U1600" s="3" t="n"/>
      <c r="V1600" s="3" t="n"/>
    </row>
    <row r="1601">
      <c r="A1601" s="3" t="n"/>
      <c r="B1601" s="3" t="n"/>
      <c r="C1601" s="3" t="n"/>
      <c r="D1601" s="4" t="n"/>
      <c r="E1601" s="3" t="n"/>
      <c r="F1601" s="3" t="n"/>
      <c r="G1601" s="3" t="n"/>
      <c r="H1601" s="3" t="n"/>
      <c r="I1601" s="3" t="n"/>
      <c r="J1601" s="3" t="n"/>
      <c r="K1601" s="3" t="n"/>
      <c r="L1601" s="3" t="n"/>
      <c r="M1601" s="3" t="n"/>
      <c r="N1601" s="3" t="n"/>
      <c r="O1601" s="3" t="n"/>
      <c r="P1601" s="3" t="n"/>
      <c r="Q1601" s="3" t="n"/>
      <c r="R1601" s="5">
        <f>IF(Q1601&lt;&gt;"是","排除",IF(OR(L1601="",M1601=""),"",IF(OR(L1601="未知",M1601="未知"),"未知",IF(AND(L1601="真",M1601="真"),"TP",IF(AND(L1601="真",M1601="假"),"FP",IF(AND(L1601="假",M1601="真"),"FN","TN"))))))</f>
        <v/>
      </c>
      <c r="S1601" s="3" t="n"/>
      <c r="T1601" s="3" t="n"/>
      <c r="U1601" s="3" t="n"/>
      <c r="V1601" s="3" t="n"/>
    </row>
    <row r="1602">
      <c r="A1602" s="3" t="n"/>
      <c r="B1602" s="3" t="n"/>
      <c r="C1602" s="3" t="n"/>
      <c r="D1602" s="4" t="n"/>
      <c r="E1602" s="3" t="n"/>
      <c r="F1602" s="3" t="n"/>
      <c r="G1602" s="3" t="n"/>
      <c r="H1602" s="3" t="n"/>
      <c r="I1602" s="3" t="n"/>
      <c r="J1602" s="3" t="n"/>
      <c r="K1602" s="3" t="n"/>
      <c r="L1602" s="3" t="n"/>
      <c r="M1602" s="3" t="n"/>
      <c r="N1602" s="3" t="n"/>
      <c r="O1602" s="3" t="n"/>
      <c r="P1602" s="3" t="n"/>
      <c r="Q1602" s="3" t="n"/>
      <c r="R1602" s="5">
        <f>IF(Q1602&lt;&gt;"是","排除",IF(OR(L1602="",M1602=""),"",IF(OR(L1602="未知",M1602="未知"),"未知",IF(AND(L1602="真",M1602="真"),"TP",IF(AND(L1602="真",M1602="假"),"FP",IF(AND(L1602="假",M1602="真"),"FN","TN"))))))</f>
        <v/>
      </c>
      <c r="S1602" s="3" t="n"/>
      <c r="T1602" s="3" t="n"/>
      <c r="U1602" s="3" t="n"/>
      <c r="V1602" s="3" t="n"/>
    </row>
    <row r="1603">
      <c r="A1603" s="3" t="n"/>
      <c r="B1603" s="3" t="n"/>
      <c r="C1603" s="3" t="n"/>
      <c r="D1603" s="4" t="n"/>
      <c r="E1603" s="3" t="n"/>
      <c r="F1603" s="3" t="n"/>
      <c r="G1603" s="3" t="n"/>
      <c r="H1603" s="3" t="n"/>
      <c r="I1603" s="3" t="n"/>
      <c r="J1603" s="3" t="n"/>
      <c r="K1603" s="3" t="n"/>
      <c r="L1603" s="3" t="n"/>
      <c r="M1603" s="3" t="n"/>
      <c r="N1603" s="3" t="n"/>
      <c r="O1603" s="3" t="n"/>
      <c r="P1603" s="3" t="n"/>
      <c r="Q1603" s="3" t="n"/>
      <c r="R1603" s="5">
        <f>IF(Q1603&lt;&gt;"是","排除",IF(OR(L1603="",M1603=""),"",IF(OR(L1603="未知",M1603="未知"),"未知",IF(AND(L1603="真",M1603="真"),"TP",IF(AND(L1603="真",M1603="假"),"FP",IF(AND(L1603="假",M1603="真"),"FN","TN"))))))</f>
        <v/>
      </c>
      <c r="S1603" s="3" t="n"/>
      <c r="T1603" s="3" t="n"/>
      <c r="U1603" s="3" t="n"/>
      <c r="V1603" s="3" t="n"/>
    </row>
    <row r="1604">
      <c r="A1604" s="3" t="n"/>
      <c r="B1604" s="3" t="n"/>
      <c r="C1604" s="3" t="n"/>
      <c r="D1604" s="4" t="n"/>
      <c r="E1604" s="3" t="n"/>
      <c r="F1604" s="3" t="n"/>
      <c r="G1604" s="3" t="n"/>
      <c r="H1604" s="3" t="n"/>
      <c r="I1604" s="3" t="n"/>
      <c r="J1604" s="3" t="n"/>
      <c r="K1604" s="3" t="n"/>
      <c r="L1604" s="3" t="n"/>
      <c r="M1604" s="3" t="n"/>
      <c r="N1604" s="3" t="n"/>
      <c r="O1604" s="3" t="n"/>
      <c r="P1604" s="3" t="n"/>
      <c r="Q1604" s="3" t="n"/>
      <c r="R1604" s="5">
        <f>IF(Q1604&lt;&gt;"是","排除",IF(OR(L1604="",M1604=""),"",IF(OR(L1604="未知",M1604="未知"),"未知",IF(AND(L1604="真",M1604="真"),"TP",IF(AND(L1604="真",M1604="假"),"FP",IF(AND(L1604="假",M1604="真"),"FN","TN"))))))</f>
        <v/>
      </c>
      <c r="S1604" s="3" t="n"/>
      <c r="T1604" s="3" t="n"/>
      <c r="U1604" s="3" t="n"/>
      <c r="V1604" s="3" t="n"/>
    </row>
    <row r="1605">
      <c r="A1605" s="3" t="n"/>
      <c r="B1605" s="3" t="n"/>
      <c r="C1605" s="3" t="n"/>
      <c r="D1605" s="4" t="n"/>
      <c r="E1605" s="3" t="n"/>
      <c r="F1605" s="3" t="n"/>
      <c r="G1605" s="3" t="n"/>
      <c r="H1605" s="3" t="n"/>
      <c r="I1605" s="3" t="n"/>
      <c r="J1605" s="3" t="n"/>
      <c r="K1605" s="3" t="n"/>
      <c r="L1605" s="3" t="n"/>
      <c r="M1605" s="3" t="n"/>
      <c r="N1605" s="3" t="n"/>
      <c r="O1605" s="3" t="n"/>
      <c r="P1605" s="3" t="n"/>
      <c r="Q1605" s="3" t="n"/>
      <c r="R1605" s="5">
        <f>IF(Q1605&lt;&gt;"是","排除",IF(OR(L1605="",M1605=""),"",IF(OR(L1605="未知",M1605="未知"),"未知",IF(AND(L1605="真",M1605="真"),"TP",IF(AND(L1605="真",M1605="假"),"FP",IF(AND(L1605="假",M1605="真"),"FN","TN"))))))</f>
        <v/>
      </c>
      <c r="S1605" s="3" t="n"/>
      <c r="T1605" s="3" t="n"/>
      <c r="U1605" s="3" t="n"/>
      <c r="V1605" s="3" t="n"/>
    </row>
    <row r="1606">
      <c r="A1606" s="3" t="n"/>
      <c r="B1606" s="3" t="n"/>
      <c r="C1606" s="3" t="n"/>
      <c r="D1606" s="4" t="n"/>
      <c r="E1606" s="3" t="n"/>
      <c r="F1606" s="3" t="n"/>
      <c r="G1606" s="3" t="n"/>
      <c r="H1606" s="3" t="n"/>
      <c r="I1606" s="3" t="n"/>
      <c r="J1606" s="3" t="n"/>
      <c r="K1606" s="3" t="n"/>
      <c r="L1606" s="3" t="n"/>
      <c r="M1606" s="3" t="n"/>
      <c r="N1606" s="3" t="n"/>
      <c r="O1606" s="3" t="n"/>
      <c r="P1606" s="3" t="n"/>
      <c r="Q1606" s="3" t="n"/>
      <c r="R1606" s="5">
        <f>IF(Q1606&lt;&gt;"是","排除",IF(OR(L1606="",M1606=""),"",IF(OR(L1606="未知",M1606="未知"),"未知",IF(AND(L1606="真",M1606="真"),"TP",IF(AND(L1606="真",M1606="假"),"FP",IF(AND(L1606="假",M1606="真"),"FN","TN"))))))</f>
        <v/>
      </c>
      <c r="S1606" s="3" t="n"/>
      <c r="T1606" s="3" t="n"/>
      <c r="U1606" s="3" t="n"/>
      <c r="V1606" s="3" t="n"/>
    </row>
    <row r="1607">
      <c r="A1607" s="3" t="n"/>
      <c r="B1607" s="3" t="n"/>
      <c r="C1607" s="3" t="n"/>
      <c r="D1607" s="4" t="n"/>
      <c r="E1607" s="3" t="n"/>
      <c r="F1607" s="3" t="n"/>
      <c r="G1607" s="3" t="n"/>
      <c r="H1607" s="3" t="n"/>
      <c r="I1607" s="3" t="n"/>
      <c r="J1607" s="3" t="n"/>
      <c r="K1607" s="3" t="n"/>
      <c r="L1607" s="3" t="n"/>
      <c r="M1607" s="3" t="n"/>
      <c r="N1607" s="3" t="n"/>
      <c r="O1607" s="3" t="n"/>
      <c r="P1607" s="3" t="n"/>
      <c r="Q1607" s="3" t="n"/>
      <c r="R1607" s="5">
        <f>IF(Q1607&lt;&gt;"是","排除",IF(OR(L1607="",M1607=""),"",IF(OR(L1607="未知",M1607="未知"),"未知",IF(AND(L1607="真",M1607="真"),"TP",IF(AND(L1607="真",M1607="假"),"FP",IF(AND(L1607="假",M1607="真"),"FN","TN"))))))</f>
        <v/>
      </c>
      <c r="S1607" s="3" t="n"/>
      <c r="T1607" s="3" t="n"/>
      <c r="U1607" s="3" t="n"/>
      <c r="V1607" s="3" t="n"/>
    </row>
    <row r="1608">
      <c r="A1608" s="3" t="n"/>
      <c r="B1608" s="3" t="n"/>
      <c r="C1608" s="3" t="n"/>
      <c r="D1608" s="4" t="n"/>
      <c r="E1608" s="3" t="n"/>
      <c r="F1608" s="3" t="n"/>
      <c r="G1608" s="3" t="n"/>
      <c r="H1608" s="3" t="n"/>
      <c r="I1608" s="3" t="n"/>
      <c r="J1608" s="3" t="n"/>
      <c r="K1608" s="3" t="n"/>
      <c r="L1608" s="3" t="n"/>
      <c r="M1608" s="3" t="n"/>
      <c r="N1608" s="3" t="n"/>
      <c r="O1608" s="3" t="n"/>
      <c r="P1608" s="3" t="n"/>
      <c r="Q1608" s="3" t="n"/>
      <c r="R1608" s="5">
        <f>IF(Q1608&lt;&gt;"是","排除",IF(OR(L1608="",M1608=""),"",IF(OR(L1608="未知",M1608="未知"),"未知",IF(AND(L1608="真",M1608="真"),"TP",IF(AND(L1608="真",M1608="假"),"FP",IF(AND(L1608="假",M1608="真"),"FN","TN"))))))</f>
        <v/>
      </c>
      <c r="S1608" s="3" t="n"/>
      <c r="T1608" s="3" t="n"/>
      <c r="U1608" s="3" t="n"/>
      <c r="V1608" s="3" t="n"/>
    </row>
    <row r="1609">
      <c r="A1609" s="3" t="n"/>
      <c r="B1609" s="3" t="n"/>
      <c r="C1609" s="3" t="n"/>
      <c r="D1609" s="4" t="n"/>
      <c r="E1609" s="3" t="n"/>
      <c r="F1609" s="3" t="n"/>
      <c r="G1609" s="3" t="n"/>
      <c r="H1609" s="3" t="n"/>
      <c r="I1609" s="3" t="n"/>
      <c r="J1609" s="3" t="n"/>
      <c r="K1609" s="3" t="n"/>
      <c r="L1609" s="3" t="n"/>
      <c r="M1609" s="3" t="n"/>
      <c r="N1609" s="3" t="n"/>
      <c r="O1609" s="3" t="n"/>
      <c r="P1609" s="3" t="n"/>
      <c r="Q1609" s="3" t="n"/>
      <c r="R1609" s="5">
        <f>IF(Q1609&lt;&gt;"是","排除",IF(OR(L1609="",M1609=""),"",IF(OR(L1609="未知",M1609="未知"),"未知",IF(AND(L1609="真",M1609="真"),"TP",IF(AND(L1609="真",M1609="假"),"FP",IF(AND(L1609="假",M1609="真"),"FN","TN"))))))</f>
        <v/>
      </c>
      <c r="S1609" s="3" t="n"/>
      <c r="T1609" s="3" t="n"/>
      <c r="U1609" s="3" t="n"/>
      <c r="V1609" s="3" t="n"/>
    </row>
    <row r="1610">
      <c r="A1610" s="3" t="n"/>
      <c r="B1610" s="3" t="n"/>
      <c r="C1610" s="3" t="n"/>
      <c r="D1610" s="4" t="n"/>
      <c r="E1610" s="3" t="n"/>
      <c r="F1610" s="3" t="n"/>
      <c r="G1610" s="3" t="n"/>
      <c r="H1610" s="3" t="n"/>
      <c r="I1610" s="3" t="n"/>
      <c r="J1610" s="3" t="n"/>
      <c r="K1610" s="3" t="n"/>
      <c r="L1610" s="3" t="n"/>
      <c r="M1610" s="3" t="n"/>
      <c r="N1610" s="3" t="n"/>
      <c r="O1610" s="3" t="n"/>
      <c r="P1610" s="3" t="n"/>
      <c r="Q1610" s="3" t="n"/>
      <c r="R1610" s="5">
        <f>IF(Q1610&lt;&gt;"是","排除",IF(OR(L1610="",M1610=""),"",IF(OR(L1610="未知",M1610="未知"),"未知",IF(AND(L1610="真",M1610="真"),"TP",IF(AND(L1610="真",M1610="假"),"FP",IF(AND(L1610="假",M1610="真"),"FN","TN"))))))</f>
        <v/>
      </c>
      <c r="S1610" s="3" t="n"/>
      <c r="T1610" s="3" t="n"/>
      <c r="U1610" s="3" t="n"/>
      <c r="V1610" s="3" t="n"/>
    </row>
    <row r="1611">
      <c r="A1611" s="3" t="n"/>
      <c r="B1611" s="3" t="n"/>
      <c r="C1611" s="3" t="n"/>
      <c r="D1611" s="4" t="n"/>
      <c r="E1611" s="3" t="n"/>
      <c r="F1611" s="3" t="n"/>
      <c r="G1611" s="3" t="n"/>
      <c r="H1611" s="3" t="n"/>
      <c r="I1611" s="3" t="n"/>
      <c r="J1611" s="3" t="n"/>
      <c r="K1611" s="3" t="n"/>
      <c r="L1611" s="3" t="n"/>
      <c r="M1611" s="3" t="n"/>
      <c r="N1611" s="3" t="n"/>
      <c r="O1611" s="3" t="n"/>
      <c r="P1611" s="3" t="n"/>
      <c r="Q1611" s="3" t="n"/>
      <c r="R1611" s="5">
        <f>IF(Q1611&lt;&gt;"是","排除",IF(OR(L1611="",M1611=""),"",IF(OR(L1611="未知",M1611="未知"),"未知",IF(AND(L1611="真",M1611="真"),"TP",IF(AND(L1611="真",M1611="假"),"FP",IF(AND(L1611="假",M1611="真"),"FN","TN"))))))</f>
        <v/>
      </c>
      <c r="S1611" s="3" t="n"/>
      <c r="T1611" s="3" t="n"/>
      <c r="U1611" s="3" t="n"/>
      <c r="V1611" s="3" t="n"/>
    </row>
    <row r="1612">
      <c r="A1612" s="3" t="n"/>
      <c r="B1612" s="3" t="n"/>
      <c r="C1612" s="3" t="n"/>
      <c r="D1612" s="4" t="n"/>
      <c r="E1612" s="3" t="n"/>
      <c r="F1612" s="3" t="n"/>
      <c r="G1612" s="3" t="n"/>
      <c r="H1612" s="3" t="n"/>
      <c r="I1612" s="3" t="n"/>
      <c r="J1612" s="3" t="n"/>
      <c r="K1612" s="3" t="n"/>
      <c r="L1612" s="3" t="n"/>
      <c r="M1612" s="3" t="n"/>
      <c r="N1612" s="3" t="n"/>
      <c r="O1612" s="3" t="n"/>
      <c r="P1612" s="3" t="n"/>
      <c r="Q1612" s="3" t="n"/>
      <c r="R1612" s="5">
        <f>IF(Q1612&lt;&gt;"是","排除",IF(OR(L1612="",M1612=""),"",IF(OR(L1612="未知",M1612="未知"),"未知",IF(AND(L1612="真",M1612="真"),"TP",IF(AND(L1612="真",M1612="假"),"FP",IF(AND(L1612="假",M1612="真"),"FN","TN"))))))</f>
        <v/>
      </c>
      <c r="S1612" s="3" t="n"/>
      <c r="T1612" s="3" t="n"/>
      <c r="U1612" s="3" t="n"/>
      <c r="V1612" s="3" t="n"/>
    </row>
    <row r="1613">
      <c r="A1613" s="3" t="n"/>
      <c r="B1613" s="3" t="n"/>
      <c r="C1613" s="3" t="n"/>
      <c r="D1613" s="4" t="n"/>
      <c r="E1613" s="3" t="n"/>
      <c r="F1613" s="3" t="n"/>
      <c r="G1613" s="3" t="n"/>
      <c r="H1613" s="3" t="n"/>
      <c r="I1613" s="3" t="n"/>
      <c r="J1613" s="3" t="n"/>
      <c r="K1613" s="3" t="n"/>
      <c r="L1613" s="3" t="n"/>
      <c r="M1613" s="3" t="n"/>
      <c r="N1613" s="3" t="n"/>
      <c r="O1613" s="3" t="n"/>
      <c r="P1613" s="3" t="n"/>
      <c r="Q1613" s="3" t="n"/>
      <c r="R1613" s="5">
        <f>IF(Q1613&lt;&gt;"是","排除",IF(OR(L1613="",M1613=""),"",IF(OR(L1613="未知",M1613="未知"),"未知",IF(AND(L1613="真",M1613="真"),"TP",IF(AND(L1613="真",M1613="假"),"FP",IF(AND(L1613="假",M1613="真"),"FN","TN"))))))</f>
        <v/>
      </c>
      <c r="S1613" s="3" t="n"/>
      <c r="T1613" s="3" t="n"/>
      <c r="U1613" s="3" t="n"/>
      <c r="V1613" s="3" t="n"/>
    </row>
    <row r="1614">
      <c r="A1614" s="3" t="n"/>
      <c r="B1614" s="3" t="n"/>
      <c r="C1614" s="3" t="n"/>
      <c r="D1614" s="4" t="n"/>
      <c r="E1614" s="3" t="n"/>
      <c r="F1614" s="3" t="n"/>
      <c r="G1614" s="3" t="n"/>
      <c r="H1614" s="3" t="n"/>
      <c r="I1614" s="3" t="n"/>
      <c r="J1614" s="3" t="n"/>
      <c r="K1614" s="3" t="n"/>
      <c r="L1614" s="3" t="n"/>
      <c r="M1614" s="3" t="n"/>
      <c r="N1614" s="3" t="n"/>
      <c r="O1614" s="3" t="n"/>
      <c r="P1614" s="3" t="n"/>
      <c r="Q1614" s="3" t="n"/>
      <c r="R1614" s="5">
        <f>IF(Q1614&lt;&gt;"是","排除",IF(OR(L1614="",M1614=""),"",IF(OR(L1614="未知",M1614="未知"),"未知",IF(AND(L1614="真",M1614="真"),"TP",IF(AND(L1614="真",M1614="假"),"FP",IF(AND(L1614="假",M1614="真"),"FN","TN"))))))</f>
        <v/>
      </c>
      <c r="S1614" s="3" t="n"/>
      <c r="T1614" s="3" t="n"/>
      <c r="U1614" s="3" t="n"/>
      <c r="V1614" s="3" t="n"/>
    </row>
    <row r="1615">
      <c r="A1615" s="3" t="n"/>
      <c r="B1615" s="3" t="n"/>
      <c r="C1615" s="3" t="n"/>
      <c r="D1615" s="4" t="n"/>
      <c r="E1615" s="3" t="n"/>
      <c r="F1615" s="3" t="n"/>
      <c r="G1615" s="3" t="n"/>
      <c r="H1615" s="3" t="n"/>
      <c r="I1615" s="3" t="n"/>
      <c r="J1615" s="3" t="n"/>
      <c r="K1615" s="3" t="n"/>
      <c r="L1615" s="3" t="n"/>
      <c r="M1615" s="3" t="n"/>
      <c r="N1615" s="3" t="n"/>
      <c r="O1615" s="3" t="n"/>
      <c r="P1615" s="3" t="n"/>
      <c r="Q1615" s="3" t="n"/>
      <c r="R1615" s="5">
        <f>IF(Q1615&lt;&gt;"是","排除",IF(OR(L1615="",M1615=""),"",IF(OR(L1615="未知",M1615="未知"),"未知",IF(AND(L1615="真",M1615="真"),"TP",IF(AND(L1615="真",M1615="假"),"FP",IF(AND(L1615="假",M1615="真"),"FN","TN"))))))</f>
        <v/>
      </c>
      <c r="S1615" s="3" t="n"/>
      <c r="T1615" s="3" t="n"/>
      <c r="U1615" s="3" t="n"/>
      <c r="V1615" s="3" t="n"/>
    </row>
    <row r="1616">
      <c r="A1616" s="3" t="n"/>
      <c r="B1616" s="3" t="n"/>
      <c r="C1616" s="3" t="n"/>
      <c r="D1616" s="4" t="n"/>
      <c r="E1616" s="3" t="n"/>
      <c r="F1616" s="3" t="n"/>
      <c r="G1616" s="3" t="n"/>
      <c r="H1616" s="3" t="n"/>
      <c r="I1616" s="3" t="n"/>
      <c r="J1616" s="3" t="n"/>
      <c r="K1616" s="3" t="n"/>
      <c r="L1616" s="3" t="n"/>
      <c r="M1616" s="3" t="n"/>
      <c r="N1616" s="3" t="n"/>
      <c r="O1616" s="3" t="n"/>
      <c r="P1616" s="3" t="n"/>
      <c r="Q1616" s="3" t="n"/>
      <c r="R1616" s="5">
        <f>IF(Q1616&lt;&gt;"是","排除",IF(OR(L1616="",M1616=""),"",IF(OR(L1616="未知",M1616="未知"),"未知",IF(AND(L1616="真",M1616="真"),"TP",IF(AND(L1616="真",M1616="假"),"FP",IF(AND(L1616="假",M1616="真"),"FN","TN"))))))</f>
        <v/>
      </c>
      <c r="S1616" s="3" t="n"/>
      <c r="T1616" s="3" t="n"/>
      <c r="U1616" s="3" t="n"/>
      <c r="V1616" s="3" t="n"/>
    </row>
    <row r="1617">
      <c r="A1617" s="3" t="n"/>
      <c r="B1617" s="3" t="n"/>
      <c r="C1617" s="3" t="n"/>
      <c r="D1617" s="4" t="n"/>
      <c r="E1617" s="3" t="n"/>
      <c r="F1617" s="3" t="n"/>
      <c r="G1617" s="3" t="n"/>
      <c r="H1617" s="3" t="n"/>
      <c r="I1617" s="3" t="n"/>
      <c r="J1617" s="3" t="n"/>
      <c r="K1617" s="3" t="n"/>
      <c r="L1617" s="3" t="n"/>
      <c r="M1617" s="3" t="n"/>
      <c r="N1617" s="3" t="n"/>
      <c r="O1617" s="3" t="n"/>
      <c r="P1617" s="3" t="n"/>
      <c r="Q1617" s="3" t="n"/>
      <c r="R1617" s="5">
        <f>IF(Q1617&lt;&gt;"是","排除",IF(OR(L1617="",M1617=""),"",IF(OR(L1617="未知",M1617="未知"),"未知",IF(AND(L1617="真",M1617="真"),"TP",IF(AND(L1617="真",M1617="假"),"FP",IF(AND(L1617="假",M1617="真"),"FN","TN"))))))</f>
        <v/>
      </c>
      <c r="S1617" s="3" t="n"/>
      <c r="T1617" s="3" t="n"/>
      <c r="U1617" s="3" t="n"/>
      <c r="V1617" s="3" t="n"/>
    </row>
    <row r="1618">
      <c r="A1618" s="3" t="n"/>
      <c r="B1618" s="3" t="n"/>
      <c r="C1618" s="3" t="n"/>
      <c r="D1618" s="4" t="n"/>
      <c r="E1618" s="3" t="n"/>
      <c r="F1618" s="3" t="n"/>
      <c r="G1618" s="3" t="n"/>
      <c r="H1618" s="3" t="n"/>
      <c r="I1618" s="3" t="n"/>
      <c r="J1618" s="3" t="n"/>
      <c r="K1618" s="3" t="n"/>
      <c r="L1618" s="3" t="n"/>
      <c r="M1618" s="3" t="n"/>
      <c r="N1618" s="3" t="n"/>
      <c r="O1618" s="3" t="n"/>
      <c r="P1618" s="3" t="n"/>
      <c r="Q1618" s="3" t="n"/>
      <c r="R1618" s="5">
        <f>IF(Q1618&lt;&gt;"是","排除",IF(OR(L1618="",M1618=""),"",IF(OR(L1618="未知",M1618="未知"),"未知",IF(AND(L1618="真",M1618="真"),"TP",IF(AND(L1618="真",M1618="假"),"FP",IF(AND(L1618="假",M1618="真"),"FN","TN"))))))</f>
        <v/>
      </c>
      <c r="S1618" s="3" t="n"/>
      <c r="T1618" s="3" t="n"/>
      <c r="U1618" s="3" t="n"/>
      <c r="V1618" s="3" t="n"/>
    </row>
    <row r="1619">
      <c r="A1619" s="3" t="n"/>
      <c r="B1619" s="3" t="n"/>
      <c r="C1619" s="3" t="n"/>
      <c r="D1619" s="4" t="n"/>
      <c r="E1619" s="3" t="n"/>
      <c r="F1619" s="3" t="n"/>
      <c r="G1619" s="3" t="n"/>
      <c r="H1619" s="3" t="n"/>
      <c r="I1619" s="3" t="n"/>
      <c r="J1619" s="3" t="n"/>
      <c r="K1619" s="3" t="n"/>
      <c r="L1619" s="3" t="n"/>
      <c r="M1619" s="3" t="n"/>
      <c r="N1619" s="3" t="n"/>
      <c r="O1619" s="3" t="n"/>
      <c r="P1619" s="3" t="n"/>
      <c r="Q1619" s="3" t="n"/>
      <c r="R1619" s="5">
        <f>IF(Q1619&lt;&gt;"是","排除",IF(OR(L1619="",M1619=""),"",IF(OR(L1619="未知",M1619="未知"),"未知",IF(AND(L1619="真",M1619="真"),"TP",IF(AND(L1619="真",M1619="假"),"FP",IF(AND(L1619="假",M1619="真"),"FN","TN"))))))</f>
        <v/>
      </c>
      <c r="S1619" s="3" t="n"/>
      <c r="T1619" s="3" t="n"/>
      <c r="U1619" s="3" t="n"/>
      <c r="V1619" s="3" t="n"/>
    </row>
    <row r="1620">
      <c r="A1620" s="3" t="n"/>
      <c r="B1620" s="3" t="n"/>
      <c r="C1620" s="3" t="n"/>
      <c r="D1620" s="4" t="n"/>
      <c r="E1620" s="3" t="n"/>
      <c r="F1620" s="3" t="n"/>
      <c r="G1620" s="3" t="n"/>
      <c r="H1620" s="3" t="n"/>
      <c r="I1620" s="3" t="n"/>
      <c r="J1620" s="3" t="n"/>
      <c r="K1620" s="3" t="n"/>
      <c r="L1620" s="3" t="n"/>
      <c r="M1620" s="3" t="n"/>
      <c r="N1620" s="3" t="n"/>
      <c r="O1620" s="3" t="n"/>
      <c r="P1620" s="3" t="n"/>
      <c r="Q1620" s="3" t="n"/>
      <c r="R1620" s="5">
        <f>IF(Q1620&lt;&gt;"是","排除",IF(OR(L1620="",M1620=""),"",IF(OR(L1620="未知",M1620="未知"),"未知",IF(AND(L1620="真",M1620="真"),"TP",IF(AND(L1620="真",M1620="假"),"FP",IF(AND(L1620="假",M1620="真"),"FN","TN"))))))</f>
        <v/>
      </c>
      <c r="S1620" s="3" t="n"/>
      <c r="T1620" s="3" t="n"/>
      <c r="U1620" s="3" t="n"/>
      <c r="V1620" s="3" t="n"/>
    </row>
    <row r="1621">
      <c r="A1621" s="3" t="n"/>
      <c r="B1621" s="3" t="n"/>
      <c r="C1621" s="3" t="n"/>
      <c r="D1621" s="4" t="n"/>
      <c r="E1621" s="3" t="n"/>
      <c r="F1621" s="3" t="n"/>
      <c r="G1621" s="3" t="n"/>
      <c r="H1621" s="3" t="n"/>
      <c r="I1621" s="3" t="n"/>
      <c r="J1621" s="3" t="n"/>
      <c r="K1621" s="3" t="n"/>
      <c r="L1621" s="3" t="n"/>
      <c r="M1621" s="3" t="n"/>
      <c r="N1621" s="3" t="n"/>
      <c r="O1621" s="3" t="n"/>
      <c r="P1621" s="3" t="n"/>
      <c r="Q1621" s="3" t="n"/>
      <c r="R1621" s="5">
        <f>IF(Q1621&lt;&gt;"是","排除",IF(OR(L1621="",M1621=""),"",IF(OR(L1621="未知",M1621="未知"),"未知",IF(AND(L1621="真",M1621="真"),"TP",IF(AND(L1621="真",M1621="假"),"FP",IF(AND(L1621="假",M1621="真"),"FN","TN"))))))</f>
        <v/>
      </c>
      <c r="S1621" s="3" t="n"/>
      <c r="T1621" s="3" t="n"/>
      <c r="U1621" s="3" t="n"/>
      <c r="V1621" s="3" t="n"/>
    </row>
    <row r="1622">
      <c r="A1622" s="3" t="n"/>
      <c r="B1622" s="3" t="n"/>
      <c r="C1622" s="3" t="n"/>
      <c r="D1622" s="4" t="n"/>
      <c r="E1622" s="3" t="n"/>
      <c r="F1622" s="3" t="n"/>
      <c r="G1622" s="3" t="n"/>
      <c r="H1622" s="3" t="n"/>
      <c r="I1622" s="3" t="n"/>
      <c r="J1622" s="3" t="n"/>
      <c r="K1622" s="3" t="n"/>
      <c r="L1622" s="3" t="n"/>
      <c r="M1622" s="3" t="n"/>
      <c r="N1622" s="3" t="n"/>
      <c r="O1622" s="3" t="n"/>
      <c r="P1622" s="3" t="n"/>
      <c r="Q1622" s="3" t="n"/>
      <c r="R1622" s="5">
        <f>IF(Q1622&lt;&gt;"是","排除",IF(OR(L1622="",M1622=""),"",IF(OR(L1622="未知",M1622="未知"),"未知",IF(AND(L1622="真",M1622="真"),"TP",IF(AND(L1622="真",M1622="假"),"FP",IF(AND(L1622="假",M1622="真"),"FN","TN"))))))</f>
        <v/>
      </c>
      <c r="S1622" s="3" t="n"/>
      <c r="T1622" s="3" t="n"/>
      <c r="U1622" s="3" t="n"/>
      <c r="V1622" s="3" t="n"/>
    </row>
    <row r="1623">
      <c r="A1623" s="3" t="n"/>
      <c r="B1623" s="3" t="n"/>
      <c r="C1623" s="3" t="n"/>
      <c r="D1623" s="4" t="n"/>
      <c r="E1623" s="3" t="n"/>
      <c r="F1623" s="3" t="n"/>
      <c r="G1623" s="3" t="n"/>
      <c r="H1623" s="3" t="n"/>
      <c r="I1623" s="3" t="n"/>
      <c r="J1623" s="3" t="n"/>
      <c r="K1623" s="3" t="n"/>
      <c r="L1623" s="3" t="n"/>
      <c r="M1623" s="3" t="n"/>
      <c r="N1623" s="3" t="n"/>
      <c r="O1623" s="3" t="n"/>
      <c r="P1623" s="3" t="n"/>
      <c r="Q1623" s="3" t="n"/>
      <c r="R1623" s="5">
        <f>IF(Q1623&lt;&gt;"是","排除",IF(OR(L1623="",M1623=""),"",IF(OR(L1623="未知",M1623="未知"),"未知",IF(AND(L1623="真",M1623="真"),"TP",IF(AND(L1623="真",M1623="假"),"FP",IF(AND(L1623="假",M1623="真"),"FN","TN"))))))</f>
        <v/>
      </c>
      <c r="S1623" s="3" t="n"/>
      <c r="T1623" s="3" t="n"/>
      <c r="U1623" s="3" t="n"/>
      <c r="V1623" s="3" t="n"/>
    </row>
    <row r="1624">
      <c r="A1624" s="3" t="n"/>
      <c r="B1624" s="3" t="n"/>
      <c r="C1624" s="3" t="n"/>
      <c r="D1624" s="4" t="n"/>
      <c r="E1624" s="3" t="n"/>
      <c r="F1624" s="3" t="n"/>
      <c r="G1624" s="3" t="n"/>
      <c r="H1624" s="3" t="n"/>
      <c r="I1624" s="3" t="n"/>
      <c r="J1624" s="3" t="n"/>
      <c r="K1624" s="3" t="n"/>
      <c r="L1624" s="3" t="n"/>
      <c r="M1624" s="3" t="n"/>
      <c r="N1624" s="3" t="n"/>
      <c r="O1624" s="3" t="n"/>
      <c r="P1624" s="3" t="n"/>
      <c r="Q1624" s="3" t="n"/>
      <c r="R1624" s="5">
        <f>IF(Q1624&lt;&gt;"是","排除",IF(OR(L1624="",M1624=""),"",IF(OR(L1624="未知",M1624="未知"),"未知",IF(AND(L1624="真",M1624="真"),"TP",IF(AND(L1624="真",M1624="假"),"FP",IF(AND(L1624="假",M1624="真"),"FN","TN"))))))</f>
        <v/>
      </c>
      <c r="S1624" s="3" t="n"/>
      <c r="T1624" s="3" t="n"/>
      <c r="U1624" s="3" t="n"/>
      <c r="V1624" s="3" t="n"/>
    </row>
    <row r="1625">
      <c r="A1625" s="3" t="n"/>
      <c r="B1625" s="3" t="n"/>
      <c r="C1625" s="3" t="n"/>
      <c r="D1625" s="4" t="n"/>
      <c r="E1625" s="3" t="n"/>
      <c r="F1625" s="3" t="n"/>
      <c r="G1625" s="3" t="n"/>
      <c r="H1625" s="3" t="n"/>
      <c r="I1625" s="3" t="n"/>
      <c r="J1625" s="3" t="n"/>
      <c r="K1625" s="3" t="n"/>
      <c r="L1625" s="3" t="n"/>
      <c r="M1625" s="3" t="n"/>
      <c r="N1625" s="3" t="n"/>
      <c r="O1625" s="3" t="n"/>
      <c r="P1625" s="3" t="n"/>
      <c r="Q1625" s="3" t="n"/>
      <c r="R1625" s="5">
        <f>IF(Q1625&lt;&gt;"是","排除",IF(OR(L1625="",M1625=""),"",IF(OR(L1625="未知",M1625="未知"),"未知",IF(AND(L1625="真",M1625="真"),"TP",IF(AND(L1625="真",M1625="假"),"FP",IF(AND(L1625="假",M1625="真"),"FN","TN"))))))</f>
        <v/>
      </c>
      <c r="S1625" s="3" t="n"/>
      <c r="T1625" s="3" t="n"/>
      <c r="U1625" s="3" t="n"/>
      <c r="V1625" s="3" t="n"/>
    </row>
    <row r="1626">
      <c r="A1626" s="3" t="n"/>
      <c r="B1626" s="3" t="n"/>
      <c r="C1626" s="3" t="n"/>
      <c r="D1626" s="4" t="n"/>
      <c r="E1626" s="3" t="n"/>
      <c r="F1626" s="3" t="n"/>
      <c r="G1626" s="3" t="n"/>
      <c r="H1626" s="3" t="n"/>
      <c r="I1626" s="3" t="n"/>
      <c r="J1626" s="3" t="n"/>
      <c r="K1626" s="3" t="n"/>
      <c r="L1626" s="3" t="n"/>
      <c r="M1626" s="3" t="n"/>
      <c r="N1626" s="3" t="n"/>
      <c r="O1626" s="3" t="n"/>
      <c r="P1626" s="3" t="n"/>
      <c r="Q1626" s="3" t="n"/>
      <c r="R1626" s="5">
        <f>IF(Q1626&lt;&gt;"是","排除",IF(OR(L1626="",M1626=""),"",IF(OR(L1626="未知",M1626="未知"),"未知",IF(AND(L1626="真",M1626="真"),"TP",IF(AND(L1626="真",M1626="假"),"FP",IF(AND(L1626="假",M1626="真"),"FN","TN"))))))</f>
        <v/>
      </c>
      <c r="S1626" s="3" t="n"/>
      <c r="T1626" s="3" t="n"/>
      <c r="U1626" s="3" t="n"/>
      <c r="V1626" s="3" t="n"/>
    </row>
    <row r="1627">
      <c r="A1627" s="3" t="n"/>
      <c r="B1627" s="3" t="n"/>
      <c r="C1627" s="3" t="n"/>
      <c r="D1627" s="4" t="n"/>
      <c r="E1627" s="3" t="n"/>
      <c r="F1627" s="3" t="n"/>
      <c r="G1627" s="3" t="n"/>
      <c r="H1627" s="3" t="n"/>
      <c r="I1627" s="3" t="n"/>
      <c r="J1627" s="3" t="n"/>
      <c r="K1627" s="3" t="n"/>
      <c r="L1627" s="3" t="n"/>
      <c r="M1627" s="3" t="n"/>
      <c r="N1627" s="3" t="n"/>
      <c r="O1627" s="3" t="n"/>
      <c r="P1627" s="3" t="n"/>
      <c r="Q1627" s="3" t="n"/>
      <c r="R1627" s="5">
        <f>IF(Q1627&lt;&gt;"是","排除",IF(OR(L1627="",M1627=""),"",IF(OR(L1627="未知",M1627="未知"),"未知",IF(AND(L1627="真",M1627="真"),"TP",IF(AND(L1627="真",M1627="假"),"FP",IF(AND(L1627="假",M1627="真"),"FN","TN"))))))</f>
        <v/>
      </c>
      <c r="S1627" s="3" t="n"/>
      <c r="T1627" s="3" t="n"/>
      <c r="U1627" s="3" t="n"/>
      <c r="V1627" s="3" t="n"/>
    </row>
    <row r="1628">
      <c r="A1628" s="3" t="n"/>
      <c r="B1628" s="3" t="n"/>
      <c r="C1628" s="3" t="n"/>
      <c r="D1628" s="4" t="n"/>
      <c r="E1628" s="3" t="n"/>
      <c r="F1628" s="3" t="n"/>
      <c r="G1628" s="3" t="n"/>
      <c r="H1628" s="3" t="n"/>
      <c r="I1628" s="3" t="n"/>
      <c r="J1628" s="3" t="n"/>
      <c r="K1628" s="3" t="n"/>
      <c r="L1628" s="3" t="n"/>
      <c r="M1628" s="3" t="n"/>
      <c r="N1628" s="3" t="n"/>
      <c r="O1628" s="3" t="n"/>
      <c r="P1628" s="3" t="n"/>
      <c r="Q1628" s="3" t="n"/>
      <c r="R1628" s="5">
        <f>IF(Q1628&lt;&gt;"是","排除",IF(OR(L1628="",M1628=""),"",IF(OR(L1628="未知",M1628="未知"),"未知",IF(AND(L1628="真",M1628="真"),"TP",IF(AND(L1628="真",M1628="假"),"FP",IF(AND(L1628="假",M1628="真"),"FN","TN"))))))</f>
        <v/>
      </c>
      <c r="S1628" s="3" t="n"/>
      <c r="T1628" s="3" t="n"/>
      <c r="U1628" s="3" t="n"/>
      <c r="V1628" s="3" t="n"/>
    </row>
    <row r="1629">
      <c r="A1629" s="3" t="n"/>
      <c r="B1629" s="3" t="n"/>
      <c r="C1629" s="3" t="n"/>
      <c r="D1629" s="4" t="n"/>
      <c r="E1629" s="3" t="n"/>
      <c r="F1629" s="3" t="n"/>
      <c r="G1629" s="3" t="n"/>
      <c r="H1629" s="3" t="n"/>
      <c r="I1629" s="3" t="n"/>
      <c r="J1629" s="3" t="n"/>
      <c r="K1629" s="3" t="n"/>
      <c r="L1629" s="3" t="n"/>
      <c r="M1629" s="3" t="n"/>
      <c r="N1629" s="3" t="n"/>
      <c r="O1629" s="3" t="n"/>
      <c r="P1629" s="3" t="n"/>
      <c r="Q1629" s="3" t="n"/>
      <c r="R1629" s="5">
        <f>IF(Q1629&lt;&gt;"是","排除",IF(OR(L1629="",M1629=""),"",IF(OR(L1629="未知",M1629="未知"),"未知",IF(AND(L1629="真",M1629="真"),"TP",IF(AND(L1629="真",M1629="假"),"FP",IF(AND(L1629="假",M1629="真"),"FN","TN"))))))</f>
        <v/>
      </c>
      <c r="S1629" s="3" t="n"/>
      <c r="T1629" s="3" t="n"/>
      <c r="U1629" s="3" t="n"/>
      <c r="V1629" s="3" t="n"/>
    </row>
    <row r="1630">
      <c r="A1630" s="3" t="n"/>
      <c r="B1630" s="3" t="n"/>
      <c r="C1630" s="3" t="n"/>
      <c r="D1630" s="4" t="n"/>
      <c r="E1630" s="3" t="n"/>
      <c r="F1630" s="3" t="n"/>
      <c r="G1630" s="3" t="n"/>
      <c r="H1630" s="3" t="n"/>
      <c r="I1630" s="3" t="n"/>
      <c r="J1630" s="3" t="n"/>
      <c r="K1630" s="3" t="n"/>
      <c r="L1630" s="3" t="n"/>
      <c r="M1630" s="3" t="n"/>
      <c r="N1630" s="3" t="n"/>
      <c r="O1630" s="3" t="n"/>
      <c r="P1630" s="3" t="n"/>
      <c r="Q1630" s="3" t="n"/>
      <c r="R1630" s="5">
        <f>IF(Q1630&lt;&gt;"是","排除",IF(OR(L1630="",M1630=""),"",IF(OR(L1630="未知",M1630="未知"),"未知",IF(AND(L1630="真",M1630="真"),"TP",IF(AND(L1630="真",M1630="假"),"FP",IF(AND(L1630="假",M1630="真"),"FN","TN"))))))</f>
        <v/>
      </c>
      <c r="S1630" s="3" t="n"/>
      <c r="T1630" s="3" t="n"/>
      <c r="U1630" s="3" t="n"/>
      <c r="V1630" s="3" t="n"/>
    </row>
    <row r="1631">
      <c r="A1631" s="3" t="n"/>
      <c r="B1631" s="3" t="n"/>
      <c r="C1631" s="3" t="n"/>
      <c r="D1631" s="4" t="n"/>
      <c r="E1631" s="3" t="n"/>
      <c r="F1631" s="3" t="n"/>
      <c r="G1631" s="3" t="n"/>
      <c r="H1631" s="3" t="n"/>
      <c r="I1631" s="3" t="n"/>
      <c r="J1631" s="3" t="n"/>
      <c r="K1631" s="3" t="n"/>
      <c r="L1631" s="3" t="n"/>
      <c r="M1631" s="3" t="n"/>
      <c r="N1631" s="3" t="n"/>
      <c r="O1631" s="3" t="n"/>
      <c r="P1631" s="3" t="n"/>
      <c r="Q1631" s="3" t="n"/>
      <c r="R1631" s="5">
        <f>IF(Q1631&lt;&gt;"是","排除",IF(OR(L1631="",M1631=""),"",IF(OR(L1631="未知",M1631="未知"),"未知",IF(AND(L1631="真",M1631="真"),"TP",IF(AND(L1631="真",M1631="假"),"FP",IF(AND(L1631="假",M1631="真"),"FN","TN"))))))</f>
        <v/>
      </c>
      <c r="S1631" s="3" t="n"/>
      <c r="T1631" s="3" t="n"/>
      <c r="U1631" s="3" t="n"/>
      <c r="V1631" s="3" t="n"/>
    </row>
    <row r="1632">
      <c r="A1632" s="3" t="n"/>
      <c r="B1632" s="3" t="n"/>
      <c r="C1632" s="3" t="n"/>
      <c r="D1632" s="4" t="n"/>
      <c r="E1632" s="3" t="n"/>
      <c r="F1632" s="3" t="n"/>
      <c r="G1632" s="3" t="n"/>
      <c r="H1632" s="3" t="n"/>
      <c r="I1632" s="3" t="n"/>
      <c r="J1632" s="3" t="n"/>
      <c r="K1632" s="3" t="n"/>
      <c r="L1632" s="3" t="n"/>
      <c r="M1632" s="3" t="n"/>
      <c r="N1632" s="3" t="n"/>
      <c r="O1632" s="3" t="n"/>
      <c r="P1632" s="3" t="n"/>
      <c r="Q1632" s="3" t="n"/>
      <c r="R1632" s="5">
        <f>IF(Q1632&lt;&gt;"是","排除",IF(OR(L1632="",M1632=""),"",IF(OR(L1632="未知",M1632="未知"),"未知",IF(AND(L1632="真",M1632="真"),"TP",IF(AND(L1632="真",M1632="假"),"FP",IF(AND(L1632="假",M1632="真"),"FN","TN"))))))</f>
        <v/>
      </c>
      <c r="S1632" s="3" t="n"/>
      <c r="T1632" s="3" t="n"/>
      <c r="U1632" s="3" t="n"/>
      <c r="V1632" s="3" t="n"/>
    </row>
    <row r="1633">
      <c r="A1633" s="3" t="n"/>
      <c r="B1633" s="3" t="n"/>
      <c r="C1633" s="3" t="n"/>
      <c r="D1633" s="4" t="n"/>
      <c r="E1633" s="3" t="n"/>
      <c r="F1633" s="3" t="n"/>
      <c r="G1633" s="3" t="n"/>
      <c r="H1633" s="3" t="n"/>
      <c r="I1633" s="3" t="n"/>
      <c r="J1633" s="3" t="n"/>
      <c r="K1633" s="3" t="n"/>
      <c r="L1633" s="3" t="n"/>
      <c r="M1633" s="3" t="n"/>
      <c r="N1633" s="3" t="n"/>
      <c r="O1633" s="3" t="n"/>
      <c r="P1633" s="3" t="n"/>
      <c r="Q1633" s="3" t="n"/>
      <c r="R1633" s="5">
        <f>IF(Q1633&lt;&gt;"是","排除",IF(OR(L1633="",M1633=""),"",IF(OR(L1633="未知",M1633="未知"),"未知",IF(AND(L1633="真",M1633="真"),"TP",IF(AND(L1633="真",M1633="假"),"FP",IF(AND(L1633="假",M1633="真"),"FN","TN"))))))</f>
        <v/>
      </c>
      <c r="S1633" s="3" t="n"/>
      <c r="T1633" s="3" t="n"/>
      <c r="U1633" s="3" t="n"/>
      <c r="V1633" s="3" t="n"/>
    </row>
    <row r="1634">
      <c r="A1634" s="3" t="n"/>
      <c r="B1634" s="3" t="n"/>
      <c r="C1634" s="3" t="n"/>
      <c r="D1634" s="4" t="n"/>
      <c r="E1634" s="3" t="n"/>
      <c r="F1634" s="3" t="n"/>
      <c r="G1634" s="3" t="n"/>
      <c r="H1634" s="3" t="n"/>
      <c r="I1634" s="3" t="n"/>
      <c r="J1634" s="3" t="n"/>
      <c r="K1634" s="3" t="n"/>
      <c r="L1634" s="3" t="n"/>
      <c r="M1634" s="3" t="n"/>
      <c r="N1634" s="3" t="n"/>
      <c r="O1634" s="3" t="n"/>
      <c r="P1634" s="3" t="n"/>
      <c r="Q1634" s="3" t="n"/>
      <c r="R1634" s="5">
        <f>IF(Q1634&lt;&gt;"是","排除",IF(OR(L1634="",M1634=""),"",IF(OR(L1634="未知",M1634="未知"),"未知",IF(AND(L1634="真",M1634="真"),"TP",IF(AND(L1634="真",M1634="假"),"FP",IF(AND(L1634="假",M1634="真"),"FN","TN"))))))</f>
        <v/>
      </c>
      <c r="S1634" s="3" t="n"/>
      <c r="T1634" s="3" t="n"/>
      <c r="U1634" s="3" t="n"/>
      <c r="V1634" s="3" t="n"/>
    </row>
    <row r="1635">
      <c r="A1635" s="3" t="n"/>
      <c r="B1635" s="3" t="n"/>
      <c r="C1635" s="3" t="n"/>
      <c r="D1635" s="4" t="n"/>
      <c r="E1635" s="3" t="n"/>
      <c r="F1635" s="3" t="n"/>
      <c r="G1635" s="3" t="n"/>
      <c r="H1635" s="3" t="n"/>
      <c r="I1635" s="3" t="n"/>
      <c r="J1635" s="3" t="n"/>
      <c r="K1635" s="3" t="n"/>
      <c r="L1635" s="3" t="n"/>
      <c r="M1635" s="3" t="n"/>
      <c r="N1635" s="3" t="n"/>
      <c r="O1635" s="3" t="n"/>
      <c r="P1635" s="3" t="n"/>
      <c r="Q1635" s="3" t="n"/>
      <c r="R1635" s="5">
        <f>IF(Q1635&lt;&gt;"是","排除",IF(OR(L1635="",M1635=""),"",IF(OR(L1635="未知",M1635="未知"),"未知",IF(AND(L1635="真",M1635="真"),"TP",IF(AND(L1635="真",M1635="假"),"FP",IF(AND(L1635="假",M1635="真"),"FN","TN"))))))</f>
        <v/>
      </c>
      <c r="S1635" s="3" t="n"/>
      <c r="T1635" s="3" t="n"/>
      <c r="U1635" s="3" t="n"/>
      <c r="V1635" s="3" t="n"/>
    </row>
    <row r="1636">
      <c r="A1636" s="3" t="n"/>
      <c r="B1636" s="3" t="n"/>
      <c r="C1636" s="3" t="n"/>
      <c r="D1636" s="4" t="n"/>
      <c r="E1636" s="3" t="n"/>
      <c r="F1636" s="3" t="n"/>
      <c r="G1636" s="3" t="n"/>
      <c r="H1636" s="3" t="n"/>
      <c r="I1636" s="3" t="n"/>
      <c r="J1636" s="3" t="n"/>
      <c r="K1636" s="3" t="n"/>
      <c r="L1636" s="3" t="n"/>
      <c r="M1636" s="3" t="n"/>
      <c r="N1636" s="3" t="n"/>
      <c r="O1636" s="3" t="n"/>
      <c r="P1636" s="3" t="n"/>
      <c r="Q1636" s="3" t="n"/>
      <c r="R1636" s="5">
        <f>IF(Q1636&lt;&gt;"是","排除",IF(OR(L1636="",M1636=""),"",IF(OR(L1636="未知",M1636="未知"),"未知",IF(AND(L1636="真",M1636="真"),"TP",IF(AND(L1636="真",M1636="假"),"FP",IF(AND(L1636="假",M1636="真"),"FN","TN"))))))</f>
        <v/>
      </c>
      <c r="S1636" s="3" t="n"/>
      <c r="T1636" s="3" t="n"/>
      <c r="U1636" s="3" t="n"/>
      <c r="V1636" s="3" t="n"/>
    </row>
    <row r="1637">
      <c r="A1637" s="3" t="n"/>
      <c r="B1637" s="3" t="n"/>
      <c r="C1637" s="3" t="n"/>
      <c r="D1637" s="4" t="n"/>
      <c r="E1637" s="3" t="n"/>
      <c r="F1637" s="3" t="n"/>
      <c r="G1637" s="3" t="n"/>
      <c r="H1637" s="3" t="n"/>
      <c r="I1637" s="3" t="n"/>
      <c r="J1637" s="3" t="n"/>
      <c r="K1637" s="3" t="n"/>
      <c r="L1637" s="3" t="n"/>
      <c r="M1637" s="3" t="n"/>
      <c r="N1637" s="3" t="n"/>
      <c r="O1637" s="3" t="n"/>
      <c r="P1637" s="3" t="n"/>
      <c r="Q1637" s="3" t="n"/>
      <c r="R1637" s="5">
        <f>IF(Q1637&lt;&gt;"是","排除",IF(OR(L1637="",M1637=""),"",IF(OR(L1637="未知",M1637="未知"),"未知",IF(AND(L1637="真",M1637="真"),"TP",IF(AND(L1637="真",M1637="假"),"FP",IF(AND(L1637="假",M1637="真"),"FN","TN"))))))</f>
        <v/>
      </c>
      <c r="S1637" s="3" t="n"/>
      <c r="T1637" s="3" t="n"/>
      <c r="U1637" s="3" t="n"/>
      <c r="V1637" s="3" t="n"/>
    </row>
    <row r="1638">
      <c r="A1638" s="3" t="n"/>
      <c r="B1638" s="3" t="n"/>
      <c r="C1638" s="3" t="n"/>
      <c r="D1638" s="4" t="n"/>
      <c r="E1638" s="3" t="n"/>
      <c r="F1638" s="3" t="n"/>
      <c r="G1638" s="3" t="n"/>
      <c r="H1638" s="3" t="n"/>
      <c r="I1638" s="3" t="n"/>
      <c r="J1638" s="3" t="n"/>
      <c r="K1638" s="3" t="n"/>
      <c r="L1638" s="3" t="n"/>
      <c r="M1638" s="3" t="n"/>
      <c r="N1638" s="3" t="n"/>
      <c r="O1638" s="3" t="n"/>
      <c r="P1638" s="3" t="n"/>
      <c r="Q1638" s="3" t="n"/>
      <c r="R1638" s="5">
        <f>IF(Q1638&lt;&gt;"是","排除",IF(OR(L1638="",M1638=""),"",IF(OR(L1638="未知",M1638="未知"),"未知",IF(AND(L1638="真",M1638="真"),"TP",IF(AND(L1638="真",M1638="假"),"FP",IF(AND(L1638="假",M1638="真"),"FN","TN"))))))</f>
        <v/>
      </c>
      <c r="S1638" s="3" t="n"/>
      <c r="T1638" s="3" t="n"/>
      <c r="U1638" s="3" t="n"/>
      <c r="V1638" s="3" t="n"/>
    </row>
    <row r="1639">
      <c r="A1639" s="3" t="n"/>
      <c r="B1639" s="3" t="n"/>
      <c r="C1639" s="3" t="n"/>
      <c r="D1639" s="4" t="n"/>
      <c r="E1639" s="3" t="n"/>
      <c r="F1639" s="3" t="n"/>
      <c r="G1639" s="3" t="n"/>
      <c r="H1639" s="3" t="n"/>
      <c r="I1639" s="3" t="n"/>
      <c r="J1639" s="3" t="n"/>
      <c r="K1639" s="3" t="n"/>
      <c r="L1639" s="3" t="n"/>
      <c r="M1639" s="3" t="n"/>
      <c r="N1639" s="3" t="n"/>
      <c r="O1639" s="3" t="n"/>
      <c r="P1639" s="3" t="n"/>
      <c r="Q1639" s="3" t="n"/>
      <c r="R1639" s="5">
        <f>IF(Q1639&lt;&gt;"是","排除",IF(OR(L1639="",M1639=""),"",IF(OR(L1639="未知",M1639="未知"),"未知",IF(AND(L1639="真",M1639="真"),"TP",IF(AND(L1639="真",M1639="假"),"FP",IF(AND(L1639="假",M1639="真"),"FN","TN"))))))</f>
        <v/>
      </c>
      <c r="S1639" s="3" t="n"/>
      <c r="T1639" s="3" t="n"/>
      <c r="U1639" s="3" t="n"/>
      <c r="V1639" s="3" t="n"/>
    </row>
    <row r="1640">
      <c r="A1640" s="3" t="n"/>
      <c r="B1640" s="3" t="n"/>
      <c r="C1640" s="3" t="n"/>
      <c r="D1640" s="4" t="n"/>
      <c r="E1640" s="3" t="n"/>
      <c r="F1640" s="3" t="n"/>
      <c r="G1640" s="3" t="n"/>
      <c r="H1640" s="3" t="n"/>
      <c r="I1640" s="3" t="n"/>
      <c r="J1640" s="3" t="n"/>
      <c r="K1640" s="3" t="n"/>
      <c r="L1640" s="3" t="n"/>
      <c r="M1640" s="3" t="n"/>
      <c r="N1640" s="3" t="n"/>
      <c r="O1640" s="3" t="n"/>
      <c r="P1640" s="3" t="n"/>
      <c r="Q1640" s="3" t="n"/>
      <c r="R1640" s="5">
        <f>IF(Q1640&lt;&gt;"是","排除",IF(OR(L1640="",M1640=""),"",IF(OR(L1640="未知",M1640="未知"),"未知",IF(AND(L1640="真",M1640="真"),"TP",IF(AND(L1640="真",M1640="假"),"FP",IF(AND(L1640="假",M1640="真"),"FN","TN"))))))</f>
        <v/>
      </c>
      <c r="S1640" s="3" t="n"/>
      <c r="T1640" s="3" t="n"/>
      <c r="U1640" s="3" t="n"/>
      <c r="V1640" s="3" t="n"/>
    </row>
    <row r="1641">
      <c r="A1641" s="3" t="n"/>
      <c r="B1641" s="3" t="n"/>
      <c r="C1641" s="3" t="n"/>
      <c r="D1641" s="4" t="n"/>
      <c r="E1641" s="3" t="n"/>
      <c r="F1641" s="3" t="n"/>
      <c r="G1641" s="3" t="n"/>
      <c r="H1641" s="3" t="n"/>
      <c r="I1641" s="3" t="n"/>
      <c r="J1641" s="3" t="n"/>
      <c r="K1641" s="3" t="n"/>
      <c r="L1641" s="3" t="n"/>
      <c r="M1641" s="3" t="n"/>
      <c r="N1641" s="3" t="n"/>
      <c r="O1641" s="3" t="n"/>
      <c r="P1641" s="3" t="n"/>
      <c r="Q1641" s="3" t="n"/>
      <c r="R1641" s="5">
        <f>IF(Q1641&lt;&gt;"是","排除",IF(OR(L1641="",M1641=""),"",IF(OR(L1641="未知",M1641="未知"),"未知",IF(AND(L1641="真",M1641="真"),"TP",IF(AND(L1641="真",M1641="假"),"FP",IF(AND(L1641="假",M1641="真"),"FN","TN"))))))</f>
        <v/>
      </c>
      <c r="S1641" s="3" t="n"/>
      <c r="T1641" s="3" t="n"/>
      <c r="U1641" s="3" t="n"/>
      <c r="V1641" s="3" t="n"/>
    </row>
    <row r="1642">
      <c r="A1642" s="3" t="n"/>
      <c r="B1642" s="3" t="n"/>
      <c r="C1642" s="3" t="n"/>
      <c r="D1642" s="4" t="n"/>
      <c r="E1642" s="3" t="n"/>
      <c r="F1642" s="3" t="n"/>
      <c r="G1642" s="3" t="n"/>
      <c r="H1642" s="3" t="n"/>
      <c r="I1642" s="3" t="n"/>
      <c r="J1642" s="3" t="n"/>
      <c r="K1642" s="3" t="n"/>
      <c r="L1642" s="3" t="n"/>
      <c r="M1642" s="3" t="n"/>
      <c r="N1642" s="3" t="n"/>
      <c r="O1642" s="3" t="n"/>
      <c r="P1642" s="3" t="n"/>
      <c r="Q1642" s="3" t="n"/>
      <c r="R1642" s="5">
        <f>IF(Q1642&lt;&gt;"是","排除",IF(OR(L1642="",M1642=""),"",IF(OR(L1642="未知",M1642="未知"),"未知",IF(AND(L1642="真",M1642="真"),"TP",IF(AND(L1642="真",M1642="假"),"FP",IF(AND(L1642="假",M1642="真"),"FN","TN"))))))</f>
        <v/>
      </c>
      <c r="S1642" s="3" t="n"/>
      <c r="T1642" s="3" t="n"/>
      <c r="U1642" s="3" t="n"/>
      <c r="V1642" s="3" t="n"/>
    </row>
    <row r="1643">
      <c r="A1643" s="3" t="n"/>
      <c r="B1643" s="3" t="n"/>
      <c r="C1643" s="3" t="n"/>
      <c r="D1643" s="4" t="n"/>
      <c r="E1643" s="3" t="n"/>
      <c r="F1643" s="3" t="n"/>
      <c r="G1643" s="3" t="n"/>
      <c r="H1643" s="3" t="n"/>
      <c r="I1643" s="3" t="n"/>
      <c r="J1643" s="3" t="n"/>
      <c r="K1643" s="3" t="n"/>
      <c r="L1643" s="3" t="n"/>
      <c r="M1643" s="3" t="n"/>
      <c r="N1643" s="3" t="n"/>
      <c r="O1643" s="3" t="n"/>
      <c r="P1643" s="3" t="n"/>
      <c r="Q1643" s="3" t="n"/>
      <c r="R1643" s="5">
        <f>IF(Q1643&lt;&gt;"是","排除",IF(OR(L1643="",M1643=""),"",IF(OR(L1643="未知",M1643="未知"),"未知",IF(AND(L1643="真",M1643="真"),"TP",IF(AND(L1643="真",M1643="假"),"FP",IF(AND(L1643="假",M1643="真"),"FN","TN"))))))</f>
        <v/>
      </c>
      <c r="S1643" s="3" t="n"/>
      <c r="T1643" s="3" t="n"/>
      <c r="U1643" s="3" t="n"/>
      <c r="V1643" s="3" t="n"/>
    </row>
    <row r="1644">
      <c r="A1644" s="3" t="n"/>
      <c r="B1644" s="3" t="n"/>
      <c r="C1644" s="3" t="n"/>
      <c r="D1644" s="4" t="n"/>
      <c r="E1644" s="3" t="n"/>
      <c r="F1644" s="3" t="n"/>
      <c r="G1644" s="3" t="n"/>
      <c r="H1644" s="3" t="n"/>
      <c r="I1644" s="3" t="n"/>
      <c r="J1644" s="3" t="n"/>
      <c r="K1644" s="3" t="n"/>
      <c r="L1644" s="3" t="n"/>
      <c r="M1644" s="3" t="n"/>
      <c r="N1644" s="3" t="n"/>
      <c r="O1644" s="3" t="n"/>
      <c r="P1644" s="3" t="n"/>
      <c r="Q1644" s="3" t="n"/>
      <c r="R1644" s="5">
        <f>IF(Q1644&lt;&gt;"是","排除",IF(OR(L1644="",M1644=""),"",IF(OR(L1644="未知",M1644="未知"),"未知",IF(AND(L1644="真",M1644="真"),"TP",IF(AND(L1644="真",M1644="假"),"FP",IF(AND(L1644="假",M1644="真"),"FN","TN"))))))</f>
        <v/>
      </c>
      <c r="S1644" s="3" t="n"/>
      <c r="T1644" s="3" t="n"/>
      <c r="U1644" s="3" t="n"/>
      <c r="V1644" s="3" t="n"/>
    </row>
    <row r="1645">
      <c r="A1645" s="3" t="n"/>
      <c r="B1645" s="3" t="n"/>
      <c r="C1645" s="3" t="n"/>
      <c r="D1645" s="4" t="n"/>
      <c r="E1645" s="3" t="n"/>
      <c r="F1645" s="3" t="n"/>
      <c r="G1645" s="3" t="n"/>
      <c r="H1645" s="3" t="n"/>
      <c r="I1645" s="3" t="n"/>
      <c r="J1645" s="3" t="n"/>
      <c r="K1645" s="3" t="n"/>
      <c r="L1645" s="3" t="n"/>
      <c r="M1645" s="3" t="n"/>
      <c r="N1645" s="3" t="n"/>
      <c r="O1645" s="3" t="n"/>
      <c r="P1645" s="3" t="n"/>
      <c r="Q1645" s="3" t="n"/>
      <c r="R1645" s="5">
        <f>IF(Q1645&lt;&gt;"是","排除",IF(OR(L1645="",M1645=""),"",IF(OR(L1645="未知",M1645="未知"),"未知",IF(AND(L1645="真",M1645="真"),"TP",IF(AND(L1645="真",M1645="假"),"FP",IF(AND(L1645="假",M1645="真"),"FN","TN"))))))</f>
        <v/>
      </c>
      <c r="S1645" s="3" t="n"/>
      <c r="T1645" s="3" t="n"/>
      <c r="U1645" s="3" t="n"/>
      <c r="V1645" s="3" t="n"/>
    </row>
    <row r="1646">
      <c r="A1646" s="3" t="n"/>
      <c r="B1646" s="3" t="n"/>
      <c r="C1646" s="3" t="n"/>
      <c r="D1646" s="4" t="n"/>
      <c r="E1646" s="3" t="n"/>
      <c r="F1646" s="3" t="n"/>
      <c r="G1646" s="3" t="n"/>
      <c r="H1646" s="3" t="n"/>
      <c r="I1646" s="3" t="n"/>
      <c r="J1646" s="3" t="n"/>
      <c r="K1646" s="3" t="n"/>
      <c r="L1646" s="3" t="n"/>
      <c r="M1646" s="3" t="n"/>
      <c r="N1646" s="3" t="n"/>
      <c r="O1646" s="3" t="n"/>
      <c r="P1646" s="3" t="n"/>
      <c r="Q1646" s="3" t="n"/>
      <c r="R1646" s="5">
        <f>IF(Q1646&lt;&gt;"是","排除",IF(OR(L1646="",M1646=""),"",IF(OR(L1646="未知",M1646="未知"),"未知",IF(AND(L1646="真",M1646="真"),"TP",IF(AND(L1646="真",M1646="假"),"FP",IF(AND(L1646="假",M1646="真"),"FN","TN"))))))</f>
        <v/>
      </c>
      <c r="S1646" s="3" t="n"/>
      <c r="T1646" s="3" t="n"/>
      <c r="U1646" s="3" t="n"/>
      <c r="V1646" s="3" t="n"/>
    </row>
    <row r="1647">
      <c r="A1647" s="3" t="n"/>
      <c r="B1647" s="3" t="n"/>
      <c r="C1647" s="3" t="n"/>
      <c r="D1647" s="4" t="n"/>
      <c r="E1647" s="3" t="n"/>
      <c r="F1647" s="3" t="n"/>
      <c r="G1647" s="3" t="n"/>
      <c r="H1647" s="3" t="n"/>
      <c r="I1647" s="3" t="n"/>
      <c r="J1647" s="3" t="n"/>
      <c r="K1647" s="3" t="n"/>
      <c r="L1647" s="3" t="n"/>
      <c r="M1647" s="3" t="n"/>
      <c r="N1647" s="3" t="n"/>
      <c r="O1647" s="3" t="n"/>
      <c r="P1647" s="3" t="n"/>
      <c r="Q1647" s="3" t="n"/>
      <c r="R1647" s="5">
        <f>IF(Q1647&lt;&gt;"是","排除",IF(OR(L1647="",M1647=""),"",IF(OR(L1647="未知",M1647="未知"),"未知",IF(AND(L1647="真",M1647="真"),"TP",IF(AND(L1647="真",M1647="假"),"FP",IF(AND(L1647="假",M1647="真"),"FN","TN"))))))</f>
        <v/>
      </c>
      <c r="S1647" s="3" t="n"/>
      <c r="T1647" s="3" t="n"/>
      <c r="U1647" s="3" t="n"/>
      <c r="V1647" s="3" t="n"/>
    </row>
    <row r="1648">
      <c r="A1648" s="3" t="n"/>
      <c r="B1648" s="3" t="n"/>
      <c r="C1648" s="3" t="n"/>
      <c r="D1648" s="4" t="n"/>
      <c r="E1648" s="3" t="n"/>
      <c r="F1648" s="3" t="n"/>
      <c r="G1648" s="3" t="n"/>
      <c r="H1648" s="3" t="n"/>
      <c r="I1648" s="3" t="n"/>
      <c r="J1648" s="3" t="n"/>
      <c r="K1648" s="3" t="n"/>
      <c r="L1648" s="3" t="n"/>
      <c r="M1648" s="3" t="n"/>
      <c r="N1648" s="3" t="n"/>
      <c r="O1648" s="3" t="n"/>
      <c r="P1648" s="3" t="n"/>
      <c r="Q1648" s="3" t="n"/>
      <c r="R1648" s="5">
        <f>IF(Q1648&lt;&gt;"是","排除",IF(OR(L1648="",M1648=""),"",IF(OR(L1648="未知",M1648="未知"),"未知",IF(AND(L1648="真",M1648="真"),"TP",IF(AND(L1648="真",M1648="假"),"FP",IF(AND(L1648="假",M1648="真"),"FN","TN"))))))</f>
        <v/>
      </c>
      <c r="S1648" s="3" t="n"/>
      <c r="T1648" s="3" t="n"/>
      <c r="U1648" s="3" t="n"/>
      <c r="V1648" s="3" t="n"/>
    </row>
    <row r="1649">
      <c r="A1649" s="3" t="n"/>
      <c r="B1649" s="3" t="n"/>
      <c r="C1649" s="3" t="n"/>
      <c r="D1649" s="4" t="n"/>
      <c r="E1649" s="3" t="n"/>
      <c r="F1649" s="3" t="n"/>
      <c r="G1649" s="3" t="n"/>
      <c r="H1649" s="3" t="n"/>
      <c r="I1649" s="3" t="n"/>
      <c r="J1649" s="3" t="n"/>
      <c r="K1649" s="3" t="n"/>
      <c r="L1649" s="3" t="n"/>
      <c r="M1649" s="3" t="n"/>
      <c r="N1649" s="3" t="n"/>
      <c r="O1649" s="3" t="n"/>
      <c r="P1649" s="3" t="n"/>
      <c r="Q1649" s="3" t="n"/>
      <c r="R1649" s="5">
        <f>IF(Q1649&lt;&gt;"是","排除",IF(OR(L1649="",M1649=""),"",IF(OR(L1649="未知",M1649="未知"),"未知",IF(AND(L1649="真",M1649="真"),"TP",IF(AND(L1649="真",M1649="假"),"FP",IF(AND(L1649="假",M1649="真"),"FN","TN"))))))</f>
        <v/>
      </c>
      <c r="S1649" s="3" t="n"/>
      <c r="T1649" s="3" t="n"/>
      <c r="U1649" s="3" t="n"/>
      <c r="V1649" s="3" t="n"/>
    </row>
    <row r="1650">
      <c r="A1650" s="3" t="n"/>
      <c r="B1650" s="3" t="n"/>
      <c r="C1650" s="3" t="n"/>
      <c r="D1650" s="4" t="n"/>
      <c r="E1650" s="3" t="n"/>
      <c r="F1650" s="3" t="n"/>
      <c r="G1650" s="3" t="n"/>
      <c r="H1650" s="3" t="n"/>
      <c r="I1650" s="3" t="n"/>
      <c r="J1650" s="3" t="n"/>
      <c r="K1650" s="3" t="n"/>
      <c r="L1650" s="3" t="n"/>
      <c r="M1650" s="3" t="n"/>
      <c r="N1650" s="3" t="n"/>
      <c r="O1650" s="3" t="n"/>
      <c r="P1650" s="3" t="n"/>
      <c r="Q1650" s="3" t="n"/>
      <c r="R1650" s="5">
        <f>IF(Q1650&lt;&gt;"是","排除",IF(OR(L1650="",M1650=""),"",IF(OR(L1650="未知",M1650="未知"),"未知",IF(AND(L1650="真",M1650="真"),"TP",IF(AND(L1650="真",M1650="假"),"FP",IF(AND(L1650="假",M1650="真"),"FN","TN"))))))</f>
        <v/>
      </c>
      <c r="S1650" s="3" t="n"/>
      <c r="T1650" s="3" t="n"/>
      <c r="U1650" s="3" t="n"/>
      <c r="V1650" s="3" t="n"/>
    </row>
    <row r="1651">
      <c r="A1651" s="3" t="n"/>
      <c r="B1651" s="3" t="n"/>
      <c r="C1651" s="3" t="n"/>
      <c r="D1651" s="4" t="n"/>
      <c r="E1651" s="3" t="n"/>
      <c r="F1651" s="3" t="n"/>
      <c r="G1651" s="3" t="n"/>
      <c r="H1651" s="3" t="n"/>
      <c r="I1651" s="3" t="n"/>
      <c r="J1651" s="3" t="n"/>
      <c r="K1651" s="3" t="n"/>
      <c r="L1651" s="3" t="n"/>
      <c r="M1651" s="3" t="n"/>
      <c r="N1651" s="3" t="n"/>
      <c r="O1651" s="3" t="n"/>
      <c r="P1651" s="3" t="n"/>
      <c r="Q1651" s="3" t="n"/>
      <c r="R1651" s="5">
        <f>IF(Q1651&lt;&gt;"是","排除",IF(OR(L1651="",M1651=""),"",IF(OR(L1651="未知",M1651="未知"),"未知",IF(AND(L1651="真",M1651="真"),"TP",IF(AND(L1651="真",M1651="假"),"FP",IF(AND(L1651="假",M1651="真"),"FN","TN"))))))</f>
        <v/>
      </c>
      <c r="S1651" s="3" t="n"/>
      <c r="T1651" s="3" t="n"/>
      <c r="U1651" s="3" t="n"/>
      <c r="V1651" s="3" t="n"/>
    </row>
    <row r="1652">
      <c r="A1652" s="3" t="n"/>
      <c r="B1652" s="3" t="n"/>
      <c r="C1652" s="3" t="n"/>
      <c r="D1652" s="4" t="n"/>
      <c r="E1652" s="3" t="n"/>
      <c r="F1652" s="3" t="n"/>
      <c r="G1652" s="3" t="n"/>
      <c r="H1652" s="3" t="n"/>
      <c r="I1652" s="3" t="n"/>
      <c r="J1652" s="3" t="n"/>
      <c r="K1652" s="3" t="n"/>
      <c r="L1652" s="3" t="n"/>
      <c r="M1652" s="3" t="n"/>
      <c r="N1652" s="3" t="n"/>
      <c r="O1652" s="3" t="n"/>
      <c r="P1652" s="3" t="n"/>
      <c r="Q1652" s="3" t="n"/>
      <c r="R1652" s="5">
        <f>IF(Q1652&lt;&gt;"是","排除",IF(OR(L1652="",M1652=""),"",IF(OR(L1652="未知",M1652="未知"),"未知",IF(AND(L1652="真",M1652="真"),"TP",IF(AND(L1652="真",M1652="假"),"FP",IF(AND(L1652="假",M1652="真"),"FN","TN"))))))</f>
        <v/>
      </c>
      <c r="S1652" s="3" t="n"/>
      <c r="T1652" s="3" t="n"/>
      <c r="U1652" s="3" t="n"/>
      <c r="V1652" s="3" t="n"/>
    </row>
    <row r="1653">
      <c r="A1653" s="3" t="n"/>
      <c r="B1653" s="3" t="n"/>
      <c r="C1653" s="3" t="n"/>
      <c r="D1653" s="4" t="n"/>
      <c r="E1653" s="3" t="n"/>
      <c r="F1653" s="3" t="n"/>
      <c r="G1653" s="3" t="n"/>
      <c r="H1653" s="3" t="n"/>
      <c r="I1653" s="3" t="n"/>
      <c r="J1653" s="3" t="n"/>
      <c r="K1653" s="3" t="n"/>
      <c r="L1653" s="3" t="n"/>
      <c r="M1653" s="3" t="n"/>
      <c r="N1653" s="3" t="n"/>
      <c r="O1653" s="3" t="n"/>
      <c r="P1653" s="3" t="n"/>
      <c r="Q1653" s="3" t="n"/>
      <c r="R1653" s="5">
        <f>IF(Q1653&lt;&gt;"是","排除",IF(OR(L1653="",M1653=""),"",IF(OR(L1653="未知",M1653="未知"),"未知",IF(AND(L1653="真",M1653="真"),"TP",IF(AND(L1653="真",M1653="假"),"FP",IF(AND(L1653="假",M1653="真"),"FN","TN"))))))</f>
        <v/>
      </c>
      <c r="S1653" s="3" t="n"/>
      <c r="T1653" s="3" t="n"/>
      <c r="U1653" s="3" t="n"/>
      <c r="V1653" s="3" t="n"/>
    </row>
    <row r="1654">
      <c r="A1654" s="3" t="n"/>
      <c r="B1654" s="3" t="n"/>
      <c r="C1654" s="3" t="n"/>
      <c r="D1654" s="4" t="n"/>
      <c r="E1654" s="3" t="n"/>
      <c r="F1654" s="3" t="n"/>
      <c r="G1654" s="3" t="n"/>
      <c r="H1654" s="3" t="n"/>
      <c r="I1654" s="3" t="n"/>
      <c r="J1654" s="3" t="n"/>
      <c r="K1654" s="3" t="n"/>
      <c r="L1654" s="3" t="n"/>
      <c r="M1654" s="3" t="n"/>
      <c r="N1654" s="3" t="n"/>
      <c r="O1654" s="3" t="n"/>
      <c r="P1654" s="3" t="n"/>
      <c r="Q1654" s="3" t="n"/>
      <c r="R1654" s="5">
        <f>IF(Q1654&lt;&gt;"是","排除",IF(OR(L1654="",M1654=""),"",IF(OR(L1654="未知",M1654="未知"),"未知",IF(AND(L1654="真",M1654="真"),"TP",IF(AND(L1654="真",M1654="假"),"FP",IF(AND(L1654="假",M1654="真"),"FN","TN"))))))</f>
        <v/>
      </c>
      <c r="S1654" s="3" t="n"/>
      <c r="T1654" s="3" t="n"/>
      <c r="U1654" s="3" t="n"/>
      <c r="V1654" s="3" t="n"/>
    </row>
    <row r="1655">
      <c r="A1655" s="3" t="n"/>
      <c r="B1655" s="3" t="n"/>
      <c r="C1655" s="3" t="n"/>
      <c r="D1655" s="4" t="n"/>
      <c r="E1655" s="3" t="n"/>
      <c r="F1655" s="3" t="n"/>
      <c r="G1655" s="3" t="n"/>
      <c r="H1655" s="3" t="n"/>
      <c r="I1655" s="3" t="n"/>
      <c r="J1655" s="3" t="n"/>
      <c r="K1655" s="3" t="n"/>
      <c r="L1655" s="3" t="n"/>
      <c r="M1655" s="3" t="n"/>
      <c r="N1655" s="3" t="n"/>
      <c r="O1655" s="3" t="n"/>
      <c r="P1655" s="3" t="n"/>
      <c r="Q1655" s="3" t="n"/>
      <c r="R1655" s="5">
        <f>IF(Q1655&lt;&gt;"是","排除",IF(OR(L1655="",M1655=""),"",IF(OR(L1655="未知",M1655="未知"),"未知",IF(AND(L1655="真",M1655="真"),"TP",IF(AND(L1655="真",M1655="假"),"FP",IF(AND(L1655="假",M1655="真"),"FN","TN"))))))</f>
        <v/>
      </c>
      <c r="S1655" s="3" t="n"/>
      <c r="T1655" s="3" t="n"/>
      <c r="U1655" s="3" t="n"/>
      <c r="V1655" s="3" t="n"/>
    </row>
    <row r="1656">
      <c r="A1656" s="3" t="n"/>
      <c r="B1656" s="3" t="n"/>
      <c r="C1656" s="3" t="n"/>
      <c r="D1656" s="4" t="n"/>
      <c r="E1656" s="3" t="n"/>
      <c r="F1656" s="3" t="n"/>
      <c r="G1656" s="3" t="n"/>
      <c r="H1656" s="3" t="n"/>
      <c r="I1656" s="3" t="n"/>
      <c r="J1656" s="3" t="n"/>
      <c r="K1656" s="3" t="n"/>
      <c r="L1656" s="3" t="n"/>
      <c r="M1656" s="3" t="n"/>
      <c r="N1656" s="3" t="n"/>
      <c r="O1656" s="3" t="n"/>
      <c r="P1656" s="3" t="n"/>
      <c r="Q1656" s="3" t="n"/>
      <c r="R1656" s="5">
        <f>IF(Q1656&lt;&gt;"是","排除",IF(OR(L1656="",M1656=""),"",IF(OR(L1656="未知",M1656="未知"),"未知",IF(AND(L1656="真",M1656="真"),"TP",IF(AND(L1656="真",M1656="假"),"FP",IF(AND(L1656="假",M1656="真"),"FN","TN"))))))</f>
        <v/>
      </c>
      <c r="S1656" s="3" t="n"/>
      <c r="T1656" s="3" t="n"/>
      <c r="U1656" s="3" t="n"/>
      <c r="V1656" s="3" t="n"/>
    </row>
    <row r="1657">
      <c r="A1657" s="3" t="n"/>
      <c r="B1657" s="3" t="n"/>
      <c r="C1657" s="3" t="n"/>
      <c r="D1657" s="4" t="n"/>
      <c r="E1657" s="3" t="n"/>
      <c r="F1657" s="3" t="n"/>
      <c r="G1657" s="3" t="n"/>
      <c r="H1657" s="3" t="n"/>
      <c r="I1657" s="3" t="n"/>
      <c r="J1657" s="3" t="n"/>
      <c r="K1657" s="3" t="n"/>
      <c r="L1657" s="3" t="n"/>
      <c r="M1657" s="3" t="n"/>
      <c r="N1657" s="3" t="n"/>
      <c r="O1657" s="3" t="n"/>
      <c r="P1657" s="3" t="n"/>
      <c r="Q1657" s="3" t="n"/>
      <c r="R1657" s="5">
        <f>IF(Q1657&lt;&gt;"是","排除",IF(OR(L1657="",M1657=""),"",IF(OR(L1657="未知",M1657="未知"),"未知",IF(AND(L1657="真",M1657="真"),"TP",IF(AND(L1657="真",M1657="假"),"FP",IF(AND(L1657="假",M1657="真"),"FN","TN"))))))</f>
        <v/>
      </c>
      <c r="S1657" s="3" t="n"/>
      <c r="T1657" s="3" t="n"/>
      <c r="U1657" s="3" t="n"/>
      <c r="V1657" s="3" t="n"/>
    </row>
    <row r="1658">
      <c r="A1658" s="3" t="n"/>
      <c r="B1658" s="3" t="n"/>
      <c r="C1658" s="3" t="n"/>
      <c r="D1658" s="4" t="n"/>
      <c r="E1658" s="3" t="n"/>
      <c r="F1658" s="3" t="n"/>
      <c r="G1658" s="3" t="n"/>
      <c r="H1658" s="3" t="n"/>
      <c r="I1658" s="3" t="n"/>
      <c r="J1658" s="3" t="n"/>
      <c r="K1658" s="3" t="n"/>
      <c r="L1658" s="3" t="n"/>
      <c r="M1658" s="3" t="n"/>
      <c r="N1658" s="3" t="n"/>
      <c r="O1658" s="3" t="n"/>
      <c r="P1658" s="3" t="n"/>
      <c r="Q1658" s="3" t="n"/>
      <c r="R1658" s="5">
        <f>IF(Q1658&lt;&gt;"是","排除",IF(OR(L1658="",M1658=""),"",IF(OR(L1658="未知",M1658="未知"),"未知",IF(AND(L1658="真",M1658="真"),"TP",IF(AND(L1658="真",M1658="假"),"FP",IF(AND(L1658="假",M1658="真"),"FN","TN"))))))</f>
        <v/>
      </c>
      <c r="S1658" s="3" t="n"/>
      <c r="T1658" s="3" t="n"/>
      <c r="U1658" s="3" t="n"/>
      <c r="V1658" s="3" t="n"/>
    </row>
    <row r="1659">
      <c r="A1659" s="3" t="n"/>
      <c r="B1659" s="3" t="n"/>
      <c r="C1659" s="3" t="n"/>
      <c r="D1659" s="4" t="n"/>
      <c r="E1659" s="3" t="n"/>
      <c r="F1659" s="3" t="n"/>
      <c r="G1659" s="3" t="n"/>
      <c r="H1659" s="3" t="n"/>
      <c r="I1659" s="3" t="n"/>
      <c r="J1659" s="3" t="n"/>
      <c r="K1659" s="3" t="n"/>
      <c r="L1659" s="3" t="n"/>
      <c r="M1659" s="3" t="n"/>
      <c r="N1659" s="3" t="n"/>
      <c r="O1659" s="3" t="n"/>
      <c r="P1659" s="3" t="n"/>
      <c r="Q1659" s="3" t="n"/>
      <c r="R1659" s="5">
        <f>IF(Q1659&lt;&gt;"是","排除",IF(OR(L1659="",M1659=""),"",IF(OR(L1659="未知",M1659="未知"),"未知",IF(AND(L1659="真",M1659="真"),"TP",IF(AND(L1659="真",M1659="假"),"FP",IF(AND(L1659="假",M1659="真"),"FN","TN"))))))</f>
        <v/>
      </c>
      <c r="S1659" s="3" t="n"/>
      <c r="T1659" s="3" t="n"/>
      <c r="U1659" s="3" t="n"/>
      <c r="V1659" s="3" t="n"/>
    </row>
    <row r="1660">
      <c r="A1660" s="3" t="n"/>
      <c r="B1660" s="3" t="n"/>
      <c r="C1660" s="3" t="n"/>
      <c r="D1660" s="4" t="n"/>
      <c r="E1660" s="3" t="n"/>
      <c r="F1660" s="3" t="n"/>
      <c r="G1660" s="3" t="n"/>
      <c r="H1660" s="3" t="n"/>
      <c r="I1660" s="3" t="n"/>
      <c r="J1660" s="3" t="n"/>
      <c r="K1660" s="3" t="n"/>
      <c r="L1660" s="3" t="n"/>
      <c r="M1660" s="3" t="n"/>
      <c r="N1660" s="3" t="n"/>
      <c r="O1660" s="3" t="n"/>
      <c r="P1660" s="3" t="n"/>
      <c r="Q1660" s="3" t="n"/>
      <c r="R1660" s="5">
        <f>IF(Q1660&lt;&gt;"是","排除",IF(OR(L1660="",M1660=""),"",IF(OR(L1660="未知",M1660="未知"),"未知",IF(AND(L1660="真",M1660="真"),"TP",IF(AND(L1660="真",M1660="假"),"FP",IF(AND(L1660="假",M1660="真"),"FN","TN"))))))</f>
        <v/>
      </c>
      <c r="S1660" s="3" t="n"/>
      <c r="T1660" s="3" t="n"/>
      <c r="U1660" s="3" t="n"/>
      <c r="V1660" s="3" t="n"/>
    </row>
    <row r="1661">
      <c r="A1661" s="3" t="n"/>
      <c r="B1661" s="3" t="n"/>
      <c r="C1661" s="3" t="n"/>
      <c r="D1661" s="4" t="n"/>
      <c r="E1661" s="3" t="n"/>
      <c r="F1661" s="3" t="n"/>
      <c r="G1661" s="3" t="n"/>
      <c r="H1661" s="3" t="n"/>
      <c r="I1661" s="3" t="n"/>
      <c r="J1661" s="3" t="n"/>
      <c r="K1661" s="3" t="n"/>
      <c r="L1661" s="3" t="n"/>
      <c r="M1661" s="3" t="n"/>
      <c r="N1661" s="3" t="n"/>
      <c r="O1661" s="3" t="n"/>
      <c r="P1661" s="3" t="n"/>
      <c r="Q1661" s="3" t="n"/>
      <c r="R1661" s="5">
        <f>IF(Q1661&lt;&gt;"是","排除",IF(OR(L1661="",M1661=""),"",IF(OR(L1661="未知",M1661="未知"),"未知",IF(AND(L1661="真",M1661="真"),"TP",IF(AND(L1661="真",M1661="假"),"FP",IF(AND(L1661="假",M1661="真"),"FN","TN"))))))</f>
        <v/>
      </c>
      <c r="S1661" s="3" t="n"/>
      <c r="T1661" s="3" t="n"/>
      <c r="U1661" s="3" t="n"/>
      <c r="V1661" s="3" t="n"/>
    </row>
    <row r="1662">
      <c r="A1662" s="3" t="n"/>
      <c r="B1662" s="3" t="n"/>
      <c r="C1662" s="3" t="n"/>
      <c r="D1662" s="4" t="n"/>
      <c r="E1662" s="3" t="n"/>
      <c r="F1662" s="3" t="n"/>
      <c r="G1662" s="3" t="n"/>
      <c r="H1662" s="3" t="n"/>
      <c r="I1662" s="3" t="n"/>
      <c r="J1662" s="3" t="n"/>
      <c r="K1662" s="3" t="n"/>
      <c r="L1662" s="3" t="n"/>
      <c r="M1662" s="3" t="n"/>
      <c r="N1662" s="3" t="n"/>
      <c r="O1662" s="3" t="n"/>
      <c r="P1662" s="3" t="n"/>
      <c r="Q1662" s="3" t="n"/>
      <c r="R1662" s="5">
        <f>IF(Q1662&lt;&gt;"是","排除",IF(OR(L1662="",M1662=""),"",IF(OR(L1662="未知",M1662="未知"),"未知",IF(AND(L1662="真",M1662="真"),"TP",IF(AND(L1662="真",M1662="假"),"FP",IF(AND(L1662="假",M1662="真"),"FN","TN"))))))</f>
        <v/>
      </c>
      <c r="S1662" s="3" t="n"/>
      <c r="T1662" s="3" t="n"/>
      <c r="U1662" s="3" t="n"/>
      <c r="V1662" s="3" t="n"/>
    </row>
    <row r="1663">
      <c r="A1663" s="3" t="n"/>
      <c r="B1663" s="3" t="n"/>
      <c r="C1663" s="3" t="n"/>
      <c r="D1663" s="4" t="n"/>
      <c r="E1663" s="3" t="n"/>
      <c r="F1663" s="3" t="n"/>
      <c r="G1663" s="3" t="n"/>
      <c r="H1663" s="3" t="n"/>
      <c r="I1663" s="3" t="n"/>
      <c r="J1663" s="3" t="n"/>
      <c r="K1663" s="3" t="n"/>
      <c r="L1663" s="3" t="n"/>
      <c r="M1663" s="3" t="n"/>
      <c r="N1663" s="3" t="n"/>
      <c r="O1663" s="3" t="n"/>
      <c r="P1663" s="3" t="n"/>
      <c r="Q1663" s="3" t="n"/>
      <c r="R1663" s="5">
        <f>IF(Q1663&lt;&gt;"是","排除",IF(OR(L1663="",M1663=""),"",IF(OR(L1663="未知",M1663="未知"),"未知",IF(AND(L1663="真",M1663="真"),"TP",IF(AND(L1663="真",M1663="假"),"FP",IF(AND(L1663="假",M1663="真"),"FN","TN"))))))</f>
        <v/>
      </c>
      <c r="S1663" s="3" t="n"/>
      <c r="T1663" s="3" t="n"/>
      <c r="U1663" s="3" t="n"/>
      <c r="V1663" s="3" t="n"/>
    </row>
    <row r="1664">
      <c r="A1664" s="3" t="n"/>
      <c r="B1664" s="3" t="n"/>
      <c r="C1664" s="3" t="n"/>
      <c r="D1664" s="4" t="n"/>
      <c r="E1664" s="3" t="n"/>
      <c r="F1664" s="3" t="n"/>
      <c r="G1664" s="3" t="n"/>
      <c r="H1664" s="3" t="n"/>
      <c r="I1664" s="3" t="n"/>
      <c r="J1664" s="3" t="n"/>
      <c r="K1664" s="3" t="n"/>
      <c r="L1664" s="3" t="n"/>
      <c r="M1664" s="3" t="n"/>
      <c r="N1664" s="3" t="n"/>
      <c r="O1664" s="3" t="n"/>
      <c r="P1664" s="3" t="n"/>
      <c r="Q1664" s="3" t="n"/>
      <c r="R1664" s="5">
        <f>IF(Q1664&lt;&gt;"是","排除",IF(OR(L1664="",M1664=""),"",IF(OR(L1664="未知",M1664="未知"),"未知",IF(AND(L1664="真",M1664="真"),"TP",IF(AND(L1664="真",M1664="假"),"FP",IF(AND(L1664="假",M1664="真"),"FN","TN"))))))</f>
        <v/>
      </c>
      <c r="S1664" s="3" t="n"/>
      <c r="T1664" s="3" t="n"/>
      <c r="U1664" s="3" t="n"/>
      <c r="V1664" s="3" t="n"/>
    </row>
    <row r="1665">
      <c r="A1665" s="3" t="n"/>
      <c r="B1665" s="3" t="n"/>
      <c r="C1665" s="3" t="n"/>
      <c r="D1665" s="4" t="n"/>
      <c r="E1665" s="3" t="n"/>
      <c r="F1665" s="3" t="n"/>
      <c r="G1665" s="3" t="n"/>
      <c r="H1665" s="3" t="n"/>
      <c r="I1665" s="3" t="n"/>
      <c r="J1665" s="3" t="n"/>
      <c r="K1665" s="3" t="n"/>
      <c r="L1665" s="3" t="n"/>
      <c r="M1665" s="3" t="n"/>
      <c r="N1665" s="3" t="n"/>
      <c r="O1665" s="3" t="n"/>
      <c r="P1665" s="3" t="n"/>
      <c r="Q1665" s="3" t="n"/>
      <c r="R1665" s="5">
        <f>IF(Q1665&lt;&gt;"是","排除",IF(OR(L1665="",M1665=""),"",IF(OR(L1665="未知",M1665="未知"),"未知",IF(AND(L1665="真",M1665="真"),"TP",IF(AND(L1665="真",M1665="假"),"FP",IF(AND(L1665="假",M1665="真"),"FN","TN"))))))</f>
        <v/>
      </c>
      <c r="S1665" s="3" t="n"/>
      <c r="T1665" s="3" t="n"/>
      <c r="U1665" s="3" t="n"/>
      <c r="V1665" s="3" t="n"/>
    </row>
    <row r="1666">
      <c r="A1666" s="3" t="n"/>
      <c r="B1666" s="3" t="n"/>
      <c r="C1666" s="3" t="n"/>
      <c r="D1666" s="4" t="n"/>
      <c r="E1666" s="3" t="n"/>
      <c r="F1666" s="3" t="n"/>
      <c r="G1666" s="3" t="n"/>
      <c r="H1666" s="3" t="n"/>
      <c r="I1666" s="3" t="n"/>
      <c r="J1666" s="3" t="n"/>
      <c r="K1666" s="3" t="n"/>
      <c r="L1666" s="3" t="n"/>
      <c r="M1666" s="3" t="n"/>
      <c r="N1666" s="3" t="n"/>
      <c r="O1666" s="3" t="n"/>
      <c r="P1666" s="3" t="n"/>
      <c r="Q1666" s="3" t="n"/>
      <c r="R1666" s="5">
        <f>IF(Q1666&lt;&gt;"是","排除",IF(OR(L1666="",M1666=""),"",IF(OR(L1666="未知",M1666="未知"),"未知",IF(AND(L1666="真",M1666="真"),"TP",IF(AND(L1666="真",M1666="假"),"FP",IF(AND(L1666="假",M1666="真"),"FN","TN"))))))</f>
        <v/>
      </c>
      <c r="S1666" s="3" t="n"/>
      <c r="T1666" s="3" t="n"/>
      <c r="U1666" s="3" t="n"/>
      <c r="V1666" s="3" t="n"/>
    </row>
    <row r="1667">
      <c r="A1667" s="3" t="n"/>
      <c r="B1667" s="3" t="n"/>
      <c r="C1667" s="3" t="n"/>
      <c r="D1667" s="4" t="n"/>
      <c r="E1667" s="3" t="n"/>
      <c r="F1667" s="3" t="n"/>
      <c r="G1667" s="3" t="n"/>
      <c r="H1667" s="3" t="n"/>
      <c r="I1667" s="3" t="n"/>
      <c r="J1667" s="3" t="n"/>
      <c r="K1667" s="3" t="n"/>
      <c r="L1667" s="3" t="n"/>
      <c r="M1667" s="3" t="n"/>
      <c r="N1667" s="3" t="n"/>
      <c r="O1667" s="3" t="n"/>
      <c r="P1667" s="3" t="n"/>
      <c r="Q1667" s="3" t="n"/>
      <c r="R1667" s="5">
        <f>IF(Q1667&lt;&gt;"是","排除",IF(OR(L1667="",M1667=""),"",IF(OR(L1667="未知",M1667="未知"),"未知",IF(AND(L1667="真",M1667="真"),"TP",IF(AND(L1667="真",M1667="假"),"FP",IF(AND(L1667="假",M1667="真"),"FN","TN"))))))</f>
        <v/>
      </c>
      <c r="S1667" s="3" t="n"/>
      <c r="T1667" s="3" t="n"/>
      <c r="U1667" s="3" t="n"/>
      <c r="V1667" s="3" t="n"/>
    </row>
    <row r="1668">
      <c r="A1668" s="3" t="n"/>
      <c r="B1668" s="3" t="n"/>
      <c r="C1668" s="3" t="n"/>
      <c r="D1668" s="4" t="n"/>
      <c r="E1668" s="3" t="n"/>
      <c r="F1668" s="3" t="n"/>
      <c r="G1668" s="3" t="n"/>
      <c r="H1668" s="3" t="n"/>
      <c r="I1668" s="3" t="n"/>
      <c r="J1668" s="3" t="n"/>
      <c r="K1668" s="3" t="n"/>
      <c r="L1668" s="3" t="n"/>
      <c r="M1668" s="3" t="n"/>
      <c r="N1668" s="3" t="n"/>
      <c r="O1668" s="3" t="n"/>
      <c r="P1668" s="3" t="n"/>
      <c r="Q1668" s="3" t="n"/>
      <c r="R1668" s="5">
        <f>IF(Q1668&lt;&gt;"是","排除",IF(OR(L1668="",M1668=""),"",IF(OR(L1668="未知",M1668="未知"),"未知",IF(AND(L1668="真",M1668="真"),"TP",IF(AND(L1668="真",M1668="假"),"FP",IF(AND(L1668="假",M1668="真"),"FN","TN"))))))</f>
        <v/>
      </c>
      <c r="S1668" s="3" t="n"/>
      <c r="T1668" s="3" t="n"/>
      <c r="U1668" s="3" t="n"/>
      <c r="V1668" s="3" t="n"/>
    </row>
    <row r="1669">
      <c r="A1669" s="3" t="n"/>
      <c r="B1669" s="3" t="n"/>
      <c r="C1669" s="3" t="n"/>
      <c r="D1669" s="4" t="n"/>
      <c r="E1669" s="3" t="n"/>
      <c r="F1669" s="3" t="n"/>
      <c r="G1669" s="3" t="n"/>
      <c r="H1669" s="3" t="n"/>
      <c r="I1669" s="3" t="n"/>
      <c r="J1669" s="3" t="n"/>
      <c r="K1669" s="3" t="n"/>
      <c r="L1669" s="3" t="n"/>
      <c r="M1669" s="3" t="n"/>
      <c r="N1669" s="3" t="n"/>
      <c r="O1669" s="3" t="n"/>
      <c r="P1669" s="3" t="n"/>
      <c r="Q1669" s="3" t="n"/>
      <c r="R1669" s="5">
        <f>IF(Q1669&lt;&gt;"是","排除",IF(OR(L1669="",M1669=""),"",IF(OR(L1669="未知",M1669="未知"),"未知",IF(AND(L1669="真",M1669="真"),"TP",IF(AND(L1669="真",M1669="假"),"FP",IF(AND(L1669="假",M1669="真"),"FN","TN"))))))</f>
        <v/>
      </c>
      <c r="S1669" s="3" t="n"/>
      <c r="T1669" s="3" t="n"/>
      <c r="U1669" s="3" t="n"/>
      <c r="V1669" s="3" t="n"/>
    </row>
    <row r="1670">
      <c r="A1670" s="3" t="n"/>
      <c r="B1670" s="3" t="n"/>
      <c r="C1670" s="3" t="n"/>
      <c r="D1670" s="4" t="n"/>
      <c r="E1670" s="3" t="n"/>
      <c r="F1670" s="3" t="n"/>
      <c r="G1670" s="3" t="n"/>
      <c r="H1670" s="3" t="n"/>
      <c r="I1670" s="3" t="n"/>
      <c r="J1670" s="3" t="n"/>
      <c r="K1670" s="3" t="n"/>
      <c r="L1670" s="3" t="n"/>
      <c r="M1670" s="3" t="n"/>
      <c r="N1670" s="3" t="n"/>
      <c r="O1670" s="3" t="n"/>
      <c r="P1670" s="3" t="n"/>
      <c r="Q1670" s="3" t="n"/>
      <c r="R1670" s="5">
        <f>IF(Q1670&lt;&gt;"是","排除",IF(OR(L1670="",M1670=""),"",IF(OR(L1670="未知",M1670="未知"),"未知",IF(AND(L1670="真",M1670="真"),"TP",IF(AND(L1670="真",M1670="假"),"FP",IF(AND(L1670="假",M1670="真"),"FN","TN"))))))</f>
        <v/>
      </c>
      <c r="S1670" s="3" t="n"/>
      <c r="T1670" s="3" t="n"/>
      <c r="U1670" s="3" t="n"/>
      <c r="V1670" s="3" t="n"/>
    </row>
    <row r="1671">
      <c r="A1671" s="3" t="n"/>
      <c r="B1671" s="3" t="n"/>
      <c r="C1671" s="3" t="n"/>
      <c r="D1671" s="4" t="n"/>
      <c r="E1671" s="3" t="n"/>
      <c r="F1671" s="3" t="n"/>
      <c r="G1671" s="3" t="n"/>
      <c r="H1671" s="3" t="n"/>
      <c r="I1671" s="3" t="n"/>
      <c r="J1671" s="3" t="n"/>
      <c r="K1671" s="3" t="n"/>
      <c r="L1671" s="3" t="n"/>
      <c r="M1671" s="3" t="n"/>
      <c r="N1671" s="3" t="n"/>
      <c r="O1671" s="3" t="n"/>
      <c r="P1671" s="3" t="n"/>
      <c r="Q1671" s="3" t="n"/>
      <c r="R1671" s="5">
        <f>IF(Q1671&lt;&gt;"是","排除",IF(OR(L1671="",M1671=""),"",IF(OR(L1671="未知",M1671="未知"),"未知",IF(AND(L1671="真",M1671="真"),"TP",IF(AND(L1671="真",M1671="假"),"FP",IF(AND(L1671="假",M1671="真"),"FN","TN"))))))</f>
        <v/>
      </c>
      <c r="S1671" s="3" t="n"/>
      <c r="T1671" s="3" t="n"/>
      <c r="U1671" s="3" t="n"/>
      <c r="V1671" s="3" t="n"/>
    </row>
    <row r="1672">
      <c r="A1672" s="3" t="n"/>
      <c r="B1672" s="3" t="n"/>
      <c r="C1672" s="3" t="n"/>
      <c r="D1672" s="4" t="n"/>
      <c r="E1672" s="3" t="n"/>
      <c r="F1672" s="3" t="n"/>
      <c r="G1672" s="3" t="n"/>
      <c r="H1672" s="3" t="n"/>
      <c r="I1672" s="3" t="n"/>
      <c r="J1672" s="3" t="n"/>
      <c r="K1672" s="3" t="n"/>
      <c r="L1672" s="3" t="n"/>
      <c r="M1672" s="3" t="n"/>
      <c r="N1672" s="3" t="n"/>
      <c r="O1672" s="3" t="n"/>
      <c r="P1672" s="3" t="n"/>
      <c r="Q1672" s="3" t="n"/>
      <c r="R1672" s="5">
        <f>IF(Q1672&lt;&gt;"是","排除",IF(OR(L1672="",M1672=""),"",IF(OR(L1672="未知",M1672="未知"),"未知",IF(AND(L1672="真",M1672="真"),"TP",IF(AND(L1672="真",M1672="假"),"FP",IF(AND(L1672="假",M1672="真"),"FN","TN"))))))</f>
        <v/>
      </c>
      <c r="S1672" s="3" t="n"/>
      <c r="T1672" s="3" t="n"/>
      <c r="U1672" s="3" t="n"/>
      <c r="V1672" s="3" t="n"/>
    </row>
    <row r="1673">
      <c r="A1673" s="3" t="n"/>
      <c r="B1673" s="3" t="n"/>
      <c r="C1673" s="3" t="n"/>
      <c r="D1673" s="4" t="n"/>
      <c r="E1673" s="3" t="n"/>
      <c r="F1673" s="3" t="n"/>
      <c r="G1673" s="3" t="n"/>
      <c r="H1673" s="3" t="n"/>
      <c r="I1673" s="3" t="n"/>
      <c r="J1673" s="3" t="n"/>
      <c r="K1673" s="3" t="n"/>
      <c r="L1673" s="3" t="n"/>
      <c r="M1673" s="3" t="n"/>
      <c r="N1673" s="3" t="n"/>
      <c r="O1673" s="3" t="n"/>
      <c r="P1673" s="3" t="n"/>
      <c r="Q1673" s="3" t="n"/>
      <c r="R1673" s="5">
        <f>IF(Q1673&lt;&gt;"是","排除",IF(OR(L1673="",M1673=""),"",IF(OR(L1673="未知",M1673="未知"),"未知",IF(AND(L1673="真",M1673="真"),"TP",IF(AND(L1673="真",M1673="假"),"FP",IF(AND(L1673="假",M1673="真"),"FN","TN"))))))</f>
        <v/>
      </c>
      <c r="S1673" s="3" t="n"/>
      <c r="T1673" s="3" t="n"/>
      <c r="U1673" s="3" t="n"/>
      <c r="V1673" s="3" t="n"/>
    </row>
    <row r="1674">
      <c r="A1674" s="3" t="n"/>
      <c r="B1674" s="3" t="n"/>
      <c r="C1674" s="3" t="n"/>
      <c r="D1674" s="4" t="n"/>
      <c r="E1674" s="3" t="n"/>
      <c r="F1674" s="3" t="n"/>
      <c r="G1674" s="3" t="n"/>
      <c r="H1674" s="3" t="n"/>
      <c r="I1674" s="3" t="n"/>
      <c r="J1674" s="3" t="n"/>
      <c r="K1674" s="3" t="n"/>
      <c r="L1674" s="3" t="n"/>
      <c r="M1674" s="3" t="n"/>
      <c r="N1674" s="3" t="n"/>
      <c r="O1674" s="3" t="n"/>
      <c r="P1674" s="3" t="n"/>
      <c r="Q1674" s="3" t="n"/>
      <c r="R1674" s="5">
        <f>IF(Q1674&lt;&gt;"是","排除",IF(OR(L1674="",M1674=""),"",IF(OR(L1674="未知",M1674="未知"),"未知",IF(AND(L1674="真",M1674="真"),"TP",IF(AND(L1674="真",M1674="假"),"FP",IF(AND(L1674="假",M1674="真"),"FN","TN"))))))</f>
        <v/>
      </c>
      <c r="S1674" s="3" t="n"/>
      <c r="T1674" s="3" t="n"/>
      <c r="U1674" s="3" t="n"/>
      <c r="V1674" s="3" t="n"/>
    </row>
    <row r="1675">
      <c r="A1675" s="3" t="n"/>
      <c r="B1675" s="3" t="n"/>
      <c r="C1675" s="3" t="n"/>
      <c r="D1675" s="4" t="n"/>
      <c r="E1675" s="3" t="n"/>
      <c r="F1675" s="3" t="n"/>
      <c r="G1675" s="3" t="n"/>
      <c r="H1675" s="3" t="n"/>
      <c r="I1675" s="3" t="n"/>
      <c r="J1675" s="3" t="n"/>
      <c r="K1675" s="3" t="n"/>
      <c r="L1675" s="3" t="n"/>
      <c r="M1675" s="3" t="n"/>
      <c r="N1675" s="3" t="n"/>
      <c r="O1675" s="3" t="n"/>
      <c r="P1675" s="3" t="n"/>
      <c r="Q1675" s="3" t="n"/>
      <c r="R1675" s="5">
        <f>IF(Q1675&lt;&gt;"是","排除",IF(OR(L1675="",M1675=""),"",IF(OR(L1675="未知",M1675="未知"),"未知",IF(AND(L1675="真",M1675="真"),"TP",IF(AND(L1675="真",M1675="假"),"FP",IF(AND(L1675="假",M1675="真"),"FN","TN"))))))</f>
        <v/>
      </c>
      <c r="S1675" s="3" t="n"/>
      <c r="T1675" s="3" t="n"/>
      <c r="U1675" s="3" t="n"/>
      <c r="V1675" s="3" t="n"/>
    </row>
    <row r="1676">
      <c r="A1676" s="3" t="n"/>
      <c r="B1676" s="3" t="n"/>
      <c r="C1676" s="3" t="n"/>
      <c r="D1676" s="4" t="n"/>
      <c r="E1676" s="3" t="n"/>
      <c r="F1676" s="3" t="n"/>
      <c r="G1676" s="3" t="n"/>
      <c r="H1676" s="3" t="n"/>
      <c r="I1676" s="3" t="n"/>
      <c r="J1676" s="3" t="n"/>
      <c r="K1676" s="3" t="n"/>
      <c r="L1676" s="3" t="n"/>
      <c r="M1676" s="3" t="n"/>
      <c r="N1676" s="3" t="n"/>
      <c r="O1676" s="3" t="n"/>
      <c r="P1676" s="3" t="n"/>
      <c r="Q1676" s="3" t="n"/>
      <c r="R1676" s="5">
        <f>IF(Q1676&lt;&gt;"是","排除",IF(OR(L1676="",M1676=""),"",IF(OR(L1676="未知",M1676="未知"),"未知",IF(AND(L1676="真",M1676="真"),"TP",IF(AND(L1676="真",M1676="假"),"FP",IF(AND(L1676="假",M1676="真"),"FN","TN"))))))</f>
        <v/>
      </c>
      <c r="S1676" s="3" t="n"/>
      <c r="T1676" s="3" t="n"/>
      <c r="U1676" s="3" t="n"/>
      <c r="V1676" s="3" t="n"/>
    </row>
    <row r="1677">
      <c r="A1677" s="3" t="n"/>
      <c r="B1677" s="3" t="n"/>
      <c r="C1677" s="3" t="n"/>
      <c r="D1677" s="4" t="n"/>
      <c r="E1677" s="3" t="n"/>
      <c r="F1677" s="3" t="n"/>
      <c r="G1677" s="3" t="n"/>
      <c r="H1677" s="3" t="n"/>
      <c r="I1677" s="3" t="n"/>
      <c r="J1677" s="3" t="n"/>
      <c r="K1677" s="3" t="n"/>
      <c r="L1677" s="3" t="n"/>
      <c r="M1677" s="3" t="n"/>
      <c r="N1677" s="3" t="n"/>
      <c r="O1677" s="3" t="n"/>
      <c r="P1677" s="3" t="n"/>
      <c r="Q1677" s="3" t="n"/>
      <c r="R1677" s="5">
        <f>IF(Q1677&lt;&gt;"是","排除",IF(OR(L1677="",M1677=""),"",IF(OR(L1677="未知",M1677="未知"),"未知",IF(AND(L1677="真",M1677="真"),"TP",IF(AND(L1677="真",M1677="假"),"FP",IF(AND(L1677="假",M1677="真"),"FN","TN"))))))</f>
        <v/>
      </c>
      <c r="S1677" s="3" t="n"/>
      <c r="T1677" s="3" t="n"/>
      <c r="U1677" s="3" t="n"/>
      <c r="V1677" s="3" t="n"/>
    </row>
    <row r="1678">
      <c r="A1678" s="3" t="n"/>
      <c r="B1678" s="3" t="n"/>
      <c r="C1678" s="3" t="n"/>
      <c r="D1678" s="4" t="n"/>
      <c r="E1678" s="3" t="n"/>
      <c r="F1678" s="3" t="n"/>
      <c r="G1678" s="3" t="n"/>
      <c r="H1678" s="3" t="n"/>
      <c r="I1678" s="3" t="n"/>
      <c r="J1678" s="3" t="n"/>
      <c r="K1678" s="3" t="n"/>
      <c r="L1678" s="3" t="n"/>
      <c r="M1678" s="3" t="n"/>
      <c r="N1678" s="3" t="n"/>
      <c r="O1678" s="3" t="n"/>
      <c r="P1678" s="3" t="n"/>
      <c r="Q1678" s="3" t="n"/>
      <c r="R1678" s="5">
        <f>IF(Q1678&lt;&gt;"是","排除",IF(OR(L1678="",M1678=""),"",IF(OR(L1678="未知",M1678="未知"),"未知",IF(AND(L1678="真",M1678="真"),"TP",IF(AND(L1678="真",M1678="假"),"FP",IF(AND(L1678="假",M1678="真"),"FN","TN"))))))</f>
        <v/>
      </c>
      <c r="S1678" s="3" t="n"/>
      <c r="T1678" s="3" t="n"/>
      <c r="U1678" s="3" t="n"/>
      <c r="V1678" s="3" t="n"/>
    </row>
    <row r="1679">
      <c r="A1679" s="3" t="n"/>
      <c r="B1679" s="3" t="n"/>
      <c r="C1679" s="3" t="n"/>
      <c r="D1679" s="4" t="n"/>
      <c r="E1679" s="3" t="n"/>
      <c r="F1679" s="3" t="n"/>
      <c r="G1679" s="3" t="n"/>
      <c r="H1679" s="3" t="n"/>
      <c r="I1679" s="3" t="n"/>
      <c r="J1679" s="3" t="n"/>
      <c r="K1679" s="3" t="n"/>
      <c r="L1679" s="3" t="n"/>
      <c r="M1679" s="3" t="n"/>
      <c r="N1679" s="3" t="n"/>
      <c r="O1679" s="3" t="n"/>
      <c r="P1679" s="3" t="n"/>
      <c r="Q1679" s="3" t="n"/>
      <c r="R1679" s="5">
        <f>IF(Q1679&lt;&gt;"是","排除",IF(OR(L1679="",M1679=""),"",IF(OR(L1679="未知",M1679="未知"),"未知",IF(AND(L1679="真",M1679="真"),"TP",IF(AND(L1679="真",M1679="假"),"FP",IF(AND(L1679="假",M1679="真"),"FN","TN"))))))</f>
        <v/>
      </c>
      <c r="S1679" s="3" t="n"/>
      <c r="T1679" s="3" t="n"/>
      <c r="U1679" s="3" t="n"/>
      <c r="V1679" s="3" t="n"/>
    </row>
    <row r="1680">
      <c r="A1680" s="3" t="n"/>
      <c r="B1680" s="3" t="n"/>
      <c r="C1680" s="3" t="n"/>
      <c r="D1680" s="4" t="n"/>
      <c r="E1680" s="3" t="n"/>
      <c r="F1680" s="3" t="n"/>
      <c r="G1680" s="3" t="n"/>
      <c r="H1680" s="3" t="n"/>
      <c r="I1680" s="3" t="n"/>
      <c r="J1680" s="3" t="n"/>
      <c r="K1680" s="3" t="n"/>
      <c r="L1680" s="3" t="n"/>
      <c r="M1680" s="3" t="n"/>
      <c r="N1680" s="3" t="n"/>
      <c r="O1680" s="3" t="n"/>
      <c r="P1680" s="3" t="n"/>
      <c r="Q1680" s="3" t="n"/>
      <c r="R1680" s="5">
        <f>IF(Q1680&lt;&gt;"是","排除",IF(OR(L1680="",M1680=""),"",IF(OR(L1680="未知",M1680="未知"),"未知",IF(AND(L1680="真",M1680="真"),"TP",IF(AND(L1680="真",M1680="假"),"FP",IF(AND(L1680="假",M1680="真"),"FN","TN"))))))</f>
        <v/>
      </c>
      <c r="S1680" s="3" t="n"/>
      <c r="T1680" s="3" t="n"/>
      <c r="U1680" s="3" t="n"/>
      <c r="V1680" s="3" t="n"/>
    </row>
    <row r="1681">
      <c r="A1681" s="3" t="n"/>
      <c r="B1681" s="3" t="n"/>
      <c r="C1681" s="3" t="n"/>
      <c r="D1681" s="4" t="n"/>
      <c r="E1681" s="3" t="n"/>
      <c r="F1681" s="3" t="n"/>
      <c r="G1681" s="3" t="n"/>
      <c r="H1681" s="3" t="n"/>
      <c r="I1681" s="3" t="n"/>
      <c r="J1681" s="3" t="n"/>
      <c r="K1681" s="3" t="n"/>
      <c r="L1681" s="3" t="n"/>
      <c r="M1681" s="3" t="n"/>
      <c r="N1681" s="3" t="n"/>
      <c r="O1681" s="3" t="n"/>
      <c r="P1681" s="3" t="n"/>
      <c r="Q1681" s="3" t="n"/>
      <c r="R1681" s="5">
        <f>IF(Q1681&lt;&gt;"是","排除",IF(OR(L1681="",M1681=""),"",IF(OR(L1681="未知",M1681="未知"),"未知",IF(AND(L1681="真",M1681="真"),"TP",IF(AND(L1681="真",M1681="假"),"FP",IF(AND(L1681="假",M1681="真"),"FN","TN"))))))</f>
        <v/>
      </c>
      <c r="S1681" s="3" t="n"/>
      <c r="T1681" s="3" t="n"/>
      <c r="U1681" s="3" t="n"/>
      <c r="V1681" s="3" t="n"/>
    </row>
    <row r="1682">
      <c r="A1682" s="3" t="n"/>
      <c r="B1682" s="3" t="n"/>
      <c r="C1682" s="3" t="n"/>
      <c r="D1682" s="4" t="n"/>
      <c r="E1682" s="3" t="n"/>
      <c r="F1682" s="3" t="n"/>
      <c r="G1682" s="3" t="n"/>
      <c r="H1682" s="3" t="n"/>
      <c r="I1682" s="3" t="n"/>
      <c r="J1682" s="3" t="n"/>
      <c r="K1682" s="3" t="n"/>
      <c r="L1682" s="3" t="n"/>
      <c r="M1682" s="3" t="n"/>
      <c r="N1682" s="3" t="n"/>
      <c r="O1682" s="3" t="n"/>
      <c r="P1682" s="3" t="n"/>
      <c r="Q1682" s="3" t="n"/>
      <c r="R1682" s="5">
        <f>IF(Q1682&lt;&gt;"是","排除",IF(OR(L1682="",M1682=""),"",IF(OR(L1682="未知",M1682="未知"),"未知",IF(AND(L1682="真",M1682="真"),"TP",IF(AND(L1682="真",M1682="假"),"FP",IF(AND(L1682="假",M1682="真"),"FN","TN"))))))</f>
        <v/>
      </c>
      <c r="S1682" s="3" t="n"/>
      <c r="T1682" s="3" t="n"/>
      <c r="U1682" s="3" t="n"/>
      <c r="V1682" s="3" t="n"/>
    </row>
    <row r="1683">
      <c r="A1683" s="3" t="n"/>
      <c r="B1683" s="3" t="n"/>
      <c r="C1683" s="3" t="n"/>
      <c r="D1683" s="4" t="n"/>
      <c r="E1683" s="3" t="n"/>
      <c r="F1683" s="3" t="n"/>
      <c r="G1683" s="3" t="n"/>
      <c r="H1683" s="3" t="n"/>
      <c r="I1683" s="3" t="n"/>
      <c r="J1683" s="3" t="n"/>
      <c r="K1683" s="3" t="n"/>
      <c r="L1683" s="3" t="n"/>
      <c r="M1683" s="3" t="n"/>
      <c r="N1683" s="3" t="n"/>
      <c r="O1683" s="3" t="n"/>
      <c r="P1683" s="3" t="n"/>
      <c r="Q1683" s="3" t="n"/>
      <c r="R1683" s="5">
        <f>IF(Q1683&lt;&gt;"是","排除",IF(OR(L1683="",M1683=""),"",IF(OR(L1683="未知",M1683="未知"),"未知",IF(AND(L1683="真",M1683="真"),"TP",IF(AND(L1683="真",M1683="假"),"FP",IF(AND(L1683="假",M1683="真"),"FN","TN"))))))</f>
        <v/>
      </c>
      <c r="S1683" s="3" t="n"/>
      <c r="T1683" s="3" t="n"/>
      <c r="U1683" s="3" t="n"/>
      <c r="V1683" s="3" t="n"/>
    </row>
    <row r="1684">
      <c r="A1684" s="3" t="n"/>
      <c r="B1684" s="3" t="n"/>
      <c r="C1684" s="3" t="n"/>
      <c r="D1684" s="4" t="n"/>
      <c r="E1684" s="3" t="n"/>
      <c r="F1684" s="3" t="n"/>
      <c r="G1684" s="3" t="n"/>
      <c r="H1684" s="3" t="n"/>
      <c r="I1684" s="3" t="n"/>
      <c r="J1684" s="3" t="n"/>
      <c r="K1684" s="3" t="n"/>
      <c r="L1684" s="3" t="n"/>
      <c r="M1684" s="3" t="n"/>
      <c r="N1684" s="3" t="n"/>
      <c r="O1684" s="3" t="n"/>
      <c r="P1684" s="3" t="n"/>
      <c r="Q1684" s="3" t="n"/>
      <c r="R1684" s="5">
        <f>IF(Q1684&lt;&gt;"是","排除",IF(OR(L1684="",M1684=""),"",IF(OR(L1684="未知",M1684="未知"),"未知",IF(AND(L1684="真",M1684="真"),"TP",IF(AND(L1684="真",M1684="假"),"FP",IF(AND(L1684="假",M1684="真"),"FN","TN"))))))</f>
        <v/>
      </c>
      <c r="S1684" s="3" t="n"/>
      <c r="T1684" s="3" t="n"/>
      <c r="U1684" s="3" t="n"/>
      <c r="V1684" s="3" t="n"/>
    </row>
    <row r="1685">
      <c r="A1685" s="3" t="n"/>
      <c r="B1685" s="3" t="n"/>
      <c r="C1685" s="3" t="n"/>
      <c r="D1685" s="4" t="n"/>
      <c r="E1685" s="3" t="n"/>
      <c r="F1685" s="3" t="n"/>
      <c r="G1685" s="3" t="n"/>
      <c r="H1685" s="3" t="n"/>
      <c r="I1685" s="3" t="n"/>
      <c r="J1685" s="3" t="n"/>
      <c r="K1685" s="3" t="n"/>
      <c r="L1685" s="3" t="n"/>
      <c r="M1685" s="3" t="n"/>
      <c r="N1685" s="3" t="n"/>
      <c r="O1685" s="3" t="n"/>
      <c r="P1685" s="3" t="n"/>
      <c r="Q1685" s="3" t="n"/>
      <c r="R1685" s="5">
        <f>IF(Q1685&lt;&gt;"是","排除",IF(OR(L1685="",M1685=""),"",IF(OR(L1685="未知",M1685="未知"),"未知",IF(AND(L1685="真",M1685="真"),"TP",IF(AND(L1685="真",M1685="假"),"FP",IF(AND(L1685="假",M1685="真"),"FN","TN"))))))</f>
        <v/>
      </c>
      <c r="S1685" s="3" t="n"/>
      <c r="T1685" s="3" t="n"/>
      <c r="U1685" s="3" t="n"/>
      <c r="V1685" s="3" t="n"/>
    </row>
    <row r="1686">
      <c r="A1686" s="3" t="n"/>
      <c r="B1686" s="3" t="n"/>
      <c r="C1686" s="3" t="n"/>
      <c r="D1686" s="4" t="n"/>
      <c r="E1686" s="3" t="n"/>
      <c r="F1686" s="3" t="n"/>
      <c r="G1686" s="3" t="n"/>
      <c r="H1686" s="3" t="n"/>
      <c r="I1686" s="3" t="n"/>
      <c r="J1686" s="3" t="n"/>
      <c r="K1686" s="3" t="n"/>
      <c r="L1686" s="3" t="n"/>
      <c r="M1686" s="3" t="n"/>
      <c r="N1686" s="3" t="n"/>
      <c r="O1686" s="3" t="n"/>
      <c r="P1686" s="3" t="n"/>
      <c r="Q1686" s="3" t="n"/>
      <c r="R1686" s="5">
        <f>IF(Q1686&lt;&gt;"是","排除",IF(OR(L1686="",M1686=""),"",IF(OR(L1686="未知",M1686="未知"),"未知",IF(AND(L1686="真",M1686="真"),"TP",IF(AND(L1686="真",M1686="假"),"FP",IF(AND(L1686="假",M1686="真"),"FN","TN"))))))</f>
        <v/>
      </c>
      <c r="S1686" s="3" t="n"/>
      <c r="T1686" s="3" t="n"/>
      <c r="U1686" s="3" t="n"/>
      <c r="V1686" s="3" t="n"/>
    </row>
    <row r="1687">
      <c r="A1687" s="3" t="n"/>
      <c r="B1687" s="3" t="n"/>
      <c r="C1687" s="3" t="n"/>
      <c r="D1687" s="4" t="n"/>
      <c r="E1687" s="3" t="n"/>
      <c r="F1687" s="3" t="n"/>
      <c r="G1687" s="3" t="n"/>
      <c r="H1687" s="3" t="n"/>
      <c r="I1687" s="3" t="n"/>
      <c r="J1687" s="3" t="n"/>
      <c r="K1687" s="3" t="n"/>
      <c r="L1687" s="3" t="n"/>
      <c r="M1687" s="3" t="n"/>
      <c r="N1687" s="3" t="n"/>
      <c r="O1687" s="3" t="n"/>
      <c r="P1687" s="3" t="n"/>
      <c r="Q1687" s="3" t="n"/>
      <c r="R1687" s="5">
        <f>IF(Q1687&lt;&gt;"是","排除",IF(OR(L1687="",M1687=""),"",IF(OR(L1687="未知",M1687="未知"),"未知",IF(AND(L1687="真",M1687="真"),"TP",IF(AND(L1687="真",M1687="假"),"FP",IF(AND(L1687="假",M1687="真"),"FN","TN"))))))</f>
        <v/>
      </c>
      <c r="S1687" s="3" t="n"/>
      <c r="T1687" s="3" t="n"/>
      <c r="U1687" s="3" t="n"/>
      <c r="V1687" s="3" t="n"/>
    </row>
    <row r="1688">
      <c r="A1688" s="3" t="n"/>
      <c r="B1688" s="3" t="n"/>
      <c r="C1688" s="3" t="n"/>
      <c r="D1688" s="4" t="n"/>
      <c r="E1688" s="3" t="n"/>
      <c r="F1688" s="3" t="n"/>
      <c r="G1688" s="3" t="n"/>
      <c r="H1688" s="3" t="n"/>
      <c r="I1688" s="3" t="n"/>
      <c r="J1688" s="3" t="n"/>
      <c r="K1688" s="3" t="n"/>
      <c r="L1688" s="3" t="n"/>
      <c r="M1688" s="3" t="n"/>
      <c r="N1688" s="3" t="n"/>
      <c r="O1688" s="3" t="n"/>
      <c r="P1688" s="3" t="n"/>
      <c r="Q1688" s="3" t="n"/>
      <c r="R1688" s="5">
        <f>IF(Q1688&lt;&gt;"是","排除",IF(OR(L1688="",M1688=""),"",IF(OR(L1688="未知",M1688="未知"),"未知",IF(AND(L1688="真",M1688="真"),"TP",IF(AND(L1688="真",M1688="假"),"FP",IF(AND(L1688="假",M1688="真"),"FN","TN"))))))</f>
        <v/>
      </c>
      <c r="S1688" s="3" t="n"/>
      <c r="T1688" s="3" t="n"/>
      <c r="U1688" s="3" t="n"/>
      <c r="V1688" s="3" t="n"/>
    </row>
    <row r="1689">
      <c r="A1689" s="3" t="n"/>
      <c r="B1689" s="3" t="n"/>
      <c r="C1689" s="3" t="n"/>
      <c r="D1689" s="4" t="n"/>
      <c r="E1689" s="3" t="n"/>
      <c r="F1689" s="3" t="n"/>
      <c r="G1689" s="3" t="n"/>
      <c r="H1689" s="3" t="n"/>
      <c r="I1689" s="3" t="n"/>
      <c r="J1689" s="3" t="n"/>
      <c r="K1689" s="3" t="n"/>
      <c r="L1689" s="3" t="n"/>
      <c r="M1689" s="3" t="n"/>
      <c r="N1689" s="3" t="n"/>
      <c r="O1689" s="3" t="n"/>
      <c r="P1689" s="3" t="n"/>
      <c r="Q1689" s="3" t="n"/>
      <c r="R1689" s="5">
        <f>IF(Q1689&lt;&gt;"是","排除",IF(OR(L1689="",M1689=""),"",IF(OR(L1689="未知",M1689="未知"),"未知",IF(AND(L1689="真",M1689="真"),"TP",IF(AND(L1689="真",M1689="假"),"FP",IF(AND(L1689="假",M1689="真"),"FN","TN"))))))</f>
        <v/>
      </c>
      <c r="S1689" s="3" t="n"/>
      <c r="T1689" s="3" t="n"/>
      <c r="U1689" s="3" t="n"/>
      <c r="V1689" s="3" t="n"/>
    </row>
    <row r="1690">
      <c r="A1690" s="3" t="n"/>
      <c r="B1690" s="3" t="n"/>
      <c r="C1690" s="3" t="n"/>
      <c r="D1690" s="4" t="n"/>
      <c r="E1690" s="3" t="n"/>
      <c r="F1690" s="3" t="n"/>
      <c r="G1690" s="3" t="n"/>
      <c r="H1690" s="3" t="n"/>
      <c r="I1690" s="3" t="n"/>
      <c r="J1690" s="3" t="n"/>
      <c r="K1690" s="3" t="n"/>
      <c r="L1690" s="3" t="n"/>
      <c r="M1690" s="3" t="n"/>
      <c r="N1690" s="3" t="n"/>
      <c r="O1690" s="3" t="n"/>
      <c r="P1690" s="3" t="n"/>
      <c r="Q1690" s="3" t="n"/>
      <c r="R1690" s="5">
        <f>IF(Q1690&lt;&gt;"是","排除",IF(OR(L1690="",M1690=""),"",IF(OR(L1690="未知",M1690="未知"),"未知",IF(AND(L1690="真",M1690="真"),"TP",IF(AND(L1690="真",M1690="假"),"FP",IF(AND(L1690="假",M1690="真"),"FN","TN"))))))</f>
        <v/>
      </c>
      <c r="S1690" s="3" t="n"/>
      <c r="T1690" s="3" t="n"/>
      <c r="U1690" s="3" t="n"/>
      <c r="V1690" s="3" t="n"/>
    </row>
    <row r="1691">
      <c r="A1691" s="3" t="n"/>
      <c r="B1691" s="3" t="n"/>
      <c r="C1691" s="3" t="n"/>
      <c r="D1691" s="4" t="n"/>
      <c r="E1691" s="3" t="n"/>
      <c r="F1691" s="3" t="n"/>
      <c r="G1691" s="3" t="n"/>
      <c r="H1691" s="3" t="n"/>
      <c r="I1691" s="3" t="n"/>
      <c r="J1691" s="3" t="n"/>
      <c r="K1691" s="3" t="n"/>
      <c r="L1691" s="3" t="n"/>
      <c r="M1691" s="3" t="n"/>
      <c r="N1691" s="3" t="n"/>
      <c r="O1691" s="3" t="n"/>
      <c r="P1691" s="3" t="n"/>
      <c r="Q1691" s="3" t="n"/>
      <c r="R1691" s="5">
        <f>IF(Q1691&lt;&gt;"是","排除",IF(OR(L1691="",M1691=""),"",IF(OR(L1691="未知",M1691="未知"),"未知",IF(AND(L1691="真",M1691="真"),"TP",IF(AND(L1691="真",M1691="假"),"FP",IF(AND(L1691="假",M1691="真"),"FN","TN"))))))</f>
        <v/>
      </c>
      <c r="S1691" s="3" t="n"/>
      <c r="T1691" s="3" t="n"/>
      <c r="U1691" s="3" t="n"/>
      <c r="V1691" s="3" t="n"/>
    </row>
    <row r="1692">
      <c r="A1692" s="3" t="n"/>
      <c r="B1692" s="3" t="n"/>
      <c r="C1692" s="3" t="n"/>
      <c r="D1692" s="4" t="n"/>
      <c r="E1692" s="3" t="n"/>
      <c r="F1692" s="3" t="n"/>
      <c r="G1692" s="3" t="n"/>
      <c r="H1692" s="3" t="n"/>
      <c r="I1692" s="3" t="n"/>
      <c r="J1692" s="3" t="n"/>
      <c r="K1692" s="3" t="n"/>
      <c r="L1692" s="3" t="n"/>
      <c r="M1692" s="3" t="n"/>
      <c r="N1692" s="3" t="n"/>
      <c r="O1692" s="3" t="n"/>
      <c r="P1692" s="3" t="n"/>
      <c r="Q1692" s="3" t="n"/>
      <c r="R1692" s="5">
        <f>IF(Q1692&lt;&gt;"是","排除",IF(OR(L1692="",M1692=""),"",IF(OR(L1692="未知",M1692="未知"),"未知",IF(AND(L1692="真",M1692="真"),"TP",IF(AND(L1692="真",M1692="假"),"FP",IF(AND(L1692="假",M1692="真"),"FN","TN"))))))</f>
        <v/>
      </c>
      <c r="S1692" s="3" t="n"/>
      <c r="T1692" s="3" t="n"/>
      <c r="U1692" s="3" t="n"/>
      <c r="V1692" s="3" t="n"/>
    </row>
    <row r="1693">
      <c r="A1693" s="3" t="n"/>
      <c r="B1693" s="3" t="n"/>
      <c r="C1693" s="3" t="n"/>
      <c r="D1693" s="4" t="n"/>
      <c r="E1693" s="3" t="n"/>
      <c r="F1693" s="3" t="n"/>
      <c r="G1693" s="3" t="n"/>
      <c r="H1693" s="3" t="n"/>
      <c r="I1693" s="3" t="n"/>
      <c r="J1693" s="3" t="n"/>
      <c r="K1693" s="3" t="n"/>
      <c r="L1693" s="3" t="n"/>
      <c r="M1693" s="3" t="n"/>
      <c r="N1693" s="3" t="n"/>
      <c r="O1693" s="3" t="n"/>
      <c r="P1693" s="3" t="n"/>
      <c r="Q1693" s="3" t="n"/>
      <c r="R1693" s="5">
        <f>IF(Q1693&lt;&gt;"是","排除",IF(OR(L1693="",M1693=""),"",IF(OR(L1693="未知",M1693="未知"),"未知",IF(AND(L1693="真",M1693="真"),"TP",IF(AND(L1693="真",M1693="假"),"FP",IF(AND(L1693="假",M1693="真"),"FN","TN"))))))</f>
        <v/>
      </c>
      <c r="S1693" s="3" t="n"/>
      <c r="T1693" s="3" t="n"/>
      <c r="U1693" s="3" t="n"/>
      <c r="V1693" s="3" t="n"/>
    </row>
    <row r="1694">
      <c r="A1694" s="3" t="n"/>
      <c r="B1694" s="3" t="n"/>
      <c r="C1694" s="3" t="n"/>
      <c r="D1694" s="4" t="n"/>
      <c r="E1694" s="3" t="n"/>
      <c r="F1694" s="3" t="n"/>
      <c r="G1694" s="3" t="n"/>
      <c r="H1694" s="3" t="n"/>
      <c r="I1694" s="3" t="n"/>
      <c r="J1694" s="3" t="n"/>
      <c r="K1694" s="3" t="n"/>
      <c r="L1694" s="3" t="n"/>
      <c r="M1694" s="3" t="n"/>
      <c r="N1694" s="3" t="n"/>
      <c r="O1694" s="3" t="n"/>
      <c r="P1694" s="3" t="n"/>
      <c r="Q1694" s="3" t="n"/>
      <c r="R1694" s="5">
        <f>IF(Q1694&lt;&gt;"是","排除",IF(OR(L1694="",M1694=""),"",IF(OR(L1694="未知",M1694="未知"),"未知",IF(AND(L1694="真",M1694="真"),"TP",IF(AND(L1694="真",M1694="假"),"FP",IF(AND(L1694="假",M1694="真"),"FN","TN"))))))</f>
        <v/>
      </c>
      <c r="S1694" s="3" t="n"/>
      <c r="T1694" s="3" t="n"/>
      <c r="U1694" s="3" t="n"/>
      <c r="V1694" s="3" t="n"/>
    </row>
    <row r="1695">
      <c r="A1695" s="3" t="n"/>
      <c r="B1695" s="3" t="n"/>
      <c r="C1695" s="3" t="n"/>
      <c r="D1695" s="4" t="n"/>
      <c r="E1695" s="3" t="n"/>
      <c r="F1695" s="3" t="n"/>
      <c r="G1695" s="3" t="n"/>
      <c r="H1695" s="3" t="n"/>
      <c r="I1695" s="3" t="n"/>
      <c r="J1695" s="3" t="n"/>
      <c r="K1695" s="3" t="n"/>
      <c r="L1695" s="3" t="n"/>
      <c r="M1695" s="3" t="n"/>
      <c r="N1695" s="3" t="n"/>
      <c r="O1695" s="3" t="n"/>
      <c r="P1695" s="3" t="n"/>
      <c r="Q1695" s="3" t="n"/>
      <c r="R1695" s="5">
        <f>IF(Q1695&lt;&gt;"是","排除",IF(OR(L1695="",M1695=""),"",IF(OR(L1695="未知",M1695="未知"),"未知",IF(AND(L1695="真",M1695="真"),"TP",IF(AND(L1695="真",M1695="假"),"FP",IF(AND(L1695="假",M1695="真"),"FN","TN"))))))</f>
        <v/>
      </c>
      <c r="S1695" s="3" t="n"/>
      <c r="T1695" s="3" t="n"/>
      <c r="U1695" s="3" t="n"/>
      <c r="V1695" s="3" t="n"/>
    </row>
    <row r="1696">
      <c r="A1696" s="3" t="n"/>
      <c r="B1696" s="3" t="n"/>
      <c r="C1696" s="3" t="n"/>
      <c r="D1696" s="4" t="n"/>
      <c r="E1696" s="3" t="n"/>
      <c r="F1696" s="3" t="n"/>
      <c r="G1696" s="3" t="n"/>
      <c r="H1696" s="3" t="n"/>
      <c r="I1696" s="3" t="n"/>
      <c r="J1696" s="3" t="n"/>
      <c r="K1696" s="3" t="n"/>
      <c r="L1696" s="3" t="n"/>
      <c r="M1696" s="3" t="n"/>
      <c r="N1696" s="3" t="n"/>
      <c r="O1696" s="3" t="n"/>
      <c r="P1696" s="3" t="n"/>
      <c r="Q1696" s="3" t="n"/>
      <c r="R1696" s="5">
        <f>IF(Q1696&lt;&gt;"是","排除",IF(OR(L1696="",M1696=""),"",IF(OR(L1696="未知",M1696="未知"),"未知",IF(AND(L1696="真",M1696="真"),"TP",IF(AND(L1696="真",M1696="假"),"FP",IF(AND(L1696="假",M1696="真"),"FN","TN"))))))</f>
        <v/>
      </c>
      <c r="S1696" s="3" t="n"/>
      <c r="T1696" s="3" t="n"/>
      <c r="U1696" s="3" t="n"/>
      <c r="V1696" s="3" t="n"/>
    </row>
    <row r="1697">
      <c r="A1697" s="3" t="n"/>
      <c r="B1697" s="3" t="n"/>
      <c r="C1697" s="3" t="n"/>
      <c r="D1697" s="4" t="n"/>
      <c r="E1697" s="3" t="n"/>
      <c r="F1697" s="3" t="n"/>
      <c r="G1697" s="3" t="n"/>
      <c r="H1697" s="3" t="n"/>
      <c r="I1697" s="3" t="n"/>
      <c r="J1697" s="3" t="n"/>
      <c r="K1697" s="3" t="n"/>
      <c r="L1697" s="3" t="n"/>
      <c r="M1697" s="3" t="n"/>
      <c r="N1697" s="3" t="n"/>
      <c r="O1697" s="3" t="n"/>
      <c r="P1697" s="3" t="n"/>
      <c r="Q1697" s="3" t="n"/>
      <c r="R1697" s="5">
        <f>IF(Q1697&lt;&gt;"是","排除",IF(OR(L1697="",M1697=""),"",IF(OR(L1697="未知",M1697="未知"),"未知",IF(AND(L1697="真",M1697="真"),"TP",IF(AND(L1697="真",M1697="假"),"FP",IF(AND(L1697="假",M1697="真"),"FN","TN"))))))</f>
        <v/>
      </c>
      <c r="S1697" s="3" t="n"/>
      <c r="T1697" s="3" t="n"/>
      <c r="U1697" s="3" t="n"/>
      <c r="V1697" s="3" t="n"/>
    </row>
    <row r="1698">
      <c r="A1698" s="3" t="n"/>
      <c r="B1698" s="3" t="n"/>
      <c r="C1698" s="3" t="n"/>
      <c r="D1698" s="4" t="n"/>
      <c r="E1698" s="3" t="n"/>
      <c r="F1698" s="3" t="n"/>
      <c r="G1698" s="3" t="n"/>
      <c r="H1698" s="3" t="n"/>
      <c r="I1698" s="3" t="n"/>
      <c r="J1698" s="3" t="n"/>
      <c r="K1698" s="3" t="n"/>
      <c r="L1698" s="3" t="n"/>
      <c r="M1698" s="3" t="n"/>
      <c r="N1698" s="3" t="n"/>
      <c r="O1698" s="3" t="n"/>
      <c r="P1698" s="3" t="n"/>
      <c r="Q1698" s="3" t="n"/>
      <c r="R1698" s="5">
        <f>IF(Q1698&lt;&gt;"是","排除",IF(OR(L1698="",M1698=""),"",IF(OR(L1698="未知",M1698="未知"),"未知",IF(AND(L1698="真",M1698="真"),"TP",IF(AND(L1698="真",M1698="假"),"FP",IF(AND(L1698="假",M1698="真"),"FN","TN"))))))</f>
        <v/>
      </c>
      <c r="S1698" s="3" t="n"/>
      <c r="T1698" s="3" t="n"/>
      <c r="U1698" s="3" t="n"/>
      <c r="V1698" s="3" t="n"/>
    </row>
    <row r="1699">
      <c r="A1699" s="3" t="n"/>
      <c r="B1699" s="3" t="n"/>
      <c r="C1699" s="3" t="n"/>
      <c r="D1699" s="4" t="n"/>
      <c r="E1699" s="3" t="n"/>
      <c r="F1699" s="3" t="n"/>
      <c r="G1699" s="3" t="n"/>
      <c r="H1699" s="3" t="n"/>
      <c r="I1699" s="3" t="n"/>
      <c r="J1699" s="3" t="n"/>
      <c r="K1699" s="3" t="n"/>
      <c r="L1699" s="3" t="n"/>
      <c r="M1699" s="3" t="n"/>
      <c r="N1699" s="3" t="n"/>
      <c r="O1699" s="3" t="n"/>
      <c r="P1699" s="3" t="n"/>
      <c r="Q1699" s="3" t="n"/>
      <c r="R1699" s="5">
        <f>IF(Q1699&lt;&gt;"是","排除",IF(OR(L1699="",M1699=""),"",IF(OR(L1699="未知",M1699="未知"),"未知",IF(AND(L1699="真",M1699="真"),"TP",IF(AND(L1699="真",M1699="假"),"FP",IF(AND(L1699="假",M1699="真"),"FN","TN"))))))</f>
        <v/>
      </c>
      <c r="S1699" s="3" t="n"/>
      <c r="T1699" s="3" t="n"/>
      <c r="U1699" s="3" t="n"/>
      <c r="V1699" s="3" t="n"/>
    </row>
    <row r="1700">
      <c r="A1700" s="3" t="n"/>
      <c r="B1700" s="3" t="n"/>
      <c r="C1700" s="3" t="n"/>
      <c r="D1700" s="4" t="n"/>
      <c r="E1700" s="3" t="n"/>
      <c r="F1700" s="3" t="n"/>
      <c r="G1700" s="3" t="n"/>
      <c r="H1700" s="3" t="n"/>
      <c r="I1700" s="3" t="n"/>
      <c r="J1700" s="3" t="n"/>
      <c r="K1700" s="3" t="n"/>
      <c r="L1700" s="3" t="n"/>
      <c r="M1700" s="3" t="n"/>
      <c r="N1700" s="3" t="n"/>
      <c r="O1700" s="3" t="n"/>
      <c r="P1700" s="3" t="n"/>
      <c r="Q1700" s="3" t="n"/>
      <c r="R1700" s="5">
        <f>IF(Q1700&lt;&gt;"是","排除",IF(OR(L1700="",M1700=""),"",IF(OR(L1700="未知",M1700="未知"),"未知",IF(AND(L1700="真",M1700="真"),"TP",IF(AND(L1700="真",M1700="假"),"FP",IF(AND(L1700="假",M1700="真"),"FN","TN"))))))</f>
        <v/>
      </c>
      <c r="S1700" s="3" t="n"/>
      <c r="T1700" s="3" t="n"/>
      <c r="U1700" s="3" t="n"/>
      <c r="V1700" s="3" t="n"/>
    </row>
    <row r="1701">
      <c r="A1701" s="3" t="n"/>
      <c r="B1701" s="3" t="n"/>
      <c r="C1701" s="3" t="n"/>
      <c r="D1701" s="4" t="n"/>
      <c r="E1701" s="3" t="n"/>
      <c r="F1701" s="3" t="n"/>
      <c r="G1701" s="3" t="n"/>
      <c r="H1701" s="3" t="n"/>
      <c r="I1701" s="3" t="n"/>
      <c r="J1701" s="3" t="n"/>
      <c r="K1701" s="3" t="n"/>
      <c r="L1701" s="3" t="n"/>
      <c r="M1701" s="3" t="n"/>
      <c r="N1701" s="3" t="n"/>
      <c r="O1701" s="3" t="n"/>
      <c r="P1701" s="3" t="n"/>
      <c r="Q1701" s="3" t="n"/>
      <c r="R1701" s="5">
        <f>IF(Q1701&lt;&gt;"是","排除",IF(OR(L1701="",M1701=""),"",IF(OR(L1701="未知",M1701="未知"),"未知",IF(AND(L1701="真",M1701="真"),"TP",IF(AND(L1701="真",M1701="假"),"FP",IF(AND(L1701="假",M1701="真"),"FN","TN"))))))</f>
        <v/>
      </c>
      <c r="S1701" s="3" t="n"/>
      <c r="T1701" s="3" t="n"/>
      <c r="U1701" s="3" t="n"/>
      <c r="V1701" s="3" t="n"/>
    </row>
    <row r="1702">
      <c r="A1702" s="3" t="n"/>
      <c r="B1702" s="3" t="n"/>
      <c r="C1702" s="3" t="n"/>
      <c r="D1702" s="4" t="n"/>
      <c r="E1702" s="3" t="n"/>
      <c r="F1702" s="3" t="n"/>
      <c r="G1702" s="3" t="n"/>
      <c r="H1702" s="3" t="n"/>
      <c r="I1702" s="3" t="n"/>
      <c r="J1702" s="3" t="n"/>
      <c r="K1702" s="3" t="n"/>
      <c r="L1702" s="3" t="n"/>
      <c r="M1702" s="3" t="n"/>
      <c r="N1702" s="3" t="n"/>
      <c r="O1702" s="3" t="n"/>
      <c r="P1702" s="3" t="n"/>
      <c r="Q1702" s="3" t="n"/>
      <c r="R1702" s="5">
        <f>IF(Q1702&lt;&gt;"是","排除",IF(OR(L1702="",M1702=""),"",IF(OR(L1702="未知",M1702="未知"),"未知",IF(AND(L1702="真",M1702="真"),"TP",IF(AND(L1702="真",M1702="假"),"FP",IF(AND(L1702="假",M1702="真"),"FN","TN"))))))</f>
        <v/>
      </c>
      <c r="S1702" s="3" t="n"/>
      <c r="T1702" s="3" t="n"/>
      <c r="U1702" s="3" t="n"/>
      <c r="V1702" s="3" t="n"/>
    </row>
    <row r="1703">
      <c r="A1703" s="3" t="n"/>
      <c r="B1703" s="3" t="n"/>
      <c r="C1703" s="3" t="n"/>
      <c r="D1703" s="4" t="n"/>
      <c r="E1703" s="3" t="n"/>
      <c r="F1703" s="3" t="n"/>
      <c r="G1703" s="3" t="n"/>
      <c r="H1703" s="3" t="n"/>
      <c r="I1703" s="3" t="n"/>
      <c r="J1703" s="3" t="n"/>
      <c r="K1703" s="3" t="n"/>
      <c r="L1703" s="3" t="n"/>
      <c r="M1703" s="3" t="n"/>
      <c r="N1703" s="3" t="n"/>
      <c r="O1703" s="3" t="n"/>
      <c r="P1703" s="3" t="n"/>
      <c r="Q1703" s="3" t="n"/>
      <c r="R1703" s="5">
        <f>IF(Q1703&lt;&gt;"是","排除",IF(OR(L1703="",M1703=""),"",IF(OR(L1703="未知",M1703="未知"),"未知",IF(AND(L1703="真",M1703="真"),"TP",IF(AND(L1703="真",M1703="假"),"FP",IF(AND(L1703="假",M1703="真"),"FN","TN"))))))</f>
        <v/>
      </c>
      <c r="S1703" s="3" t="n"/>
      <c r="T1703" s="3" t="n"/>
      <c r="U1703" s="3" t="n"/>
      <c r="V1703" s="3" t="n"/>
    </row>
    <row r="1704">
      <c r="A1704" s="3" t="n"/>
      <c r="B1704" s="3" t="n"/>
      <c r="C1704" s="3" t="n"/>
      <c r="D1704" s="4" t="n"/>
      <c r="E1704" s="3" t="n"/>
      <c r="F1704" s="3" t="n"/>
      <c r="G1704" s="3" t="n"/>
      <c r="H1704" s="3" t="n"/>
      <c r="I1704" s="3" t="n"/>
      <c r="J1704" s="3" t="n"/>
      <c r="K1704" s="3" t="n"/>
      <c r="L1704" s="3" t="n"/>
      <c r="M1704" s="3" t="n"/>
      <c r="N1704" s="3" t="n"/>
      <c r="O1704" s="3" t="n"/>
      <c r="P1704" s="3" t="n"/>
      <c r="Q1704" s="3" t="n"/>
      <c r="R1704" s="5">
        <f>IF(Q1704&lt;&gt;"是","排除",IF(OR(L1704="",M1704=""),"",IF(OR(L1704="未知",M1704="未知"),"未知",IF(AND(L1704="真",M1704="真"),"TP",IF(AND(L1704="真",M1704="假"),"FP",IF(AND(L1704="假",M1704="真"),"FN","TN"))))))</f>
        <v/>
      </c>
      <c r="S1704" s="3" t="n"/>
      <c r="T1704" s="3" t="n"/>
      <c r="U1704" s="3" t="n"/>
      <c r="V1704" s="3" t="n"/>
    </row>
    <row r="1705">
      <c r="A1705" s="3" t="n"/>
      <c r="B1705" s="3" t="n"/>
      <c r="C1705" s="3" t="n"/>
      <c r="D1705" s="4" t="n"/>
      <c r="E1705" s="3" t="n"/>
      <c r="F1705" s="3" t="n"/>
      <c r="G1705" s="3" t="n"/>
      <c r="H1705" s="3" t="n"/>
      <c r="I1705" s="3" t="n"/>
      <c r="J1705" s="3" t="n"/>
      <c r="K1705" s="3" t="n"/>
      <c r="L1705" s="3" t="n"/>
      <c r="M1705" s="3" t="n"/>
      <c r="N1705" s="3" t="n"/>
      <c r="O1705" s="3" t="n"/>
      <c r="P1705" s="3" t="n"/>
      <c r="Q1705" s="3" t="n"/>
      <c r="R1705" s="5">
        <f>IF(Q1705&lt;&gt;"是","排除",IF(OR(L1705="",M1705=""),"",IF(OR(L1705="未知",M1705="未知"),"未知",IF(AND(L1705="真",M1705="真"),"TP",IF(AND(L1705="真",M1705="假"),"FP",IF(AND(L1705="假",M1705="真"),"FN","TN"))))))</f>
        <v/>
      </c>
      <c r="S1705" s="3" t="n"/>
      <c r="T1705" s="3" t="n"/>
      <c r="U1705" s="3" t="n"/>
      <c r="V1705" s="3" t="n"/>
    </row>
    <row r="1706">
      <c r="A1706" s="3" t="n"/>
      <c r="B1706" s="3" t="n"/>
      <c r="C1706" s="3" t="n"/>
      <c r="D1706" s="4" t="n"/>
      <c r="E1706" s="3" t="n"/>
      <c r="F1706" s="3" t="n"/>
      <c r="G1706" s="3" t="n"/>
      <c r="H1706" s="3" t="n"/>
      <c r="I1706" s="3" t="n"/>
      <c r="J1706" s="3" t="n"/>
      <c r="K1706" s="3" t="n"/>
      <c r="L1706" s="3" t="n"/>
      <c r="M1706" s="3" t="n"/>
      <c r="N1706" s="3" t="n"/>
      <c r="O1706" s="3" t="n"/>
      <c r="P1706" s="3" t="n"/>
      <c r="Q1706" s="3" t="n"/>
      <c r="R1706" s="5">
        <f>IF(Q1706&lt;&gt;"是","排除",IF(OR(L1706="",M1706=""),"",IF(OR(L1706="未知",M1706="未知"),"未知",IF(AND(L1706="真",M1706="真"),"TP",IF(AND(L1706="真",M1706="假"),"FP",IF(AND(L1706="假",M1706="真"),"FN","TN"))))))</f>
        <v/>
      </c>
      <c r="S1706" s="3" t="n"/>
      <c r="T1706" s="3" t="n"/>
      <c r="U1706" s="3" t="n"/>
      <c r="V1706" s="3" t="n"/>
    </row>
    <row r="1707">
      <c r="A1707" s="3" t="n"/>
      <c r="B1707" s="3" t="n"/>
      <c r="C1707" s="3" t="n"/>
      <c r="D1707" s="4" t="n"/>
      <c r="E1707" s="3" t="n"/>
      <c r="F1707" s="3" t="n"/>
      <c r="G1707" s="3" t="n"/>
      <c r="H1707" s="3" t="n"/>
      <c r="I1707" s="3" t="n"/>
      <c r="J1707" s="3" t="n"/>
      <c r="K1707" s="3" t="n"/>
      <c r="L1707" s="3" t="n"/>
      <c r="M1707" s="3" t="n"/>
      <c r="N1707" s="3" t="n"/>
      <c r="O1707" s="3" t="n"/>
      <c r="P1707" s="3" t="n"/>
      <c r="Q1707" s="3" t="n"/>
      <c r="R1707" s="5">
        <f>IF(Q1707&lt;&gt;"是","排除",IF(OR(L1707="",M1707=""),"",IF(OR(L1707="未知",M1707="未知"),"未知",IF(AND(L1707="真",M1707="真"),"TP",IF(AND(L1707="真",M1707="假"),"FP",IF(AND(L1707="假",M1707="真"),"FN","TN"))))))</f>
        <v/>
      </c>
      <c r="S1707" s="3" t="n"/>
      <c r="T1707" s="3" t="n"/>
      <c r="U1707" s="3" t="n"/>
      <c r="V1707" s="3" t="n"/>
    </row>
    <row r="1708">
      <c r="A1708" s="3" t="n"/>
      <c r="B1708" s="3" t="n"/>
      <c r="C1708" s="3" t="n"/>
      <c r="D1708" s="4" t="n"/>
      <c r="E1708" s="3" t="n"/>
      <c r="F1708" s="3" t="n"/>
      <c r="G1708" s="3" t="n"/>
      <c r="H1708" s="3" t="n"/>
      <c r="I1708" s="3" t="n"/>
      <c r="J1708" s="3" t="n"/>
      <c r="K1708" s="3" t="n"/>
      <c r="L1708" s="3" t="n"/>
      <c r="M1708" s="3" t="n"/>
      <c r="N1708" s="3" t="n"/>
      <c r="O1708" s="3" t="n"/>
      <c r="P1708" s="3" t="n"/>
      <c r="Q1708" s="3" t="n"/>
      <c r="R1708" s="5">
        <f>IF(Q1708&lt;&gt;"是","排除",IF(OR(L1708="",M1708=""),"",IF(OR(L1708="未知",M1708="未知"),"未知",IF(AND(L1708="真",M1708="真"),"TP",IF(AND(L1708="真",M1708="假"),"FP",IF(AND(L1708="假",M1708="真"),"FN","TN"))))))</f>
        <v/>
      </c>
      <c r="S1708" s="3" t="n"/>
      <c r="T1708" s="3" t="n"/>
      <c r="U1708" s="3" t="n"/>
      <c r="V1708" s="3" t="n"/>
    </row>
    <row r="1709">
      <c r="A1709" s="3" t="n"/>
      <c r="B1709" s="3" t="n"/>
      <c r="C1709" s="3" t="n"/>
      <c r="D1709" s="4" t="n"/>
      <c r="E1709" s="3" t="n"/>
      <c r="F1709" s="3" t="n"/>
      <c r="G1709" s="3" t="n"/>
      <c r="H1709" s="3" t="n"/>
      <c r="I1709" s="3" t="n"/>
      <c r="J1709" s="3" t="n"/>
      <c r="K1709" s="3" t="n"/>
      <c r="L1709" s="3" t="n"/>
      <c r="M1709" s="3" t="n"/>
      <c r="N1709" s="3" t="n"/>
      <c r="O1709" s="3" t="n"/>
      <c r="P1709" s="3" t="n"/>
      <c r="Q1709" s="3" t="n"/>
      <c r="R1709" s="5">
        <f>IF(Q1709&lt;&gt;"是","排除",IF(OR(L1709="",M1709=""),"",IF(OR(L1709="未知",M1709="未知"),"未知",IF(AND(L1709="真",M1709="真"),"TP",IF(AND(L1709="真",M1709="假"),"FP",IF(AND(L1709="假",M1709="真"),"FN","TN"))))))</f>
        <v/>
      </c>
      <c r="S1709" s="3" t="n"/>
      <c r="T1709" s="3" t="n"/>
      <c r="U1709" s="3" t="n"/>
      <c r="V1709" s="3" t="n"/>
    </row>
    <row r="1710">
      <c r="A1710" s="3" t="n"/>
      <c r="B1710" s="3" t="n"/>
      <c r="C1710" s="3" t="n"/>
      <c r="D1710" s="4" t="n"/>
      <c r="E1710" s="3" t="n"/>
      <c r="F1710" s="3" t="n"/>
      <c r="G1710" s="3" t="n"/>
      <c r="H1710" s="3" t="n"/>
      <c r="I1710" s="3" t="n"/>
      <c r="J1710" s="3" t="n"/>
      <c r="K1710" s="3" t="n"/>
      <c r="L1710" s="3" t="n"/>
      <c r="M1710" s="3" t="n"/>
      <c r="N1710" s="3" t="n"/>
      <c r="O1710" s="3" t="n"/>
      <c r="P1710" s="3" t="n"/>
      <c r="Q1710" s="3" t="n"/>
      <c r="R1710" s="5">
        <f>IF(Q1710&lt;&gt;"是","排除",IF(OR(L1710="",M1710=""),"",IF(OR(L1710="未知",M1710="未知"),"未知",IF(AND(L1710="真",M1710="真"),"TP",IF(AND(L1710="真",M1710="假"),"FP",IF(AND(L1710="假",M1710="真"),"FN","TN"))))))</f>
        <v/>
      </c>
      <c r="S1710" s="3" t="n"/>
      <c r="T1710" s="3" t="n"/>
      <c r="U1710" s="3" t="n"/>
      <c r="V1710" s="3" t="n"/>
    </row>
    <row r="1711">
      <c r="A1711" s="3" t="n"/>
      <c r="B1711" s="3" t="n"/>
      <c r="C1711" s="3" t="n"/>
      <c r="D1711" s="4" t="n"/>
      <c r="E1711" s="3" t="n"/>
      <c r="F1711" s="3" t="n"/>
      <c r="G1711" s="3" t="n"/>
      <c r="H1711" s="3" t="n"/>
      <c r="I1711" s="3" t="n"/>
      <c r="J1711" s="3" t="n"/>
      <c r="K1711" s="3" t="n"/>
      <c r="L1711" s="3" t="n"/>
      <c r="M1711" s="3" t="n"/>
      <c r="N1711" s="3" t="n"/>
      <c r="O1711" s="3" t="n"/>
      <c r="P1711" s="3" t="n"/>
      <c r="Q1711" s="3" t="n"/>
      <c r="R1711" s="5">
        <f>IF(Q1711&lt;&gt;"是","排除",IF(OR(L1711="",M1711=""),"",IF(OR(L1711="未知",M1711="未知"),"未知",IF(AND(L1711="真",M1711="真"),"TP",IF(AND(L1711="真",M1711="假"),"FP",IF(AND(L1711="假",M1711="真"),"FN","TN"))))))</f>
        <v/>
      </c>
      <c r="S1711" s="3" t="n"/>
      <c r="T1711" s="3" t="n"/>
      <c r="U1711" s="3" t="n"/>
      <c r="V1711" s="3" t="n"/>
    </row>
    <row r="1712">
      <c r="A1712" s="3" t="n"/>
      <c r="B1712" s="3" t="n"/>
      <c r="C1712" s="3" t="n"/>
      <c r="D1712" s="4" t="n"/>
      <c r="E1712" s="3" t="n"/>
      <c r="F1712" s="3" t="n"/>
      <c r="G1712" s="3" t="n"/>
      <c r="H1712" s="3" t="n"/>
      <c r="I1712" s="3" t="n"/>
      <c r="J1712" s="3" t="n"/>
      <c r="K1712" s="3" t="n"/>
      <c r="L1712" s="3" t="n"/>
      <c r="M1712" s="3" t="n"/>
      <c r="N1712" s="3" t="n"/>
      <c r="O1712" s="3" t="n"/>
      <c r="P1712" s="3" t="n"/>
      <c r="Q1712" s="3" t="n"/>
      <c r="R1712" s="5">
        <f>IF(Q1712&lt;&gt;"是","排除",IF(OR(L1712="",M1712=""),"",IF(OR(L1712="未知",M1712="未知"),"未知",IF(AND(L1712="真",M1712="真"),"TP",IF(AND(L1712="真",M1712="假"),"FP",IF(AND(L1712="假",M1712="真"),"FN","TN"))))))</f>
        <v/>
      </c>
      <c r="S1712" s="3" t="n"/>
      <c r="T1712" s="3" t="n"/>
      <c r="U1712" s="3" t="n"/>
      <c r="V1712" s="3" t="n"/>
    </row>
    <row r="1713">
      <c r="A1713" s="3" t="n"/>
      <c r="B1713" s="3" t="n"/>
      <c r="C1713" s="3" t="n"/>
      <c r="D1713" s="4" t="n"/>
      <c r="E1713" s="3" t="n"/>
      <c r="F1713" s="3" t="n"/>
      <c r="G1713" s="3" t="n"/>
      <c r="H1713" s="3" t="n"/>
      <c r="I1713" s="3" t="n"/>
      <c r="J1713" s="3" t="n"/>
      <c r="K1713" s="3" t="n"/>
      <c r="L1713" s="3" t="n"/>
      <c r="M1713" s="3" t="n"/>
      <c r="N1713" s="3" t="n"/>
      <c r="O1713" s="3" t="n"/>
      <c r="P1713" s="3" t="n"/>
      <c r="Q1713" s="3" t="n"/>
      <c r="R1713" s="5">
        <f>IF(Q1713&lt;&gt;"是","排除",IF(OR(L1713="",M1713=""),"",IF(OR(L1713="未知",M1713="未知"),"未知",IF(AND(L1713="真",M1713="真"),"TP",IF(AND(L1713="真",M1713="假"),"FP",IF(AND(L1713="假",M1713="真"),"FN","TN"))))))</f>
        <v/>
      </c>
      <c r="S1713" s="3" t="n"/>
      <c r="T1713" s="3" t="n"/>
      <c r="U1713" s="3" t="n"/>
      <c r="V1713" s="3" t="n"/>
    </row>
    <row r="1714">
      <c r="A1714" s="3" t="n"/>
      <c r="B1714" s="3" t="n"/>
      <c r="C1714" s="3" t="n"/>
      <c r="D1714" s="4" t="n"/>
      <c r="E1714" s="3" t="n"/>
      <c r="F1714" s="3" t="n"/>
      <c r="G1714" s="3" t="n"/>
      <c r="H1714" s="3" t="n"/>
      <c r="I1714" s="3" t="n"/>
      <c r="J1714" s="3" t="n"/>
      <c r="K1714" s="3" t="n"/>
      <c r="L1714" s="3" t="n"/>
      <c r="M1714" s="3" t="n"/>
      <c r="N1714" s="3" t="n"/>
      <c r="O1714" s="3" t="n"/>
      <c r="P1714" s="3" t="n"/>
      <c r="Q1714" s="3" t="n"/>
      <c r="R1714" s="5">
        <f>IF(Q1714&lt;&gt;"是","排除",IF(OR(L1714="",M1714=""),"",IF(OR(L1714="未知",M1714="未知"),"未知",IF(AND(L1714="真",M1714="真"),"TP",IF(AND(L1714="真",M1714="假"),"FP",IF(AND(L1714="假",M1714="真"),"FN","TN"))))))</f>
        <v/>
      </c>
      <c r="S1714" s="3" t="n"/>
      <c r="T1714" s="3" t="n"/>
      <c r="U1714" s="3" t="n"/>
      <c r="V1714" s="3" t="n"/>
    </row>
    <row r="1715">
      <c r="A1715" s="3" t="n"/>
      <c r="B1715" s="3" t="n"/>
      <c r="C1715" s="3" t="n"/>
      <c r="D1715" s="4" t="n"/>
      <c r="E1715" s="3" t="n"/>
      <c r="F1715" s="3" t="n"/>
      <c r="G1715" s="3" t="n"/>
      <c r="H1715" s="3" t="n"/>
      <c r="I1715" s="3" t="n"/>
      <c r="J1715" s="3" t="n"/>
      <c r="K1715" s="3" t="n"/>
      <c r="L1715" s="3" t="n"/>
      <c r="M1715" s="3" t="n"/>
      <c r="N1715" s="3" t="n"/>
      <c r="O1715" s="3" t="n"/>
      <c r="P1715" s="3" t="n"/>
      <c r="Q1715" s="3" t="n"/>
      <c r="R1715" s="5">
        <f>IF(Q1715&lt;&gt;"是","排除",IF(OR(L1715="",M1715=""),"",IF(OR(L1715="未知",M1715="未知"),"未知",IF(AND(L1715="真",M1715="真"),"TP",IF(AND(L1715="真",M1715="假"),"FP",IF(AND(L1715="假",M1715="真"),"FN","TN"))))))</f>
        <v/>
      </c>
      <c r="S1715" s="3" t="n"/>
      <c r="T1715" s="3" t="n"/>
      <c r="U1715" s="3" t="n"/>
      <c r="V1715" s="3" t="n"/>
    </row>
    <row r="1716">
      <c r="A1716" s="3" t="n"/>
      <c r="B1716" s="3" t="n"/>
      <c r="C1716" s="3" t="n"/>
      <c r="D1716" s="4" t="n"/>
      <c r="E1716" s="3" t="n"/>
      <c r="F1716" s="3" t="n"/>
      <c r="G1716" s="3" t="n"/>
      <c r="H1716" s="3" t="n"/>
      <c r="I1716" s="3" t="n"/>
      <c r="J1716" s="3" t="n"/>
      <c r="K1716" s="3" t="n"/>
      <c r="L1716" s="3" t="n"/>
      <c r="M1716" s="3" t="n"/>
      <c r="N1716" s="3" t="n"/>
      <c r="O1716" s="3" t="n"/>
      <c r="P1716" s="3" t="n"/>
      <c r="Q1716" s="3" t="n"/>
      <c r="R1716" s="5">
        <f>IF(Q1716&lt;&gt;"是","排除",IF(OR(L1716="",M1716=""),"",IF(OR(L1716="未知",M1716="未知"),"未知",IF(AND(L1716="真",M1716="真"),"TP",IF(AND(L1716="真",M1716="假"),"FP",IF(AND(L1716="假",M1716="真"),"FN","TN"))))))</f>
        <v/>
      </c>
      <c r="S1716" s="3" t="n"/>
      <c r="T1716" s="3" t="n"/>
      <c r="U1716" s="3" t="n"/>
      <c r="V1716" s="3" t="n"/>
    </row>
    <row r="1717">
      <c r="A1717" s="3" t="n"/>
      <c r="B1717" s="3" t="n"/>
      <c r="C1717" s="3" t="n"/>
      <c r="D1717" s="4" t="n"/>
      <c r="E1717" s="3" t="n"/>
      <c r="F1717" s="3" t="n"/>
      <c r="G1717" s="3" t="n"/>
      <c r="H1717" s="3" t="n"/>
      <c r="I1717" s="3" t="n"/>
      <c r="J1717" s="3" t="n"/>
      <c r="K1717" s="3" t="n"/>
      <c r="L1717" s="3" t="n"/>
      <c r="M1717" s="3" t="n"/>
      <c r="N1717" s="3" t="n"/>
      <c r="O1717" s="3" t="n"/>
      <c r="P1717" s="3" t="n"/>
      <c r="Q1717" s="3" t="n"/>
      <c r="R1717" s="5">
        <f>IF(Q1717&lt;&gt;"是","排除",IF(OR(L1717="",M1717=""),"",IF(OR(L1717="未知",M1717="未知"),"未知",IF(AND(L1717="真",M1717="真"),"TP",IF(AND(L1717="真",M1717="假"),"FP",IF(AND(L1717="假",M1717="真"),"FN","TN"))))))</f>
        <v/>
      </c>
      <c r="S1717" s="3" t="n"/>
      <c r="T1717" s="3" t="n"/>
      <c r="U1717" s="3" t="n"/>
      <c r="V1717" s="3" t="n"/>
    </row>
    <row r="1718">
      <c r="A1718" s="3" t="n"/>
      <c r="B1718" s="3" t="n"/>
      <c r="C1718" s="3" t="n"/>
      <c r="D1718" s="4" t="n"/>
      <c r="E1718" s="3" t="n"/>
      <c r="F1718" s="3" t="n"/>
      <c r="G1718" s="3" t="n"/>
      <c r="H1718" s="3" t="n"/>
      <c r="I1718" s="3" t="n"/>
      <c r="J1718" s="3" t="n"/>
      <c r="K1718" s="3" t="n"/>
      <c r="L1718" s="3" t="n"/>
      <c r="M1718" s="3" t="n"/>
      <c r="N1718" s="3" t="n"/>
      <c r="O1718" s="3" t="n"/>
      <c r="P1718" s="3" t="n"/>
      <c r="Q1718" s="3" t="n"/>
      <c r="R1718" s="5">
        <f>IF(Q1718&lt;&gt;"是","排除",IF(OR(L1718="",M1718=""),"",IF(OR(L1718="未知",M1718="未知"),"未知",IF(AND(L1718="真",M1718="真"),"TP",IF(AND(L1718="真",M1718="假"),"FP",IF(AND(L1718="假",M1718="真"),"FN","TN"))))))</f>
        <v/>
      </c>
      <c r="S1718" s="3" t="n"/>
      <c r="T1718" s="3" t="n"/>
      <c r="U1718" s="3" t="n"/>
      <c r="V1718" s="3" t="n"/>
    </row>
    <row r="1719">
      <c r="A1719" s="3" t="n"/>
      <c r="B1719" s="3" t="n"/>
      <c r="C1719" s="3" t="n"/>
      <c r="D1719" s="4" t="n"/>
      <c r="E1719" s="3" t="n"/>
      <c r="F1719" s="3" t="n"/>
      <c r="G1719" s="3" t="n"/>
      <c r="H1719" s="3" t="n"/>
      <c r="I1719" s="3" t="n"/>
      <c r="J1719" s="3" t="n"/>
      <c r="K1719" s="3" t="n"/>
      <c r="L1719" s="3" t="n"/>
      <c r="M1719" s="3" t="n"/>
      <c r="N1719" s="3" t="n"/>
      <c r="O1719" s="3" t="n"/>
      <c r="P1719" s="3" t="n"/>
      <c r="Q1719" s="3" t="n"/>
      <c r="R1719" s="5">
        <f>IF(Q1719&lt;&gt;"是","排除",IF(OR(L1719="",M1719=""),"",IF(OR(L1719="未知",M1719="未知"),"未知",IF(AND(L1719="真",M1719="真"),"TP",IF(AND(L1719="真",M1719="假"),"FP",IF(AND(L1719="假",M1719="真"),"FN","TN"))))))</f>
        <v/>
      </c>
      <c r="S1719" s="3" t="n"/>
      <c r="T1719" s="3" t="n"/>
      <c r="U1719" s="3" t="n"/>
      <c r="V1719" s="3" t="n"/>
    </row>
    <row r="1720">
      <c r="A1720" s="3" t="n"/>
      <c r="B1720" s="3" t="n"/>
      <c r="C1720" s="3" t="n"/>
      <c r="D1720" s="4" t="n"/>
      <c r="E1720" s="3" t="n"/>
      <c r="F1720" s="3" t="n"/>
      <c r="G1720" s="3" t="n"/>
      <c r="H1720" s="3" t="n"/>
      <c r="I1720" s="3" t="n"/>
      <c r="J1720" s="3" t="n"/>
      <c r="K1720" s="3" t="n"/>
      <c r="L1720" s="3" t="n"/>
      <c r="M1720" s="3" t="n"/>
      <c r="N1720" s="3" t="n"/>
      <c r="O1720" s="3" t="n"/>
      <c r="P1720" s="3" t="n"/>
      <c r="Q1720" s="3" t="n"/>
      <c r="R1720" s="5">
        <f>IF(Q1720&lt;&gt;"是","排除",IF(OR(L1720="",M1720=""),"",IF(OR(L1720="未知",M1720="未知"),"未知",IF(AND(L1720="真",M1720="真"),"TP",IF(AND(L1720="真",M1720="假"),"FP",IF(AND(L1720="假",M1720="真"),"FN","TN"))))))</f>
        <v/>
      </c>
      <c r="S1720" s="3" t="n"/>
      <c r="T1720" s="3" t="n"/>
      <c r="U1720" s="3" t="n"/>
      <c r="V1720" s="3" t="n"/>
    </row>
    <row r="1721">
      <c r="A1721" s="3" t="n"/>
      <c r="B1721" s="3" t="n"/>
      <c r="C1721" s="3" t="n"/>
      <c r="D1721" s="4" t="n"/>
      <c r="E1721" s="3" t="n"/>
      <c r="F1721" s="3" t="n"/>
      <c r="G1721" s="3" t="n"/>
      <c r="H1721" s="3" t="n"/>
      <c r="I1721" s="3" t="n"/>
      <c r="J1721" s="3" t="n"/>
      <c r="K1721" s="3" t="n"/>
      <c r="L1721" s="3" t="n"/>
      <c r="M1721" s="3" t="n"/>
      <c r="N1721" s="3" t="n"/>
      <c r="O1721" s="3" t="n"/>
      <c r="P1721" s="3" t="n"/>
      <c r="Q1721" s="3" t="n"/>
      <c r="R1721" s="5">
        <f>IF(Q1721&lt;&gt;"是","排除",IF(OR(L1721="",M1721=""),"",IF(OR(L1721="未知",M1721="未知"),"未知",IF(AND(L1721="真",M1721="真"),"TP",IF(AND(L1721="真",M1721="假"),"FP",IF(AND(L1721="假",M1721="真"),"FN","TN"))))))</f>
        <v/>
      </c>
      <c r="S1721" s="3" t="n"/>
      <c r="T1721" s="3" t="n"/>
      <c r="U1721" s="3" t="n"/>
      <c r="V1721" s="3" t="n"/>
    </row>
    <row r="1722">
      <c r="A1722" s="3" t="n"/>
      <c r="B1722" s="3" t="n"/>
      <c r="C1722" s="3" t="n"/>
      <c r="D1722" s="4" t="n"/>
      <c r="E1722" s="3" t="n"/>
      <c r="F1722" s="3" t="n"/>
      <c r="G1722" s="3" t="n"/>
      <c r="H1722" s="3" t="n"/>
      <c r="I1722" s="3" t="n"/>
      <c r="J1722" s="3" t="n"/>
      <c r="K1722" s="3" t="n"/>
      <c r="L1722" s="3" t="n"/>
      <c r="M1722" s="3" t="n"/>
      <c r="N1722" s="3" t="n"/>
      <c r="O1722" s="3" t="n"/>
      <c r="P1722" s="3" t="n"/>
      <c r="Q1722" s="3" t="n"/>
      <c r="R1722" s="5">
        <f>IF(Q1722&lt;&gt;"是","排除",IF(OR(L1722="",M1722=""),"",IF(OR(L1722="未知",M1722="未知"),"未知",IF(AND(L1722="真",M1722="真"),"TP",IF(AND(L1722="真",M1722="假"),"FP",IF(AND(L1722="假",M1722="真"),"FN","TN"))))))</f>
        <v/>
      </c>
      <c r="S1722" s="3" t="n"/>
      <c r="T1722" s="3" t="n"/>
      <c r="U1722" s="3" t="n"/>
      <c r="V1722" s="3" t="n"/>
    </row>
    <row r="1723">
      <c r="A1723" s="3" t="n"/>
      <c r="B1723" s="3" t="n"/>
      <c r="C1723" s="3" t="n"/>
      <c r="D1723" s="4" t="n"/>
      <c r="E1723" s="3" t="n"/>
      <c r="F1723" s="3" t="n"/>
      <c r="G1723" s="3" t="n"/>
      <c r="H1723" s="3" t="n"/>
      <c r="I1723" s="3" t="n"/>
      <c r="J1723" s="3" t="n"/>
      <c r="K1723" s="3" t="n"/>
      <c r="L1723" s="3" t="n"/>
      <c r="M1723" s="3" t="n"/>
      <c r="N1723" s="3" t="n"/>
      <c r="O1723" s="3" t="n"/>
      <c r="P1723" s="3" t="n"/>
      <c r="Q1723" s="3" t="n"/>
      <c r="R1723" s="5">
        <f>IF(Q1723&lt;&gt;"是","排除",IF(OR(L1723="",M1723=""),"",IF(OR(L1723="未知",M1723="未知"),"未知",IF(AND(L1723="真",M1723="真"),"TP",IF(AND(L1723="真",M1723="假"),"FP",IF(AND(L1723="假",M1723="真"),"FN","TN"))))))</f>
        <v/>
      </c>
      <c r="S1723" s="3" t="n"/>
      <c r="T1723" s="3" t="n"/>
      <c r="U1723" s="3" t="n"/>
      <c r="V1723" s="3" t="n"/>
    </row>
    <row r="1724">
      <c r="A1724" s="3" t="n"/>
      <c r="B1724" s="3" t="n"/>
      <c r="C1724" s="3" t="n"/>
      <c r="D1724" s="4" t="n"/>
      <c r="E1724" s="3" t="n"/>
      <c r="F1724" s="3" t="n"/>
      <c r="G1724" s="3" t="n"/>
      <c r="H1724" s="3" t="n"/>
      <c r="I1724" s="3" t="n"/>
      <c r="J1724" s="3" t="n"/>
      <c r="K1724" s="3" t="n"/>
      <c r="L1724" s="3" t="n"/>
      <c r="M1724" s="3" t="n"/>
      <c r="N1724" s="3" t="n"/>
      <c r="O1724" s="3" t="n"/>
      <c r="P1724" s="3" t="n"/>
      <c r="Q1724" s="3" t="n"/>
      <c r="R1724" s="5">
        <f>IF(Q1724&lt;&gt;"是","排除",IF(OR(L1724="",M1724=""),"",IF(OR(L1724="未知",M1724="未知"),"未知",IF(AND(L1724="真",M1724="真"),"TP",IF(AND(L1724="真",M1724="假"),"FP",IF(AND(L1724="假",M1724="真"),"FN","TN"))))))</f>
        <v/>
      </c>
      <c r="S1724" s="3" t="n"/>
      <c r="T1724" s="3" t="n"/>
      <c r="U1724" s="3" t="n"/>
      <c r="V1724" s="3" t="n"/>
    </row>
    <row r="1725">
      <c r="A1725" s="3" t="n"/>
      <c r="B1725" s="3" t="n"/>
      <c r="C1725" s="3" t="n"/>
      <c r="D1725" s="4" t="n"/>
      <c r="E1725" s="3" t="n"/>
      <c r="F1725" s="3" t="n"/>
      <c r="G1725" s="3" t="n"/>
      <c r="H1725" s="3" t="n"/>
      <c r="I1725" s="3" t="n"/>
      <c r="J1725" s="3" t="n"/>
      <c r="K1725" s="3" t="n"/>
      <c r="L1725" s="3" t="n"/>
      <c r="M1725" s="3" t="n"/>
      <c r="N1725" s="3" t="n"/>
      <c r="O1725" s="3" t="n"/>
      <c r="P1725" s="3" t="n"/>
      <c r="Q1725" s="3" t="n"/>
      <c r="R1725" s="5">
        <f>IF(Q1725&lt;&gt;"是","排除",IF(OR(L1725="",M1725=""),"",IF(OR(L1725="未知",M1725="未知"),"未知",IF(AND(L1725="真",M1725="真"),"TP",IF(AND(L1725="真",M1725="假"),"FP",IF(AND(L1725="假",M1725="真"),"FN","TN"))))))</f>
        <v/>
      </c>
      <c r="S1725" s="3" t="n"/>
      <c r="T1725" s="3" t="n"/>
      <c r="U1725" s="3" t="n"/>
      <c r="V1725" s="3" t="n"/>
    </row>
    <row r="1726">
      <c r="A1726" s="3" t="n"/>
      <c r="B1726" s="3" t="n"/>
      <c r="C1726" s="3" t="n"/>
      <c r="D1726" s="4" t="n"/>
      <c r="E1726" s="3" t="n"/>
      <c r="F1726" s="3" t="n"/>
      <c r="G1726" s="3" t="n"/>
      <c r="H1726" s="3" t="n"/>
      <c r="I1726" s="3" t="n"/>
      <c r="J1726" s="3" t="n"/>
      <c r="K1726" s="3" t="n"/>
      <c r="L1726" s="3" t="n"/>
      <c r="M1726" s="3" t="n"/>
      <c r="N1726" s="3" t="n"/>
      <c r="O1726" s="3" t="n"/>
      <c r="P1726" s="3" t="n"/>
      <c r="Q1726" s="3" t="n"/>
      <c r="R1726" s="5">
        <f>IF(Q1726&lt;&gt;"是","排除",IF(OR(L1726="",M1726=""),"",IF(OR(L1726="未知",M1726="未知"),"未知",IF(AND(L1726="真",M1726="真"),"TP",IF(AND(L1726="真",M1726="假"),"FP",IF(AND(L1726="假",M1726="真"),"FN","TN"))))))</f>
        <v/>
      </c>
      <c r="S1726" s="3" t="n"/>
      <c r="T1726" s="3" t="n"/>
      <c r="U1726" s="3" t="n"/>
      <c r="V1726" s="3" t="n"/>
    </row>
    <row r="1727">
      <c r="A1727" s="3" t="n"/>
      <c r="B1727" s="3" t="n"/>
      <c r="C1727" s="3" t="n"/>
      <c r="D1727" s="4" t="n"/>
      <c r="E1727" s="3" t="n"/>
      <c r="F1727" s="3" t="n"/>
      <c r="G1727" s="3" t="n"/>
      <c r="H1727" s="3" t="n"/>
      <c r="I1727" s="3" t="n"/>
      <c r="J1727" s="3" t="n"/>
      <c r="K1727" s="3" t="n"/>
      <c r="L1727" s="3" t="n"/>
      <c r="M1727" s="3" t="n"/>
      <c r="N1727" s="3" t="n"/>
      <c r="O1727" s="3" t="n"/>
      <c r="P1727" s="3" t="n"/>
      <c r="Q1727" s="3" t="n"/>
      <c r="R1727" s="5">
        <f>IF(Q1727&lt;&gt;"是","排除",IF(OR(L1727="",M1727=""),"",IF(OR(L1727="未知",M1727="未知"),"未知",IF(AND(L1727="真",M1727="真"),"TP",IF(AND(L1727="真",M1727="假"),"FP",IF(AND(L1727="假",M1727="真"),"FN","TN"))))))</f>
        <v/>
      </c>
      <c r="S1727" s="3" t="n"/>
      <c r="T1727" s="3" t="n"/>
      <c r="U1727" s="3" t="n"/>
      <c r="V1727" s="3" t="n"/>
    </row>
    <row r="1728">
      <c r="A1728" s="3" t="n"/>
      <c r="B1728" s="3" t="n"/>
      <c r="C1728" s="3" t="n"/>
      <c r="D1728" s="4" t="n"/>
      <c r="E1728" s="3" t="n"/>
      <c r="F1728" s="3" t="n"/>
      <c r="G1728" s="3" t="n"/>
      <c r="H1728" s="3" t="n"/>
      <c r="I1728" s="3" t="n"/>
      <c r="J1728" s="3" t="n"/>
      <c r="K1728" s="3" t="n"/>
      <c r="L1728" s="3" t="n"/>
      <c r="M1728" s="3" t="n"/>
      <c r="N1728" s="3" t="n"/>
      <c r="O1728" s="3" t="n"/>
      <c r="P1728" s="3" t="n"/>
      <c r="Q1728" s="3" t="n"/>
      <c r="R1728" s="5">
        <f>IF(Q1728&lt;&gt;"是","排除",IF(OR(L1728="",M1728=""),"",IF(OR(L1728="未知",M1728="未知"),"未知",IF(AND(L1728="真",M1728="真"),"TP",IF(AND(L1728="真",M1728="假"),"FP",IF(AND(L1728="假",M1728="真"),"FN","TN"))))))</f>
        <v/>
      </c>
      <c r="S1728" s="3" t="n"/>
      <c r="T1728" s="3" t="n"/>
      <c r="U1728" s="3" t="n"/>
      <c r="V1728" s="3" t="n"/>
    </row>
    <row r="1729">
      <c r="A1729" s="3" t="n"/>
      <c r="B1729" s="3" t="n"/>
      <c r="C1729" s="3" t="n"/>
      <c r="D1729" s="4" t="n"/>
      <c r="E1729" s="3" t="n"/>
      <c r="F1729" s="3" t="n"/>
      <c r="G1729" s="3" t="n"/>
      <c r="H1729" s="3" t="n"/>
      <c r="I1729" s="3" t="n"/>
      <c r="J1729" s="3" t="n"/>
      <c r="K1729" s="3" t="n"/>
      <c r="L1729" s="3" t="n"/>
      <c r="M1729" s="3" t="n"/>
      <c r="N1729" s="3" t="n"/>
      <c r="O1729" s="3" t="n"/>
      <c r="P1729" s="3" t="n"/>
      <c r="Q1729" s="3" t="n"/>
      <c r="R1729" s="5">
        <f>IF(Q1729&lt;&gt;"是","排除",IF(OR(L1729="",M1729=""),"",IF(OR(L1729="未知",M1729="未知"),"未知",IF(AND(L1729="真",M1729="真"),"TP",IF(AND(L1729="真",M1729="假"),"FP",IF(AND(L1729="假",M1729="真"),"FN","TN"))))))</f>
        <v/>
      </c>
      <c r="S1729" s="3" t="n"/>
      <c r="T1729" s="3" t="n"/>
      <c r="U1729" s="3" t="n"/>
      <c r="V1729" s="3" t="n"/>
    </row>
    <row r="1730">
      <c r="A1730" s="3" t="n"/>
      <c r="B1730" s="3" t="n"/>
      <c r="C1730" s="3" t="n"/>
      <c r="D1730" s="4" t="n"/>
      <c r="E1730" s="3" t="n"/>
      <c r="F1730" s="3" t="n"/>
      <c r="G1730" s="3" t="n"/>
      <c r="H1730" s="3" t="n"/>
      <c r="I1730" s="3" t="n"/>
      <c r="J1730" s="3" t="n"/>
      <c r="K1730" s="3" t="n"/>
      <c r="L1730" s="3" t="n"/>
      <c r="M1730" s="3" t="n"/>
      <c r="N1730" s="3" t="n"/>
      <c r="O1730" s="3" t="n"/>
      <c r="P1730" s="3" t="n"/>
      <c r="Q1730" s="3" t="n"/>
      <c r="R1730" s="5">
        <f>IF(Q1730&lt;&gt;"是","排除",IF(OR(L1730="",M1730=""),"",IF(OR(L1730="未知",M1730="未知"),"未知",IF(AND(L1730="真",M1730="真"),"TP",IF(AND(L1730="真",M1730="假"),"FP",IF(AND(L1730="假",M1730="真"),"FN","TN"))))))</f>
        <v/>
      </c>
      <c r="S1730" s="3" t="n"/>
      <c r="T1730" s="3" t="n"/>
      <c r="U1730" s="3" t="n"/>
      <c r="V1730" s="3" t="n"/>
    </row>
    <row r="1731">
      <c r="A1731" s="3" t="n"/>
      <c r="B1731" s="3" t="n"/>
      <c r="C1731" s="3" t="n"/>
      <c r="D1731" s="4" t="n"/>
      <c r="E1731" s="3" t="n"/>
      <c r="F1731" s="3" t="n"/>
      <c r="G1731" s="3" t="n"/>
      <c r="H1731" s="3" t="n"/>
      <c r="I1731" s="3" t="n"/>
      <c r="J1731" s="3" t="n"/>
      <c r="K1731" s="3" t="n"/>
      <c r="L1731" s="3" t="n"/>
      <c r="M1731" s="3" t="n"/>
      <c r="N1731" s="3" t="n"/>
      <c r="O1731" s="3" t="n"/>
      <c r="P1731" s="3" t="n"/>
      <c r="Q1731" s="3" t="n"/>
      <c r="R1731" s="5">
        <f>IF(Q1731&lt;&gt;"是","排除",IF(OR(L1731="",M1731=""),"",IF(OR(L1731="未知",M1731="未知"),"未知",IF(AND(L1731="真",M1731="真"),"TP",IF(AND(L1731="真",M1731="假"),"FP",IF(AND(L1731="假",M1731="真"),"FN","TN"))))))</f>
        <v/>
      </c>
      <c r="S1731" s="3" t="n"/>
      <c r="T1731" s="3" t="n"/>
      <c r="U1731" s="3" t="n"/>
      <c r="V1731" s="3" t="n"/>
    </row>
    <row r="1732">
      <c r="A1732" s="3" t="n"/>
      <c r="B1732" s="3" t="n"/>
      <c r="C1732" s="3" t="n"/>
      <c r="D1732" s="4" t="n"/>
      <c r="E1732" s="3" t="n"/>
      <c r="F1732" s="3" t="n"/>
      <c r="G1732" s="3" t="n"/>
      <c r="H1732" s="3" t="n"/>
      <c r="I1732" s="3" t="n"/>
      <c r="J1732" s="3" t="n"/>
      <c r="K1732" s="3" t="n"/>
      <c r="L1732" s="3" t="n"/>
      <c r="M1732" s="3" t="n"/>
      <c r="N1732" s="3" t="n"/>
      <c r="O1732" s="3" t="n"/>
      <c r="P1732" s="3" t="n"/>
      <c r="Q1732" s="3" t="n"/>
      <c r="R1732" s="5">
        <f>IF(Q1732&lt;&gt;"是","排除",IF(OR(L1732="",M1732=""),"",IF(OR(L1732="未知",M1732="未知"),"未知",IF(AND(L1732="真",M1732="真"),"TP",IF(AND(L1732="真",M1732="假"),"FP",IF(AND(L1732="假",M1732="真"),"FN","TN"))))))</f>
        <v/>
      </c>
      <c r="S1732" s="3" t="n"/>
      <c r="T1732" s="3" t="n"/>
      <c r="U1732" s="3" t="n"/>
      <c r="V1732" s="3" t="n"/>
    </row>
    <row r="1733">
      <c r="A1733" s="3" t="n"/>
      <c r="B1733" s="3" t="n"/>
      <c r="C1733" s="3" t="n"/>
      <c r="D1733" s="4" t="n"/>
      <c r="E1733" s="3" t="n"/>
      <c r="F1733" s="3" t="n"/>
      <c r="G1733" s="3" t="n"/>
      <c r="H1733" s="3" t="n"/>
      <c r="I1733" s="3" t="n"/>
      <c r="J1733" s="3" t="n"/>
      <c r="K1733" s="3" t="n"/>
      <c r="L1733" s="3" t="n"/>
      <c r="M1733" s="3" t="n"/>
      <c r="N1733" s="3" t="n"/>
      <c r="O1733" s="3" t="n"/>
      <c r="P1733" s="3" t="n"/>
      <c r="Q1733" s="3" t="n"/>
      <c r="R1733" s="5">
        <f>IF(Q1733&lt;&gt;"是","排除",IF(OR(L1733="",M1733=""),"",IF(OR(L1733="未知",M1733="未知"),"未知",IF(AND(L1733="真",M1733="真"),"TP",IF(AND(L1733="真",M1733="假"),"FP",IF(AND(L1733="假",M1733="真"),"FN","TN"))))))</f>
        <v/>
      </c>
      <c r="S1733" s="3" t="n"/>
      <c r="T1733" s="3" t="n"/>
      <c r="U1733" s="3" t="n"/>
      <c r="V1733" s="3" t="n"/>
    </row>
    <row r="1734">
      <c r="A1734" s="3" t="n"/>
      <c r="B1734" s="3" t="n"/>
      <c r="C1734" s="3" t="n"/>
      <c r="D1734" s="4" t="n"/>
      <c r="E1734" s="3" t="n"/>
      <c r="F1734" s="3" t="n"/>
      <c r="G1734" s="3" t="n"/>
      <c r="H1734" s="3" t="n"/>
      <c r="I1734" s="3" t="n"/>
      <c r="J1734" s="3" t="n"/>
      <c r="K1734" s="3" t="n"/>
      <c r="L1734" s="3" t="n"/>
      <c r="M1734" s="3" t="n"/>
      <c r="N1734" s="3" t="n"/>
      <c r="O1734" s="3" t="n"/>
      <c r="P1734" s="3" t="n"/>
      <c r="Q1734" s="3" t="n"/>
      <c r="R1734" s="5">
        <f>IF(Q1734&lt;&gt;"是","排除",IF(OR(L1734="",M1734=""),"",IF(OR(L1734="未知",M1734="未知"),"未知",IF(AND(L1734="真",M1734="真"),"TP",IF(AND(L1734="真",M1734="假"),"FP",IF(AND(L1734="假",M1734="真"),"FN","TN"))))))</f>
        <v/>
      </c>
      <c r="S1734" s="3" t="n"/>
      <c r="T1734" s="3" t="n"/>
      <c r="U1734" s="3" t="n"/>
      <c r="V1734" s="3" t="n"/>
    </row>
    <row r="1735">
      <c r="A1735" s="3" t="n"/>
      <c r="B1735" s="3" t="n"/>
      <c r="C1735" s="3" t="n"/>
      <c r="D1735" s="4" t="n"/>
      <c r="E1735" s="3" t="n"/>
      <c r="F1735" s="3" t="n"/>
      <c r="G1735" s="3" t="n"/>
      <c r="H1735" s="3" t="n"/>
      <c r="I1735" s="3" t="n"/>
      <c r="J1735" s="3" t="n"/>
      <c r="K1735" s="3" t="n"/>
      <c r="L1735" s="3" t="n"/>
      <c r="M1735" s="3" t="n"/>
      <c r="N1735" s="3" t="n"/>
      <c r="O1735" s="3" t="n"/>
      <c r="P1735" s="3" t="n"/>
      <c r="Q1735" s="3" t="n"/>
      <c r="R1735" s="5">
        <f>IF(Q1735&lt;&gt;"是","排除",IF(OR(L1735="",M1735=""),"",IF(OR(L1735="未知",M1735="未知"),"未知",IF(AND(L1735="真",M1735="真"),"TP",IF(AND(L1735="真",M1735="假"),"FP",IF(AND(L1735="假",M1735="真"),"FN","TN"))))))</f>
        <v/>
      </c>
      <c r="S1735" s="3" t="n"/>
      <c r="T1735" s="3" t="n"/>
      <c r="U1735" s="3" t="n"/>
      <c r="V1735" s="3" t="n"/>
    </row>
    <row r="1736">
      <c r="A1736" s="3" t="n"/>
      <c r="B1736" s="3" t="n"/>
      <c r="C1736" s="3" t="n"/>
      <c r="D1736" s="4" t="n"/>
      <c r="E1736" s="3" t="n"/>
      <c r="F1736" s="3" t="n"/>
      <c r="G1736" s="3" t="n"/>
      <c r="H1736" s="3" t="n"/>
      <c r="I1736" s="3" t="n"/>
      <c r="J1736" s="3" t="n"/>
      <c r="K1736" s="3" t="n"/>
      <c r="L1736" s="3" t="n"/>
      <c r="M1736" s="3" t="n"/>
      <c r="N1736" s="3" t="n"/>
      <c r="O1736" s="3" t="n"/>
      <c r="P1736" s="3" t="n"/>
      <c r="Q1736" s="3" t="n"/>
      <c r="R1736" s="5">
        <f>IF(Q1736&lt;&gt;"是","排除",IF(OR(L1736="",M1736=""),"",IF(OR(L1736="未知",M1736="未知"),"未知",IF(AND(L1736="真",M1736="真"),"TP",IF(AND(L1736="真",M1736="假"),"FP",IF(AND(L1736="假",M1736="真"),"FN","TN"))))))</f>
        <v/>
      </c>
      <c r="S1736" s="3" t="n"/>
      <c r="T1736" s="3" t="n"/>
      <c r="U1736" s="3" t="n"/>
      <c r="V1736" s="3" t="n"/>
    </row>
    <row r="1737">
      <c r="A1737" s="3" t="n"/>
      <c r="B1737" s="3" t="n"/>
      <c r="C1737" s="3" t="n"/>
      <c r="D1737" s="4" t="n"/>
      <c r="E1737" s="3" t="n"/>
      <c r="F1737" s="3" t="n"/>
      <c r="G1737" s="3" t="n"/>
      <c r="H1737" s="3" t="n"/>
      <c r="I1737" s="3" t="n"/>
      <c r="J1737" s="3" t="n"/>
      <c r="K1737" s="3" t="n"/>
      <c r="L1737" s="3" t="n"/>
      <c r="M1737" s="3" t="n"/>
      <c r="N1737" s="3" t="n"/>
      <c r="O1737" s="3" t="n"/>
      <c r="P1737" s="3" t="n"/>
      <c r="Q1737" s="3" t="n"/>
      <c r="R1737" s="5">
        <f>IF(Q1737&lt;&gt;"是","排除",IF(OR(L1737="",M1737=""),"",IF(OR(L1737="未知",M1737="未知"),"未知",IF(AND(L1737="真",M1737="真"),"TP",IF(AND(L1737="真",M1737="假"),"FP",IF(AND(L1737="假",M1737="真"),"FN","TN"))))))</f>
        <v/>
      </c>
      <c r="S1737" s="3" t="n"/>
      <c r="T1737" s="3" t="n"/>
      <c r="U1737" s="3" t="n"/>
      <c r="V1737" s="3" t="n"/>
    </row>
    <row r="1738">
      <c r="A1738" s="3" t="n"/>
      <c r="B1738" s="3" t="n"/>
      <c r="C1738" s="3" t="n"/>
      <c r="D1738" s="4" t="n"/>
      <c r="E1738" s="3" t="n"/>
      <c r="F1738" s="3" t="n"/>
      <c r="G1738" s="3" t="n"/>
      <c r="H1738" s="3" t="n"/>
      <c r="I1738" s="3" t="n"/>
      <c r="J1738" s="3" t="n"/>
      <c r="K1738" s="3" t="n"/>
      <c r="L1738" s="3" t="n"/>
      <c r="M1738" s="3" t="n"/>
      <c r="N1738" s="3" t="n"/>
      <c r="O1738" s="3" t="n"/>
      <c r="P1738" s="3" t="n"/>
      <c r="Q1738" s="3" t="n"/>
      <c r="R1738" s="5">
        <f>IF(Q1738&lt;&gt;"是","排除",IF(OR(L1738="",M1738=""),"",IF(OR(L1738="未知",M1738="未知"),"未知",IF(AND(L1738="真",M1738="真"),"TP",IF(AND(L1738="真",M1738="假"),"FP",IF(AND(L1738="假",M1738="真"),"FN","TN"))))))</f>
        <v/>
      </c>
      <c r="S1738" s="3" t="n"/>
      <c r="T1738" s="3" t="n"/>
      <c r="U1738" s="3" t="n"/>
      <c r="V1738" s="3" t="n"/>
    </row>
    <row r="1739">
      <c r="A1739" s="3" t="n"/>
      <c r="B1739" s="3" t="n"/>
      <c r="C1739" s="3" t="n"/>
      <c r="D1739" s="4" t="n"/>
      <c r="E1739" s="3" t="n"/>
      <c r="F1739" s="3" t="n"/>
      <c r="G1739" s="3" t="n"/>
      <c r="H1739" s="3" t="n"/>
      <c r="I1739" s="3" t="n"/>
      <c r="J1739" s="3" t="n"/>
      <c r="K1739" s="3" t="n"/>
      <c r="L1739" s="3" t="n"/>
      <c r="M1739" s="3" t="n"/>
      <c r="N1739" s="3" t="n"/>
      <c r="O1739" s="3" t="n"/>
      <c r="P1739" s="3" t="n"/>
      <c r="Q1739" s="3" t="n"/>
      <c r="R1739" s="5">
        <f>IF(Q1739&lt;&gt;"是","排除",IF(OR(L1739="",M1739=""),"",IF(OR(L1739="未知",M1739="未知"),"未知",IF(AND(L1739="真",M1739="真"),"TP",IF(AND(L1739="真",M1739="假"),"FP",IF(AND(L1739="假",M1739="真"),"FN","TN"))))))</f>
        <v/>
      </c>
      <c r="S1739" s="3" t="n"/>
      <c r="T1739" s="3" t="n"/>
      <c r="U1739" s="3" t="n"/>
      <c r="V1739" s="3" t="n"/>
    </row>
    <row r="1740">
      <c r="A1740" s="3" t="n"/>
      <c r="B1740" s="3" t="n"/>
      <c r="C1740" s="3" t="n"/>
      <c r="D1740" s="4" t="n"/>
      <c r="E1740" s="3" t="n"/>
      <c r="F1740" s="3" t="n"/>
      <c r="G1740" s="3" t="n"/>
      <c r="H1740" s="3" t="n"/>
      <c r="I1740" s="3" t="n"/>
      <c r="J1740" s="3" t="n"/>
      <c r="K1740" s="3" t="n"/>
      <c r="L1740" s="3" t="n"/>
      <c r="M1740" s="3" t="n"/>
      <c r="N1740" s="3" t="n"/>
      <c r="O1740" s="3" t="n"/>
      <c r="P1740" s="3" t="n"/>
      <c r="Q1740" s="3" t="n"/>
      <c r="R1740" s="5">
        <f>IF(Q1740&lt;&gt;"是","排除",IF(OR(L1740="",M1740=""),"",IF(OR(L1740="未知",M1740="未知"),"未知",IF(AND(L1740="真",M1740="真"),"TP",IF(AND(L1740="真",M1740="假"),"FP",IF(AND(L1740="假",M1740="真"),"FN","TN"))))))</f>
        <v/>
      </c>
      <c r="S1740" s="3" t="n"/>
      <c r="T1740" s="3" t="n"/>
      <c r="U1740" s="3" t="n"/>
      <c r="V1740" s="3" t="n"/>
    </row>
    <row r="1741">
      <c r="A1741" s="3" t="n"/>
      <c r="B1741" s="3" t="n"/>
      <c r="C1741" s="3" t="n"/>
      <c r="D1741" s="4" t="n"/>
      <c r="E1741" s="3" t="n"/>
      <c r="F1741" s="3" t="n"/>
      <c r="G1741" s="3" t="n"/>
      <c r="H1741" s="3" t="n"/>
      <c r="I1741" s="3" t="n"/>
      <c r="J1741" s="3" t="n"/>
      <c r="K1741" s="3" t="n"/>
      <c r="L1741" s="3" t="n"/>
      <c r="M1741" s="3" t="n"/>
      <c r="N1741" s="3" t="n"/>
      <c r="O1741" s="3" t="n"/>
      <c r="P1741" s="3" t="n"/>
      <c r="Q1741" s="3" t="n"/>
      <c r="R1741" s="5">
        <f>IF(Q1741&lt;&gt;"是","排除",IF(OR(L1741="",M1741=""),"",IF(OR(L1741="未知",M1741="未知"),"未知",IF(AND(L1741="真",M1741="真"),"TP",IF(AND(L1741="真",M1741="假"),"FP",IF(AND(L1741="假",M1741="真"),"FN","TN"))))))</f>
        <v/>
      </c>
      <c r="S1741" s="3" t="n"/>
      <c r="T1741" s="3" t="n"/>
      <c r="U1741" s="3" t="n"/>
      <c r="V1741" s="3" t="n"/>
    </row>
    <row r="1742">
      <c r="A1742" s="3" t="n"/>
      <c r="B1742" s="3" t="n"/>
      <c r="C1742" s="3" t="n"/>
      <c r="D1742" s="4" t="n"/>
      <c r="E1742" s="3" t="n"/>
      <c r="F1742" s="3" t="n"/>
      <c r="G1742" s="3" t="n"/>
      <c r="H1742" s="3" t="n"/>
      <c r="I1742" s="3" t="n"/>
      <c r="J1742" s="3" t="n"/>
      <c r="K1742" s="3" t="n"/>
      <c r="L1742" s="3" t="n"/>
      <c r="M1742" s="3" t="n"/>
      <c r="N1742" s="3" t="n"/>
      <c r="O1742" s="3" t="n"/>
      <c r="P1742" s="3" t="n"/>
      <c r="Q1742" s="3" t="n"/>
      <c r="R1742" s="5">
        <f>IF(Q1742&lt;&gt;"是","排除",IF(OR(L1742="",M1742=""),"",IF(OR(L1742="未知",M1742="未知"),"未知",IF(AND(L1742="真",M1742="真"),"TP",IF(AND(L1742="真",M1742="假"),"FP",IF(AND(L1742="假",M1742="真"),"FN","TN"))))))</f>
        <v/>
      </c>
      <c r="S1742" s="3" t="n"/>
      <c r="T1742" s="3" t="n"/>
      <c r="U1742" s="3" t="n"/>
      <c r="V1742" s="3" t="n"/>
    </row>
    <row r="1743">
      <c r="A1743" s="3" t="n"/>
      <c r="B1743" s="3" t="n"/>
      <c r="C1743" s="3" t="n"/>
      <c r="D1743" s="4" t="n"/>
      <c r="E1743" s="3" t="n"/>
      <c r="F1743" s="3" t="n"/>
      <c r="G1743" s="3" t="n"/>
      <c r="H1743" s="3" t="n"/>
      <c r="I1743" s="3" t="n"/>
      <c r="J1743" s="3" t="n"/>
      <c r="K1743" s="3" t="n"/>
      <c r="L1743" s="3" t="n"/>
      <c r="M1743" s="3" t="n"/>
      <c r="N1743" s="3" t="n"/>
      <c r="O1743" s="3" t="n"/>
      <c r="P1743" s="3" t="n"/>
      <c r="Q1743" s="3" t="n"/>
      <c r="R1743" s="5">
        <f>IF(Q1743&lt;&gt;"是","排除",IF(OR(L1743="",M1743=""),"",IF(OR(L1743="未知",M1743="未知"),"未知",IF(AND(L1743="真",M1743="真"),"TP",IF(AND(L1743="真",M1743="假"),"FP",IF(AND(L1743="假",M1743="真"),"FN","TN"))))))</f>
        <v/>
      </c>
      <c r="S1743" s="3" t="n"/>
      <c r="T1743" s="3" t="n"/>
      <c r="U1743" s="3" t="n"/>
      <c r="V1743" s="3" t="n"/>
    </row>
    <row r="1744">
      <c r="A1744" s="3" t="n"/>
      <c r="B1744" s="3" t="n"/>
      <c r="C1744" s="3" t="n"/>
      <c r="D1744" s="4" t="n"/>
      <c r="E1744" s="3" t="n"/>
      <c r="F1744" s="3" t="n"/>
      <c r="G1744" s="3" t="n"/>
      <c r="H1744" s="3" t="n"/>
      <c r="I1744" s="3" t="n"/>
      <c r="J1744" s="3" t="n"/>
      <c r="K1744" s="3" t="n"/>
      <c r="L1744" s="3" t="n"/>
      <c r="M1744" s="3" t="n"/>
      <c r="N1744" s="3" t="n"/>
      <c r="O1744" s="3" t="n"/>
      <c r="P1744" s="3" t="n"/>
      <c r="Q1744" s="3" t="n"/>
      <c r="R1744" s="5">
        <f>IF(Q1744&lt;&gt;"是","排除",IF(OR(L1744="",M1744=""),"",IF(OR(L1744="未知",M1744="未知"),"未知",IF(AND(L1744="真",M1744="真"),"TP",IF(AND(L1744="真",M1744="假"),"FP",IF(AND(L1744="假",M1744="真"),"FN","TN"))))))</f>
        <v/>
      </c>
      <c r="S1744" s="3" t="n"/>
      <c r="T1744" s="3" t="n"/>
      <c r="U1744" s="3" t="n"/>
      <c r="V1744" s="3" t="n"/>
    </row>
    <row r="1745">
      <c r="A1745" s="3" t="n"/>
      <c r="B1745" s="3" t="n"/>
      <c r="C1745" s="3" t="n"/>
      <c r="D1745" s="4" t="n"/>
      <c r="E1745" s="3" t="n"/>
      <c r="F1745" s="3" t="n"/>
      <c r="G1745" s="3" t="n"/>
      <c r="H1745" s="3" t="n"/>
      <c r="I1745" s="3" t="n"/>
      <c r="J1745" s="3" t="n"/>
      <c r="K1745" s="3" t="n"/>
      <c r="L1745" s="3" t="n"/>
      <c r="M1745" s="3" t="n"/>
      <c r="N1745" s="3" t="n"/>
      <c r="O1745" s="3" t="n"/>
      <c r="P1745" s="3" t="n"/>
      <c r="Q1745" s="3" t="n"/>
      <c r="R1745" s="5">
        <f>IF(Q1745&lt;&gt;"是","排除",IF(OR(L1745="",M1745=""),"",IF(OR(L1745="未知",M1745="未知"),"未知",IF(AND(L1745="真",M1745="真"),"TP",IF(AND(L1745="真",M1745="假"),"FP",IF(AND(L1745="假",M1745="真"),"FN","TN"))))))</f>
        <v/>
      </c>
      <c r="S1745" s="3" t="n"/>
      <c r="T1745" s="3" t="n"/>
      <c r="U1745" s="3" t="n"/>
      <c r="V1745" s="3" t="n"/>
    </row>
    <row r="1746">
      <c r="A1746" s="3" t="n"/>
      <c r="B1746" s="3" t="n"/>
      <c r="C1746" s="3" t="n"/>
      <c r="D1746" s="4" t="n"/>
      <c r="E1746" s="3" t="n"/>
      <c r="F1746" s="3" t="n"/>
      <c r="G1746" s="3" t="n"/>
      <c r="H1746" s="3" t="n"/>
      <c r="I1746" s="3" t="n"/>
      <c r="J1746" s="3" t="n"/>
      <c r="K1746" s="3" t="n"/>
      <c r="L1746" s="3" t="n"/>
      <c r="M1746" s="3" t="n"/>
      <c r="N1746" s="3" t="n"/>
      <c r="O1746" s="3" t="n"/>
      <c r="P1746" s="3" t="n"/>
      <c r="Q1746" s="3" t="n"/>
      <c r="R1746" s="5">
        <f>IF(Q1746&lt;&gt;"是","排除",IF(OR(L1746="",M1746=""),"",IF(OR(L1746="未知",M1746="未知"),"未知",IF(AND(L1746="真",M1746="真"),"TP",IF(AND(L1746="真",M1746="假"),"FP",IF(AND(L1746="假",M1746="真"),"FN","TN"))))))</f>
        <v/>
      </c>
      <c r="S1746" s="3" t="n"/>
      <c r="T1746" s="3" t="n"/>
      <c r="U1746" s="3" t="n"/>
      <c r="V1746" s="3" t="n"/>
    </row>
    <row r="1747">
      <c r="A1747" s="3" t="n"/>
      <c r="B1747" s="3" t="n"/>
      <c r="C1747" s="3" t="n"/>
      <c r="D1747" s="4" t="n"/>
      <c r="E1747" s="3" t="n"/>
      <c r="F1747" s="3" t="n"/>
      <c r="G1747" s="3" t="n"/>
      <c r="H1747" s="3" t="n"/>
      <c r="I1747" s="3" t="n"/>
      <c r="J1747" s="3" t="n"/>
      <c r="K1747" s="3" t="n"/>
      <c r="L1747" s="3" t="n"/>
      <c r="M1747" s="3" t="n"/>
      <c r="N1747" s="3" t="n"/>
      <c r="O1747" s="3" t="n"/>
      <c r="P1747" s="3" t="n"/>
      <c r="Q1747" s="3" t="n"/>
      <c r="R1747" s="5">
        <f>IF(Q1747&lt;&gt;"是","排除",IF(OR(L1747="",M1747=""),"",IF(OR(L1747="未知",M1747="未知"),"未知",IF(AND(L1747="真",M1747="真"),"TP",IF(AND(L1747="真",M1747="假"),"FP",IF(AND(L1747="假",M1747="真"),"FN","TN"))))))</f>
        <v/>
      </c>
      <c r="S1747" s="3" t="n"/>
      <c r="T1747" s="3" t="n"/>
      <c r="U1747" s="3" t="n"/>
      <c r="V1747" s="3" t="n"/>
    </row>
    <row r="1748">
      <c r="A1748" s="3" t="n"/>
      <c r="B1748" s="3" t="n"/>
      <c r="C1748" s="3" t="n"/>
      <c r="D1748" s="4" t="n"/>
      <c r="E1748" s="3" t="n"/>
      <c r="F1748" s="3" t="n"/>
      <c r="G1748" s="3" t="n"/>
      <c r="H1748" s="3" t="n"/>
      <c r="I1748" s="3" t="n"/>
      <c r="J1748" s="3" t="n"/>
      <c r="K1748" s="3" t="n"/>
      <c r="L1748" s="3" t="n"/>
      <c r="M1748" s="3" t="n"/>
      <c r="N1748" s="3" t="n"/>
      <c r="O1748" s="3" t="n"/>
      <c r="P1748" s="3" t="n"/>
      <c r="Q1748" s="3" t="n"/>
      <c r="R1748" s="5">
        <f>IF(Q1748&lt;&gt;"是","排除",IF(OR(L1748="",M1748=""),"",IF(OR(L1748="未知",M1748="未知"),"未知",IF(AND(L1748="真",M1748="真"),"TP",IF(AND(L1748="真",M1748="假"),"FP",IF(AND(L1748="假",M1748="真"),"FN","TN"))))))</f>
        <v/>
      </c>
      <c r="S1748" s="3" t="n"/>
      <c r="T1748" s="3" t="n"/>
      <c r="U1748" s="3" t="n"/>
      <c r="V1748" s="3" t="n"/>
    </row>
    <row r="1749">
      <c r="A1749" s="3" t="n"/>
      <c r="B1749" s="3" t="n"/>
      <c r="C1749" s="3" t="n"/>
      <c r="D1749" s="4" t="n"/>
      <c r="E1749" s="3" t="n"/>
      <c r="F1749" s="3" t="n"/>
      <c r="G1749" s="3" t="n"/>
      <c r="H1749" s="3" t="n"/>
      <c r="I1749" s="3" t="n"/>
      <c r="J1749" s="3" t="n"/>
      <c r="K1749" s="3" t="n"/>
      <c r="L1749" s="3" t="n"/>
      <c r="M1749" s="3" t="n"/>
      <c r="N1749" s="3" t="n"/>
      <c r="O1749" s="3" t="n"/>
      <c r="P1749" s="3" t="n"/>
      <c r="Q1749" s="3" t="n"/>
      <c r="R1749" s="5">
        <f>IF(Q1749&lt;&gt;"是","排除",IF(OR(L1749="",M1749=""),"",IF(OR(L1749="未知",M1749="未知"),"未知",IF(AND(L1749="真",M1749="真"),"TP",IF(AND(L1749="真",M1749="假"),"FP",IF(AND(L1749="假",M1749="真"),"FN","TN"))))))</f>
        <v/>
      </c>
      <c r="S1749" s="3" t="n"/>
      <c r="T1749" s="3" t="n"/>
      <c r="U1749" s="3" t="n"/>
      <c r="V1749" s="3" t="n"/>
    </row>
    <row r="1750">
      <c r="A1750" s="3" t="n"/>
      <c r="B1750" s="3" t="n"/>
      <c r="C1750" s="3" t="n"/>
      <c r="D1750" s="4" t="n"/>
      <c r="E1750" s="3" t="n"/>
      <c r="F1750" s="3" t="n"/>
      <c r="G1750" s="3" t="n"/>
      <c r="H1750" s="3" t="n"/>
      <c r="I1750" s="3" t="n"/>
      <c r="J1750" s="3" t="n"/>
      <c r="K1750" s="3" t="n"/>
      <c r="L1750" s="3" t="n"/>
      <c r="M1750" s="3" t="n"/>
      <c r="N1750" s="3" t="n"/>
      <c r="O1750" s="3" t="n"/>
      <c r="P1750" s="3" t="n"/>
      <c r="Q1750" s="3" t="n"/>
      <c r="R1750" s="5">
        <f>IF(Q1750&lt;&gt;"是","排除",IF(OR(L1750="",M1750=""),"",IF(OR(L1750="未知",M1750="未知"),"未知",IF(AND(L1750="真",M1750="真"),"TP",IF(AND(L1750="真",M1750="假"),"FP",IF(AND(L1750="假",M1750="真"),"FN","TN"))))))</f>
        <v/>
      </c>
      <c r="S1750" s="3" t="n"/>
      <c r="T1750" s="3" t="n"/>
      <c r="U1750" s="3" t="n"/>
      <c r="V1750" s="3" t="n"/>
    </row>
    <row r="1751">
      <c r="A1751" s="3" t="n"/>
      <c r="B1751" s="3" t="n"/>
      <c r="C1751" s="3" t="n"/>
      <c r="D1751" s="4" t="n"/>
      <c r="E1751" s="3" t="n"/>
      <c r="F1751" s="3" t="n"/>
      <c r="G1751" s="3" t="n"/>
      <c r="H1751" s="3" t="n"/>
      <c r="I1751" s="3" t="n"/>
      <c r="J1751" s="3" t="n"/>
      <c r="K1751" s="3" t="n"/>
      <c r="L1751" s="3" t="n"/>
      <c r="M1751" s="3" t="n"/>
      <c r="N1751" s="3" t="n"/>
      <c r="O1751" s="3" t="n"/>
      <c r="P1751" s="3" t="n"/>
      <c r="Q1751" s="3" t="n"/>
      <c r="R1751" s="5">
        <f>IF(Q1751&lt;&gt;"是","排除",IF(OR(L1751="",M1751=""),"",IF(OR(L1751="未知",M1751="未知"),"未知",IF(AND(L1751="真",M1751="真"),"TP",IF(AND(L1751="真",M1751="假"),"FP",IF(AND(L1751="假",M1751="真"),"FN","TN"))))))</f>
        <v/>
      </c>
      <c r="S1751" s="3" t="n"/>
      <c r="T1751" s="3" t="n"/>
      <c r="U1751" s="3" t="n"/>
      <c r="V1751" s="3" t="n"/>
    </row>
    <row r="1752">
      <c r="A1752" s="3" t="n"/>
      <c r="B1752" s="3" t="n"/>
      <c r="C1752" s="3" t="n"/>
      <c r="D1752" s="4" t="n"/>
      <c r="E1752" s="3" t="n"/>
      <c r="F1752" s="3" t="n"/>
      <c r="G1752" s="3" t="n"/>
      <c r="H1752" s="3" t="n"/>
      <c r="I1752" s="3" t="n"/>
      <c r="J1752" s="3" t="n"/>
      <c r="K1752" s="3" t="n"/>
      <c r="L1752" s="3" t="n"/>
      <c r="M1752" s="3" t="n"/>
      <c r="N1752" s="3" t="n"/>
      <c r="O1752" s="3" t="n"/>
      <c r="P1752" s="3" t="n"/>
      <c r="Q1752" s="3" t="n"/>
      <c r="R1752" s="5">
        <f>IF(Q1752&lt;&gt;"是","排除",IF(OR(L1752="",M1752=""),"",IF(OR(L1752="未知",M1752="未知"),"未知",IF(AND(L1752="真",M1752="真"),"TP",IF(AND(L1752="真",M1752="假"),"FP",IF(AND(L1752="假",M1752="真"),"FN","TN"))))))</f>
        <v/>
      </c>
      <c r="S1752" s="3" t="n"/>
      <c r="T1752" s="3" t="n"/>
      <c r="U1752" s="3" t="n"/>
      <c r="V1752" s="3" t="n"/>
    </row>
    <row r="1753">
      <c r="A1753" s="3" t="n"/>
      <c r="B1753" s="3" t="n"/>
      <c r="C1753" s="3" t="n"/>
      <c r="D1753" s="4" t="n"/>
      <c r="E1753" s="3" t="n"/>
      <c r="F1753" s="3" t="n"/>
      <c r="G1753" s="3" t="n"/>
      <c r="H1753" s="3" t="n"/>
      <c r="I1753" s="3" t="n"/>
      <c r="J1753" s="3" t="n"/>
      <c r="K1753" s="3" t="n"/>
      <c r="L1753" s="3" t="n"/>
      <c r="M1753" s="3" t="n"/>
      <c r="N1753" s="3" t="n"/>
      <c r="O1753" s="3" t="n"/>
      <c r="P1753" s="3" t="n"/>
      <c r="Q1753" s="3" t="n"/>
      <c r="R1753" s="5">
        <f>IF(Q1753&lt;&gt;"是","排除",IF(OR(L1753="",M1753=""),"",IF(OR(L1753="未知",M1753="未知"),"未知",IF(AND(L1753="真",M1753="真"),"TP",IF(AND(L1753="真",M1753="假"),"FP",IF(AND(L1753="假",M1753="真"),"FN","TN"))))))</f>
        <v/>
      </c>
      <c r="S1753" s="3" t="n"/>
      <c r="T1753" s="3" t="n"/>
      <c r="U1753" s="3" t="n"/>
      <c r="V1753" s="3" t="n"/>
    </row>
    <row r="1754">
      <c r="A1754" s="3" t="n"/>
      <c r="B1754" s="3" t="n"/>
      <c r="C1754" s="3" t="n"/>
      <c r="D1754" s="4" t="n"/>
      <c r="E1754" s="3" t="n"/>
      <c r="F1754" s="3" t="n"/>
      <c r="G1754" s="3" t="n"/>
      <c r="H1754" s="3" t="n"/>
      <c r="I1754" s="3" t="n"/>
      <c r="J1754" s="3" t="n"/>
      <c r="K1754" s="3" t="n"/>
      <c r="L1754" s="3" t="n"/>
      <c r="M1754" s="3" t="n"/>
      <c r="N1754" s="3" t="n"/>
      <c r="O1754" s="3" t="n"/>
      <c r="P1754" s="3" t="n"/>
      <c r="Q1754" s="3" t="n"/>
      <c r="R1754" s="5">
        <f>IF(Q1754&lt;&gt;"是","排除",IF(OR(L1754="",M1754=""),"",IF(OR(L1754="未知",M1754="未知"),"未知",IF(AND(L1754="真",M1754="真"),"TP",IF(AND(L1754="真",M1754="假"),"FP",IF(AND(L1754="假",M1754="真"),"FN","TN"))))))</f>
        <v/>
      </c>
      <c r="S1754" s="3" t="n"/>
      <c r="T1754" s="3" t="n"/>
      <c r="U1754" s="3" t="n"/>
      <c r="V1754" s="3" t="n"/>
    </row>
    <row r="1755">
      <c r="A1755" s="3" t="n"/>
      <c r="B1755" s="3" t="n"/>
      <c r="C1755" s="3" t="n"/>
      <c r="D1755" s="4" t="n"/>
      <c r="E1755" s="3" t="n"/>
      <c r="F1755" s="3" t="n"/>
      <c r="G1755" s="3" t="n"/>
      <c r="H1755" s="3" t="n"/>
      <c r="I1755" s="3" t="n"/>
      <c r="J1755" s="3" t="n"/>
      <c r="K1755" s="3" t="n"/>
      <c r="L1755" s="3" t="n"/>
      <c r="M1755" s="3" t="n"/>
      <c r="N1755" s="3" t="n"/>
      <c r="O1755" s="3" t="n"/>
      <c r="P1755" s="3" t="n"/>
      <c r="Q1755" s="3" t="n"/>
      <c r="R1755" s="5">
        <f>IF(Q1755&lt;&gt;"是","排除",IF(OR(L1755="",M1755=""),"",IF(OR(L1755="未知",M1755="未知"),"未知",IF(AND(L1755="真",M1755="真"),"TP",IF(AND(L1755="真",M1755="假"),"FP",IF(AND(L1755="假",M1755="真"),"FN","TN"))))))</f>
        <v/>
      </c>
      <c r="S1755" s="3" t="n"/>
      <c r="T1755" s="3" t="n"/>
      <c r="U1755" s="3" t="n"/>
      <c r="V1755" s="3" t="n"/>
    </row>
    <row r="1756">
      <c r="A1756" s="3" t="n"/>
      <c r="B1756" s="3" t="n"/>
      <c r="C1756" s="3" t="n"/>
      <c r="D1756" s="4" t="n"/>
      <c r="E1756" s="3" t="n"/>
      <c r="F1756" s="3" t="n"/>
      <c r="G1756" s="3" t="n"/>
      <c r="H1756" s="3" t="n"/>
      <c r="I1756" s="3" t="n"/>
      <c r="J1756" s="3" t="n"/>
      <c r="K1756" s="3" t="n"/>
      <c r="L1756" s="3" t="n"/>
      <c r="M1756" s="3" t="n"/>
      <c r="N1756" s="3" t="n"/>
      <c r="O1756" s="3" t="n"/>
      <c r="P1756" s="3" t="n"/>
      <c r="Q1756" s="3" t="n"/>
      <c r="R1756" s="5">
        <f>IF(Q1756&lt;&gt;"是","排除",IF(OR(L1756="",M1756=""),"",IF(OR(L1756="未知",M1756="未知"),"未知",IF(AND(L1756="真",M1756="真"),"TP",IF(AND(L1756="真",M1756="假"),"FP",IF(AND(L1756="假",M1756="真"),"FN","TN"))))))</f>
        <v/>
      </c>
      <c r="S1756" s="3" t="n"/>
      <c r="T1756" s="3" t="n"/>
      <c r="U1756" s="3" t="n"/>
      <c r="V1756" s="3" t="n"/>
    </row>
    <row r="1757">
      <c r="A1757" s="3" t="n"/>
      <c r="B1757" s="3" t="n"/>
      <c r="C1757" s="3" t="n"/>
      <c r="D1757" s="4" t="n"/>
      <c r="E1757" s="3" t="n"/>
      <c r="F1757" s="3" t="n"/>
      <c r="G1757" s="3" t="n"/>
      <c r="H1757" s="3" t="n"/>
      <c r="I1757" s="3" t="n"/>
      <c r="J1757" s="3" t="n"/>
      <c r="K1757" s="3" t="n"/>
      <c r="L1757" s="3" t="n"/>
      <c r="M1757" s="3" t="n"/>
      <c r="N1757" s="3" t="n"/>
      <c r="O1757" s="3" t="n"/>
      <c r="P1757" s="3" t="n"/>
      <c r="Q1757" s="3" t="n"/>
      <c r="R1757" s="5">
        <f>IF(Q1757&lt;&gt;"是","排除",IF(OR(L1757="",M1757=""),"",IF(OR(L1757="未知",M1757="未知"),"未知",IF(AND(L1757="真",M1757="真"),"TP",IF(AND(L1757="真",M1757="假"),"FP",IF(AND(L1757="假",M1757="真"),"FN","TN"))))))</f>
        <v/>
      </c>
      <c r="S1757" s="3" t="n"/>
      <c r="T1757" s="3" t="n"/>
      <c r="U1757" s="3" t="n"/>
      <c r="V1757" s="3" t="n"/>
    </row>
    <row r="1758">
      <c r="A1758" s="3" t="n"/>
      <c r="B1758" s="3" t="n"/>
      <c r="C1758" s="3" t="n"/>
      <c r="D1758" s="4" t="n"/>
      <c r="E1758" s="3" t="n"/>
      <c r="F1758" s="3" t="n"/>
      <c r="G1758" s="3" t="n"/>
      <c r="H1758" s="3" t="n"/>
      <c r="I1758" s="3" t="n"/>
      <c r="J1758" s="3" t="n"/>
      <c r="K1758" s="3" t="n"/>
      <c r="L1758" s="3" t="n"/>
      <c r="M1758" s="3" t="n"/>
      <c r="N1758" s="3" t="n"/>
      <c r="O1758" s="3" t="n"/>
      <c r="P1758" s="3" t="n"/>
      <c r="Q1758" s="3" t="n"/>
      <c r="R1758" s="5">
        <f>IF(Q1758&lt;&gt;"是","排除",IF(OR(L1758="",M1758=""),"",IF(OR(L1758="未知",M1758="未知"),"未知",IF(AND(L1758="真",M1758="真"),"TP",IF(AND(L1758="真",M1758="假"),"FP",IF(AND(L1758="假",M1758="真"),"FN","TN"))))))</f>
        <v/>
      </c>
      <c r="S1758" s="3" t="n"/>
      <c r="T1758" s="3" t="n"/>
      <c r="U1758" s="3" t="n"/>
      <c r="V1758" s="3" t="n"/>
    </row>
    <row r="1759">
      <c r="A1759" s="3" t="n"/>
      <c r="B1759" s="3" t="n"/>
      <c r="C1759" s="3" t="n"/>
      <c r="D1759" s="4" t="n"/>
      <c r="E1759" s="3" t="n"/>
      <c r="F1759" s="3" t="n"/>
      <c r="G1759" s="3" t="n"/>
      <c r="H1759" s="3" t="n"/>
      <c r="I1759" s="3" t="n"/>
      <c r="J1759" s="3" t="n"/>
      <c r="K1759" s="3" t="n"/>
      <c r="L1759" s="3" t="n"/>
      <c r="M1759" s="3" t="n"/>
      <c r="N1759" s="3" t="n"/>
      <c r="O1759" s="3" t="n"/>
      <c r="P1759" s="3" t="n"/>
      <c r="Q1759" s="3" t="n"/>
      <c r="R1759" s="5">
        <f>IF(Q1759&lt;&gt;"是","排除",IF(OR(L1759="",M1759=""),"",IF(OR(L1759="未知",M1759="未知"),"未知",IF(AND(L1759="真",M1759="真"),"TP",IF(AND(L1759="真",M1759="假"),"FP",IF(AND(L1759="假",M1759="真"),"FN","TN"))))))</f>
        <v/>
      </c>
      <c r="S1759" s="3" t="n"/>
      <c r="T1759" s="3" t="n"/>
      <c r="U1759" s="3" t="n"/>
      <c r="V1759" s="3" t="n"/>
    </row>
    <row r="1760">
      <c r="A1760" s="3" t="n"/>
      <c r="B1760" s="3" t="n"/>
      <c r="C1760" s="3" t="n"/>
      <c r="D1760" s="4" t="n"/>
      <c r="E1760" s="3" t="n"/>
      <c r="F1760" s="3" t="n"/>
      <c r="G1760" s="3" t="n"/>
      <c r="H1760" s="3" t="n"/>
      <c r="I1760" s="3" t="n"/>
      <c r="J1760" s="3" t="n"/>
      <c r="K1760" s="3" t="n"/>
      <c r="L1760" s="3" t="n"/>
      <c r="M1760" s="3" t="n"/>
      <c r="N1760" s="3" t="n"/>
      <c r="O1760" s="3" t="n"/>
      <c r="P1760" s="3" t="n"/>
      <c r="Q1760" s="3" t="n"/>
      <c r="R1760" s="5">
        <f>IF(Q1760&lt;&gt;"是","排除",IF(OR(L1760="",M1760=""),"",IF(OR(L1760="未知",M1760="未知"),"未知",IF(AND(L1760="真",M1760="真"),"TP",IF(AND(L1760="真",M1760="假"),"FP",IF(AND(L1760="假",M1760="真"),"FN","TN"))))))</f>
        <v/>
      </c>
      <c r="S1760" s="3" t="n"/>
      <c r="T1760" s="3" t="n"/>
      <c r="U1760" s="3" t="n"/>
      <c r="V1760" s="3" t="n"/>
    </row>
    <row r="1761">
      <c r="A1761" s="3" t="n"/>
      <c r="B1761" s="3" t="n"/>
      <c r="C1761" s="3" t="n"/>
      <c r="D1761" s="4" t="n"/>
      <c r="E1761" s="3" t="n"/>
      <c r="F1761" s="3" t="n"/>
      <c r="G1761" s="3" t="n"/>
      <c r="H1761" s="3" t="n"/>
      <c r="I1761" s="3" t="n"/>
      <c r="J1761" s="3" t="n"/>
      <c r="K1761" s="3" t="n"/>
      <c r="L1761" s="3" t="n"/>
      <c r="M1761" s="3" t="n"/>
      <c r="N1761" s="3" t="n"/>
      <c r="O1761" s="3" t="n"/>
      <c r="P1761" s="3" t="n"/>
      <c r="Q1761" s="3" t="n"/>
      <c r="R1761" s="5">
        <f>IF(Q1761&lt;&gt;"是","排除",IF(OR(L1761="",M1761=""),"",IF(OR(L1761="未知",M1761="未知"),"未知",IF(AND(L1761="真",M1761="真"),"TP",IF(AND(L1761="真",M1761="假"),"FP",IF(AND(L1761="假",M1761="真"),"FN","TN"))))))</f>
        <v/>
      </c>
      <c r="S1761" s="3" t="n"/>
      <c r="T1761" s="3" t="n"/>
      <c r="U1761" s="3" t="n"/>
      <c r="V1761" s="3" t="n"/>
    </row>
    <row r="1762">
      <c r="A1762" s="3" t="n"/>
      <c r="B1762" s="3" t="n"/>
      <c r="C1762" s="3" t="n"/>
      <c r="D1762" s="4" t="n"/>
      <c r="E1762" s="3" t="n"/>
      <c r="F1762" s="3" t="n"/>
      <c r="G1762" s="3" t="n"/>
      <c r="H1762" s="3" t="n"/>
      <c r="I1762" s="3" t="n"/>
      <c r="J1762" s="3" t="n"/>
      <c r="K1762" s="3" t="n"/>
      <c r="L1762" s="3" t="n"/>
      <c r="M1762" s="3" t="n"/>
      <c r="N1762" s="3" t="n"/>
      <c r="O1762" s="3" t="n"/>
      <c r="P1762" s="3" t="n"/>
      <c r="Q1762" s="3" t="n"/>
      <c r="R1762" s="5">
        <f>IF(Q1762&lt;&gt;"是","排除",IF(OR(L1762="",M1762=""),"",IF(OR(L1762="未知",M1762="未知"),"未知",IF(AND(L1762="真",M1762="真"),"TP",IF(AND(L1762="真",M1762="假"),"FP",IF(AND(L1762="假",M1762="真"),"FN","TN"))))))</f>
        <v/>
      </c>
      <c r="S1762" s="3" t="n"/>
      <c r="T1762" s="3" t="n"/>
      <c r="U1762" s="3" t="n"/>
      <c r="V1762" s="3" t="n"/>
    </row>
    <row r="1763">
      <c r="A1763" s="3" t="n"/>
      <c r="B1763" s="3" t="n"/>
      <c r="C1763" s="3" t="n"/>
      <c r="D1763" s="4" t="n"/>
      <c r="E1763" s="3" t="n"/>
      <c r="F1763" s="3" t="n"/>
      <c r="G1763" s="3" t="n"/>
      <c r="H1763" s="3" t="n"/>
      <c r="I1763" s="3" t="n"/>
      <c r="J1763" s="3" t="n"/>
      <c r="K1763" s="3" t="n"/>
      <c r="L1763" s="3" t="n"/>
      <c r="M1763" s="3" t="n"/>
      <c r="N1763" s="3" t="n"/>
      <c r="O1763" s="3" t="n"/>
      <c r="P1763" s="3" t="n"/>
      <c r="Q1763" s="3" t="n"/>
      <c r="R1763" s="5">
        <f>IF(Q1763&lt;&gt;"是","排除",IF(OR(L1763="",M1763=""),"",IF(OR(L1763="未知",M1763="未知"),"未知",IF(AND(L1763="真",M1763="真"),"TP",IF(AND(L1763="真",M1763="假"),"FP",IF(AND(L1763="假",M1763="真"),"FN","TN"))))))</f>
        <v/>
      </c>
      <c r="S1763" s="3" t="n"/>
      <c r="T1763" s="3" t="n"/>
      <c r="U1763" s="3" t="n"/>
      <c r="V1763" s="3" t="n"/>
    </row>
    <row r="1764">
      <c r="A1764" s="3" t="n"/>
      <c r="B1764" s="3" t="n"/>
      <c r="C1764" s="3" t="n"/>
      <c r="D1764" s="4" t="n"/>
      <c r="E1764" s="3" t="n"/>
      <c r="F1764" s="3" t="n"/>
      <c r="G1764" s="3" t="n"/>
      <c r="H1764" s="3" t="n"/>
      <c r="I1764" s="3" t="n"/>
      <c r="J1764" s="3" t="n"/>
      <c r="K1764" s="3" t="n"/>
      <c r="L1764" s="3" t="n"/>
      <c r="M1764" s="3" t="n"/>
      <c r="N1764" s="3" t="n"/>
      <c r="O1764" s="3" t="n"/>
      <c r="P1764" s="3" t="n"/>
      <c r="Q1764" s="3" t="n"/>
      <c r="R1764" s="5">
        <f>IF(Q1764&lt;&gt;"是","排除",IF(OR(L1764="",M1764=""),"",IF(OR(L1764="未知",M1764="未知"),"未知",IF(AND(L1764="真",M1764="真"),"TP",IF(AND(L1764="真",M1764="假"),"FP",IF(AND(L1764="假",M1764="真"),"FN","TN"))))))</f>
        <v/>
      </c>
      <c r="S1764" s="3" t="n"/>
      <c r="T1764" s="3" t="n"/>
      <c r="U1764" s="3" t="n"/>
      <c r="V1764" s="3" t="n"/>
    </row>
    <row r="1765">
      <c r="A1765" s="3" t="n"/>
      <c r="B1765" s="3" t="n"/>
      <c r="C1765" s="3" t="n"/>
      <c r="D1765" s="4" t="n"/>
      <c r="E1765" s="3" t="n"/>
      <c r="F1765" s="3" t="n"/>
      <c r="G1765" s="3" t="n"/>
      <c r="H1765" s="3" t="n"/>
      <c r="I1765" s="3" t="n"/>
      <c r="J1765" s="3" t="n"/>
      <c r="K1765" s="3" t="n"/>
      <c r="L1765" s="3" t="n"/>
      <c r="M1765" s="3" t="n"/>
      <c r="N1765" s="3" t="n"/>
      <c r="O1765" s="3" t="n"/>
      <c r="P1765" s="3" t="n"/>
      <c r="Q1765" s="3" t="n"/>
      <c r="R1765" s="5">
        <f>IF(Q1765&lt;&gt;"是","排除",IF(OR(L1765="",M1765=""),"",IF(OR(L1765="未知",M1765="未知"),"未知",IF(AND(L1765="真",M1765="真"),"TP",IF(AND(L1765="真",M1765="假"),"FP",IF(AND(L1765="假",M1765="真"),"FN","TN"))))))</f>
        <v/>
      </c>
      <c r="S1765" s="3" t="n"/>
      <c r="T1765" s="3" t="n"/>
      <c r="U1765" s="3" t="n"/>
      <c r="V1765" s="3" t="n"/>
    </row>
    <row r="1766">
      <c r="A1766" s="3" t="n"/>
      <c r="B1766" s="3" t="n"/>
      <c r="C1766" s="3" t="n"/>
      <c r="D1766" s="4" t="n"/>
      <c r="E1766" s="3" t="n"/>
      <c r="F1766" s="3" t="n"/>
      <c r="G1766" s="3" t="n"/>
      <c r="H1766" s="3" t="n"/>
      <c r="I1766" s="3" t="n"/>
      <c r="J1766" s="3" t="n"/>
      <c r="K1766" s="3" t="n"/>
      <c r="L1766" s="3" t="n"/>
      <c r="M1766" s="3" t="n"/>
      <c r="N1766" s="3" t="n"/>
      <c r="O1766" s="3" t="n"/>
      <c r="P1766" s="3" t="n"/>
      <c r="Q1766" s="3" t="n"/>
      <c r="R1766" s="5">
        <f>IF(Q1766&lt;&gt;"是","排除",IF(OR(L1766="",M1766=""),"",IF(OR(L1766="未知",M1766="未知"),"未知",IF(AND(L1766="真",M1766="真"),"TP",IF(AND(L1766="真",M1766="假"),"FP",IF(AND(L1766="假",M1766="真"),"FN","TN"))))))</f>
        <v/>
      </c>
      <c r="S1766" s="3" t="n"/>
      <c r="T1766" s="3" t="n"/>
      <c r="U1766" s="3" t="n"/>
      <c r="V1766" s="3" t="n"/>
    </row>
    <row r="1767">
      <c r="A1767" s="3" t="n"/>
      <c r="B1767" s="3" t="n"/>
      <c r="C1767" s="3" t="n"/>
      <c r="D1767" s="4" t="n"/>
      <c r="E1767" s="3" t="n"/>
      <c r="F1767" s="3" t="n"/>
      <c r="G1767" s="3" t="n"/>
      <c r="H1767" s="3" t="n"/>
      <c r="I1767" s="3" t="n"/>
      <c r="J1767" s="3" t="n"/>
      <c r="K1767" s="3" t="n"/>
      <c r="L1767" s="3" t="n"/>
      <c r="M1767" s="3" t="n"/>
      <c r="N1767" s="3" t="n"/>
      <c r="O1767" s="3" t="n"/>
      <c r="P1767" s="3" t="n"/>
      <c r="Q1767" s="3" t="n"/>
      <c r="R1767" s="5">
        <f>IF(Q1767&lt;&gt;"是","排除",IF(OR(L1767="",M1767=""),"",IF(OR(L1767="未知",M1767="未知"),"未知",IF(AND(L1767="真",M1767="真"),"TP",IF(AND(L1767="真",M1767="假"),"FP",IF(AND(L1767="假",M1767="真"),"FN","TN"))))))</f>
        <v/>
      </c>
      <c r="S1767" s="3" t="n"/>
      <c r="T1767" s="3" t="n"/>
      <c r="U1767" s="3" t="n"/>
      <c r="V1767" s="3" t="n"/>
    </row>
    <row r="1768">
      <c r="A1768" s="3" t="n"/>
      <c r="B1768" s="3" t="n"/>
      <c r="C1768" s="3" t="n"/>
      <c r="D1768" s="4" t="n"/>
      <c r="E1768" s="3" t="n"/>
      <c r="F1768" s="3" t="n"/>
      <c r="G1768" s="3" t="n"/>
      <c r="H1768" s="3" t="n"/>
      <c r="I1768" s="3" t="n"/>
      <c r="J1768" s="3" t="n"/>
      <c r="K1768" s="3" t="n"/>
      <c r="L1768" s="3" t="n"/>
      <c r="M1768" s="3" t="n"/>
      <c r="N1768" s="3" t="n"/>
      <c r="O1768" s="3" t="n"/>
      <c r="P1768" s="3" t="n"/>
      <c r="Q1768" s="3" t="n"/>
      <c r="R1768" s="5">
        <f>IF(Q1768&lt;&gt;"是","排除",IF(OR(L1768="",M1768=""),"",IF(OR(L1768="未知",M1768="未知"),"未知",IF(AND(L1768="真",M1768="真"),"TP",IF(AND(L1768="真",M1768="假"),"FP",IF(AND(L1768="假",M1768="真"),"FN","TN"))))))</f>
        <v/>
      </c>
      <c r="S1768" s="3" t="n"/>
      <c r="T1768" s="3" t="n"/>
      <c r="U1768" s="3" t="n"/>
      <c r="V1768" s="3" t="n"/>
    </row>
    <row r="1769">
      <c r="A1769" s="3" t="n"/>
      <c r="B1769" s="3" t="n"/>
      <c r="C1769" s="3" t="n"/>
      <c r="D1769" s="4" t="n"/>
      <c r="E1769" s="3" t="n"/>
      <c r="F1769" s="3" t="n"/>
      <c r="G1769" s="3" t="n"/>
      <c r="H1769" s="3" t="n"/>
      <c r="I1769" s="3" t="n"/>
      <c r="J1769" s="3" t="n"/>
      <c r="K1769" s="3" t="n"/>
      <c r="L1769" s="3" t="n"/>
      <c r="M1769" s="3" t="n"/>
      <c r="N1769" s="3" t="n"/>
      <c r="O1769" s="3" t="n"/>
      <c r="P1769" s="3" t="n"/>
      <c r="Q1769" s="3" t="n"/>
      <c r="R1769" s="5">
        <f>IF(Q1769&lt;&gt;"是","排除",IF(OR(L1769="",M1769=""),"",IF(OR(L1769="未知",M1769="未知"),"未知",IF(AND(L1769="真",M1769="真"),"TP",IF(AND(L1769="真",M1769="假"),"FP",IF(AND(L1769="假",M1769="真"),"FN","TN"))))))</f>
        <v/>
      </c>
      <c r="S1769" s="3" t="n"/>
      <c r="T1769" s="3" t="n"/>
      <c r="U1769" s="3" t="n"/>
      <c r="V1769" s="3" t="n"/>
    </row>
    <row r="1770">
      <c r="A1770" s="3" t="n"/>
      <c r="B1770" s="3" t="n"/>
      <c r="C1770" s="3" t="n"/>
      <c r="D1770" s="4" t="n"/>
      <c r="E1770" s="3" t="n"/>
      <c r="F1770" s="3" t="n"/>
      <c r="G1770" s="3" t="n"/>
      <c r="H1770" s="3" t="n"/>
      <c r="I1770" s="3" t="n"/>
      <c r="J1770" s="3" t="n"/>
      <c r="K1770" s="3" t="n"/>
      <c r="L1770" s="3" t="n"/>
      <c r="M1770" s="3" t="n"/>
      <c r="N1770" s="3" t="n"/>
      <c r="O1770" s="3" t="n"/>
      <c r="P1770" s="3" t="n"/>
      <c r="Q1770" s="3" t="n"/>
      <c r="R1770" s="5">
        <f>IF(Q1770&lt;&gt;"是","排除",IF(OR(L1770="",M1770=""),"",IF(OR(L1770="未知",M1770="未知"),"未知",IF(AND(L1770="真",M1770="真"),"TP",IF(AND(L1770="真",M1770="假"),"FP",IF(AND(L1770="假",M1770="真"),"FN","TN"))))))</f>
        <v/>
      </c>
      <c r="S1770" s="3" t="n"/>
      <c r="T1770" s="3" t="n"/>
      <c r="U1770" s="3" t="n"/>
      <c r="V1770" s="3" t="n"/>
    </row>
    <row r="1771">
      <c r="A1771" s="3" t="n"/>
      <c r="B1771" s="3" t="n"/>
      <c r="C1771" s="3" t="n"/>
      <c r="D1771" s="4" t="n"/>
      <c r="E1771" s="3" t="n"/>
      <c r="F1771" s="3" t="n"/>
      <c r="G1771" s="3" t="n"/>
      <c r="H1771" s="3" t="n"/>
      <c r="I1771" s="3" t="n"/>
      <c r="J1771" s="3" t="n"/>
      <c r="K1771" s="3" t="n"/>
      <c r="L1771" s="3" t="n"/>
      <c r="M1771" s="3" t="n"/>
      <c r="N1771" s="3" t="n"/>
      <c r="O1771" s="3" t="n"/>
      <c r="P1771" s="3" t="n"/>
      <c r="Q1771" s="3" t="n"/>
      <c r="R1771" s="5">
        <f>IF(Q1771&lt;&gt;"是","排除",IF(OR(L1771="",M1771=""),"",IF(OR(L1771="未知",M1771="未知"),"未知",IF(AND(L1771="真",M1771="真"),"TP",IF(AND(L1771="真",M1771="假"),"FP",IF(AND(L1771="假",M1771="真"),"FN","TN"))))))</f>
        <v/>
      </c>
      <c r="S1771" s="3" t="n"/>
      <c r="T1771" s="3" t="n"/>
      <c r="U1771" s="3" t="n"/>
      <c r="V1771" s="3" t="n"/>
    </row>
    <row r="1772">
      <c r="A1772" s="3" t="n"/>
      <c r="B1772" s="3" t="n"/>
      <c r="C1772" s="3" t="n"/>
      <c r="D1772" s="4" t="n"/>
      <c r="E1772" s="3" t="n"/>
      <c r="F1772" s="3" t="n"/>
      <c r="G1772" s="3" t="n"/>
      <c r="H1772" s="3" t="n"/>
      <c r="I1772" s="3" t="n"/>
      <c r="J1772" s="3" t="n"/>
      <c r="K1772" s="3" t="n"/>
      <c r="L1772" s="3" t="n"/>
      <c r="M1772" s="3" t="n"/>
      <c r="N1772" s="3" t="n"/>
      <c r="O1772" s="3" t="n"/>
      <c r="P1772" s="3" t="n"/>
      <c r="Q1772" s="3" t="n"/>
      <c r="R1772" s="5">
        <f>IF(Q1772&lt;&gt;"是","排除",IF(OR(L1772="",M1772=""),"",IF(OR(L1772="未知",M1772="未知"),"未知",IF(AND(L1772="真",M1772="真"),"TP",IF(AND(L1772="真",M1772="假"),"FP",IF(AND(L1772="假",M1772="真"),"FN","TN"))))))</f>
        <v/>
      </c>
      <c r="S1772" s="3" t="n"/>
      <c r="T1772" s="3" t="n"/>
      <c r="U1772" s="3" t="n"/>
      <c r="V1772" s="3" t="n"/>
    </row>
    <row r="1773">
      <c r="A1773" s="3" t="n"/>
      <c r="B1773" s="3" t="n"/>
      <c r="C1773" s="3" t="n"/>
      <c r="D1773" s="4" t="n"/>
      <c r="E1773" s="3" t="n"/>
      <c r="F1773" s="3" t="n"/>
      <c r="G1773" s="3" t="n"/>
      <c r="H1773" s="3" t="n"/>
      <c r="I1773" s="3" t="n"/>
      <c r="J1773" s="3" t="n"/>
      <c r="K1773" s="3" t="n"/>
      <c r="L1773" s="3" t="n"/>
      <c r="M1773" s="3" t="n"/>
      <c r="N1773" s="3" t="n"/>
      <c r="O1773" s="3" t="n"/>
      <c r="P1773" s="3" t="n"/>
      <c r="Q1773" s="3" t="n"/>
      <c r="R1773" s="5">
        <f>IF(Q1773&lt;&gt;"是","排除",IF(OR(L1773="",M1773=""),"",IF(OR(L1773="未知",M1773="未知"),"未知",IF(AND(L1773="真",M1773="真"),"TP",IF(AND(L1773="真",M1773="假"),"FP",IF(AND(L1773="假",M1773="真"),"FN","TN"))))))</f>
        <v/>
      </c>
      <c r="S1773" s="3" t="n"/>
      <c r="T1773" s="3" t="n"/>
      <c r="U1773" s="3" t="n"/>
      <c r="V1773" s="3" t="n"/>
    </row>
    <row r="1774">
      <c r="A1774" s="3" t="n"/>
      <c r="B1774" s="3" t="n"/>
      <c r="C1774" s="3" t="n"/>
      <c r="D1774" s="4" t="n"/>
      <c r="E1774" s="3" t="n"/>
      <c r="F1774" s="3" t="n"/>
      <c r="G1774" s="3" t="n"/>
      <c r="H1774" s="3" t="n"/>
      <c r="I1774" s="3" t="n"/>
      <c r="J1774" s="3" t="n"/>
      <c r="K1774" s="3" t="n"/>
      <c r="L1774" s="3" t="n"/>
      <c r="M1774" s="3" t="n"/>
      <c r="N1774" s="3" t="n"/>
      <c r="O1774" s="3" t="n"/>
      <c r="P1774" s="3" t="n"/>
      <c r="Q1774" s="3" t="n"/>
      <c r="R1774" s="5">
        <f>IF(Q1774&lt;&gt;"是","排除",IF(OR(L1774="",M1774=""),"",IF(OR(L1774="未知",M1774="未知"),"未知",IF(AND(L1774="真",M1774="真"),"TP",IF(AND(L1774="真",M1774="假"),"FP",IF(AND(L1774="假",M1774="真"),"FN","TN"))))))</f>
        <v/>
      </c>
      <c r="S1774" s="3" t="n"/>
      <c r="T1774" s="3" t="n"/>
      <c r="U1774" s="3" t="n"/>
      <c r="V1774" s="3" t="n"/>
    </row>
    <row r="1775">
      <c r="A1775" s="3" t="n"/>
      <c r="B1775" s="3" t="n"/>
      <c r="C1775" s="3" t="n"/>
      <c r="D1775" s="4" t="n"/>
      <c r="E1775" s="3" t="n"/>
      <c r="F1775" s="3" t="n"/>
      <c r="G1775" s="3" t="n"/>
      <c r="H1775" s="3" t="n"/>
      <c r="I1775" s="3" t="n"/>
      <c r="J1775" s="3" t="n"/>
      <c r="K1775" s="3" t="n"/>
      <c r="L1775" s="3" t="n"/>
      <c r="M1775" s="3" t="n"/>
      <c r="N1775" s="3" t="n"/>
      <c r="O1775" s="3" t="n"/>
      <c r="P1775" s="3" t="n"/>
      <c r="Q1775" s="3" t="n"/>
      <c r="R1775" s="5">
        <f>IF(Q1775&lt;&gt;"是","排除",IF(OR(L1775="",M1775=""),"",IF(OR(L1775="未知",M1775="未知"),"未知",IF(AND(L1775="真",M1775="真"),"TP",IF(AND(L1775="真",M1775="假"),"FP",IF(AND(L1775="假",M1775="真"),"FN","TN"))))))</f>
        <v/>
      </c>
      <c r="S1775" s="3" t="n"/>
      <c r="T1775" s="3" t="n"/>
      <c r="U1775" s="3" t="n"/>
      <c r="V1775" s="3" t="n"/>
    </row>
    <row r="1776">
      <c r="A1776" s="3" t="n"/>
      <c r="B1776" s="3" t="n"/>
      <c r="C1776" s="3" t="n"/>
      <c r="D1776" s="4" t="n"/>
      <c r="E1776" s="3" t="n"/>
      <c r="F1776" s="3" t="n"/>
      <c r="G1776" s="3" t="n"/>
      <c r="H1776" s="3" t="n"/>
      <c r="I1776" s="3" t="n"/>
      <c r="J1776" s="3" t="n"/>
      <c r="K1776" s="3" t="n"/>
      <c r="L1776" s="3" t="n"/>
      <c r="M1776" s="3" t="n"/>
      <c r="N1776" s="3" t="n"/>
      <c r="O1776" s="3" t="n"/>
      <c r="P1776" s="3" t="n"/>
      <c r="Q1776" s="3" t="n"/>
      <c r="R1776" s="5">
        <f>IF(Q1776&lt;&gt;"是","排除",IF(OR(L1776="",M1776=""),"",IF(OR(L1776="未知",M1776="未知"),"未知",IF(AND(L1776="真",M1776="真"),"TP",IF(AND(L1776="真",M1776="假"),"FP",IF(AND(L1776="假",M1776="真"),"FN","TN"))))))</f>
        <v/>
      </c>
      <c r="S1776" s="3" t="n"/>
      <c r="T1776" s="3" t="n"/>
      <c r="U1776" s="3" t="n"/>
      <c r="V1776" s="3" t="n"/>
    </row>
    <row r="1777">
      <c r="A1777" s="3" t="n"/>
      <c r="B1777" s="3" t="n"/>
      <c r="C1777" s="3" t="n"/>
      <c r="D1777" s="4" t="n"/>
      <c r="E1777" s="3" t="n"/>
      <c r="F1777" s="3" t="n"/>
      <c r="G1777" s="3" t="n"/>
      <c r="H1777" s="3" t="n"/>
      <c r="I1777" s="3" t="n"/>
      <c r="J1777" s="3" t="n"/>
      <c r="K1777" s="3" t="n"/>
      <c r="L1777" s="3" t="n"/>
      <c r="M1777" s="3" t="n"/>
      <c r="N1777" s="3" t="n"/>
      <c r="O1777" s="3" t="n"/>
      <c r="P1777" s="3" t="n"/>
      <c r="Q1777" s="3" t="n"/>
      <c r="R1777" s="5">
        <f>IF(Q1777&lt;&gt;"是","排除",IF(OR(L1777="",M1777=""),"",IF(OR(L1777="未知",M1777="未知"),"未知",IF(AND(L1777="真",M1777="真"),"TP",IF(AND(L1777="真",M1777="假"),"FP",IF(AND(L1777="假",M1777="真"),"FN","TN"))))))</f>
        <v/>
      </c>
      <c r="S1777" s="3" t="n"/>
      <c r="T1777" s="3" t="n"/>
      <c r="U1777" s="3" t="n"/>
      <c r="V1777" s="3" t="n"/>
    </row>
    <row r="1778">
      <c r="A1778" s="3" t="n"/>
      <c r="B1778" s="3" t="n"/>
      <c r="C1778" s="3" t="n"/>
      <c r="D1778" s="4" t="n"/>
      <c r="E1778" s="3" t="n"/>
      <c r="F1778" s="3" t="n"/>
      <c r="G1778" s="3" t="n"/>
      <c r="H1778" s="3" t="n"/>
      <c r="I1778" s="3" t="n"/>
      <c r="J1778" s="3" t="n"/>
      <c r="K1778" s="3" t="n"/>
      <c r="L1778" s="3" t="n"/>
      <c r="M1778" s="3" t="n"/>
      <c r="N1778" s="3" t="n"/>
      <c r="O1778" s="3" t="n"/>
      <c r="P1778" s="3" t="n"/>
      <c r="Q1778" s="3" t="n"/>
      <c r="R1778" s="5">
        <f>IF(Q1778&lt;&gt;"是","排除",IF(OR(L1778="",M1778=""),"",IF(OR(L1778="未知",M1778="未知"),"未知",IF(AND(L1778="真",M1778="真"),"TP",IF(AND(L1778="真",M1778="假"),"FP",IF(AND(L1778="假",M1778="真"),"FN","TN"))))))</f>
        <v/>
      </c>
      <c r="S1778" s="3" t="n"/>
      <c r="T1778" s="3" t="n"/>
      <c r="U1778" s="3" t="n"/>
      <c r="V1778" s="3" t="n"/>
    </row>
    <row r="1779">
      <c r="A1779" s="3" t="n"/>
      <c r="B1779" s="3" t="n"/>
      <c r="C1779" s="3" t="n"/>
      <c r="D1779" s="4" t="n"/>
      <c r="E1779" s="3" t="n"/>
      <c r="F1779" s="3" t="n"/>
      <c r="G1779" s="3" t="n"/>
      <c r="H1779" s="3" t="n"/>
      <c r="I1779" s="3" t="n"/>
      <c r="J1779" s="3" t="n"/>
      <c r="K1779" s="3" t="n"/>
      <c r="L1779" s="3" t="n"/>
      <c r="M1779" s="3" t="n"/>
      <c r="N1779" s="3" t="n"/>
      <c r="O1779" s="3" t="n"/>
      <c r="P1779" s="3" t="n"/>
      <c r="Q1779" s="3" t="n"/>
      <c r="R1779" s="5">
        <f>IF(Q1779&lt;&gt;"是","排除",IF(OR(L1779="",M1779=""),"",IF(OR(L1779="未知",M1779="未知"),"未知",IF(AND(L1779="真",M1779="真"),"TP",IF(AND(L1779="真",M1779="假"),"FP",IF(AND(L1779="假",M1779="真"),"FN","TN"))))))</f>
        <v/>
      </c>
      <c r="S1779" s="3" t="n"/>
      <c r="T1779" s="3" t="n"/>
      <c r="U1779" s="3" t="n"/>
      <c r="V1779" s="3" t="n"/>
    </row>
    <row r="1780">
      <c r="A1780" s="3" t="n"/>
      <c r="B1780" s="3" t="n"/>
      <c r="C1780" s="3" t="n"/>
      <c r="D1780" s="4" t="n"/>
      <c r="E1780" s="3" t="n"/>
      <c r="F1780" s="3" t="n"/>
      <c r="G1780" s="3" t="n"/>
      <c r="H1780" s="3" t="n"/>
      <c r="I1780" s="3" t="n"/>
      <c r="J1780" s="3" t="n"/>
      <c r="K1780" s="3" t="n"/>
      <c r="L1780" s="3" t="n"/>
      <c r="M1780" s="3" t="n"/>
      <c r="N1780" s="3" t="n"/>
      <c r="O1780" s="3" t="n"/>
      <c r="P1780" s="3" t="n"/>
      <c r="Q1780" s="3" t="n"/>
      <c r="R1780" s="5">
        <f>IF(Q1780&lt;&gt;"是","排除",IF(OR(L1780="",M1780=""),"",IF(OR(L1780="未知",M1780="未知"),"未知",IF(AND(L1780="真",M1780="真"),"TP",IF(AND(L1780="真",M1780="假"),"FP",IF(AND(L1780="假",M1780="真"),"FN","TN"))))))</f>
        <v/>
      </c>
      <c r="S1780" s="3" t="n"/>
      <c r="T1780" s="3" t="n"/>
      <c r="U1780" s="3" t="n"/>
      <c r="V1780" s="3" t="n"/>
    </row>
    <row r="1781">
      <c r="A1781" s="3" t="n"/>
      <c r="B1781" s="3" t="n"/>
      <c r="C1781" s="3" t="n"/>
      <c r="D1781" s="4" t="n"/>
      <c r="E1781" s="3" t="n"/>
      <c r="F1781" s="3" t="n"/>
      <c r="G1781" s="3" t="n"/>
      <c r="H1781" s="3" t="n"/>
      <c r="I1781" s="3" t="n"/>
      <c r="J1781" s="3" t="n"/>
      <c r="K1781" s="3" t="n"/>
      <c r="L1781" s="3" t="n"/>
      <c r="M1781" s="3" t="n"/>
      <c r="N1781" s="3" t="n"/>
      <c r="O1781" s="3" t="n"/>
      <c r="P1781" s="3" t="n"/>
      <c r="Q1781" s="3" t="n"/>
      <c r="R1781" s="5">
        <f>IF(Q1781&lt;&gt;"是","排除",IF(OR(L1781="",M1781=""),"",IF(OR(L1781="未知",M1781="未知"),"未知",IF(AND(L1781="真",M1781="真"),"TP",IF(AND(L1781="真",M1781="假"),"FP",IF(AND(L1781="假",M1781="真"),"FN","TN"))))))</f>
        <v/>
      </c>
      <c r="S1781" s="3" t="n"/>
      <c r="T1781" s="3" t="n"/>
      <c r="U1781" s="3" t="n"/>
      <c r="V1781" s="3" t="n"/>
    </row>
    <row r="1782">
      <c r="A1782" s="3" t="n"/>
      <c r="B1782" s="3" t="n"/>
      <c r="C1782" s="3" t="n"/>
      <c r="D1782" s="4" t="n"/>
      <c r="E1782" s="3" t="n"/>
      <c r="F1782" s="3" t="n"/>
      <c r="G1782" s="3" t="n"/>
      <c r="H1782" s="3" t="n"/>
      <c r="I1782" s="3" t="n"/>
      <c r="J1782" s="3" t="n"/>
      <c r="K1782" s="3" t="n"/>
      <c r="L1782" s="3" t="n"/>
      <c r="M1782" s="3" t="n"/>
      <c r="N1782" s="3" t="n"/>
      <c r="O1782" s="3" t="n"/>
      <c r="P1782" s="3" t="n"/>
      <c r="Q1782" s="3" t="n"/>
      <c r="R1782" s="5">
        <f>IF(Q1782&lt;&gt;"是","排除",IF(OR(L1782="",M1782=""),"",IF(OR(L1782="未知",M1782="未知"),"未知",IF(AND(L1782="真",M1782="真"),"TP",IF(AND(L1782="真",M1782="假"),"FP",IF(AND(L1782="假",M1782="真"),"FN","TN"))))))</f>
        <v/>
      </c>
      <c r="S1782" s="3" t="n"/>
      <c r="T1782" s="3" t="n"/>
      <c r="U1782" s="3" t="n"/>
      <c r="V1782" s="3" t="n"/>
    </row>
    <row r="1783">
      <c r="A1783" s="3" t="n"/>
      <c r="B1783" s="3" t="n"/>
      <c r="C1783" s="3" t="n"/>
      <c r="D1783" s="4" t="n"/>
      <c r="E1783" s="3" t="n"/>
      <c r="F1783" s="3" t="n"/>
      <c r="G1783" s="3" t="n"/>
      <c r="H1783" s="3" t="n"/>
      <c r="I1783" s="3" t="n"/>
      <c r="J1783" s="3" t="n"/>
      <c r="K1783" s="3" t="n"/>
      <c r="L1783" s="3" t="n"/>
      <c r="M1783" s="3" t="n"/>
      <c r="N1783" s="3" t="n"/>
      <c r="O1783" s="3" t="n"/>
      <c r="P1783" s="3" t="n"/>
      <c r="Q1783" s="3" t="n"/>
      <c r="R1783" s="5">
        <f>IF(Q1783&lt;&gt;"是","排除",IF(OR(L1783="",M1783=""),"",IF(OR(L1783="未知",M1783="未知"),"未知",IF(AND(L1783="真",M1783="真"),"TP",IF(AND(L1783="真",M1783="假"),"FP",IF(AND(L1783="假",M1783="真"),"FN","TN"))))))</f>
        <v/>
      </c>
      <c r="S1783" s="3" t="n"/>
      <c r="T1783" s="3" t="n"/>
      <c r="U1783" s="3" t="n"/>
      <c r="V1783" s="3" t="n"/>
    </row>
    <row r="1784">
      <c r="A1784" s="3" t="n"/>
      <c r="B1784" s="3" t="n"/>
      <c r="C1784" s="3" t="n"/>
      <c r="D1784" s="4" t="n"/>
      <c r="E1784" s="3" t="n"/>
      <c r="F1784" s="3" t="n"/>
      <c r="G1784" s="3" t="n"/>
      <c r="H1784" s="3" t="n"/>
      <c r="I1784" s="3" t="n"/>
      <c r="J1784" s="3" t="n"/>
      <c r="K1784" s="3" t="n"/>
      <c r="L1784" s="3" t="n"/>
      <c r="M1784" s="3" t="n"/>
      <c r="N1784" s="3" t="n"/>
      <c r="O1784" s="3" t="n"/>
      <c r="P1784" s="3" t="n"/>
      <c r="Q1784" s="3" t="n"/>
      <c r="R1784" s="5">
        <f>IF(Q1784&lt;&gt;"是","排除",IF(OR(L1784="",M1784=""),"",IF(OR(L1784="未知",M1784="未知"),"未知",IF(AND(L1784="真",M1784="真"),"TP",IF(AND(L1784="真",M1784="假"),"FP",IF(AND(L1784="假",M1784="真"),"FN","TN"))))))</f>
        <v/>
      </c>
      <c r="S1784" s="3" t="n"/>
      <c r="T1784" s="3" t="n"/>
      <c r="U1784" s="3" t="n"/>
      <c r="V1784" s="3" t="n"/>
    </row>
    <row r="1785">
      <c r="A1785" s="3" t="n"/>
      <c r="B1785" s="3" t="n"/>
      <c r="C1785" s="3" t="n"/>
      <c r="D1785" s="4" t="n"/>
      <c r="E1785" s="3" t="n"/>
      <c r="F1785" s="3" t="n"/>
      <c r="G1785" s="3" t="n"/>
      <c r="H1785" s="3" t="n"/>
      <c r="I1785" s="3" t="n"/>
      <c r="J1785" s="3" t="n"/>
      <c r="K1785" s="3" t="n"/>
      <c r="L1785" s="3" t="n"/>
      <c r="M1785" s="3" t="n"/>
      <c r="N1785" s="3" t="n"/>
      <c r="O1785" s="3" t="n"/>
      <c r="P1785" s="3" t="n"/>
      <c r="Q1785" s="3" t="n"/>
      <c r="R1785" s="5">
        <f>IF(Q1785&lt;&gt;"是","排除",IF(OR(L1785="",M1785=""),"",IF(OR(L1785="未知",M1785="未知"),"未知",IF(AND(L1785="真",M1785="真"),"TP",IF(AND(L1785="真",M1785="假"),"FP",IF(AND(L1785="假",M1785="真"),"FN","TN"))))))</f>
        <v/>
      </c>
      <c r="S1785" s="3" t="n"/>
      <c r="T1785" s="3" t="n"/>
      <c r="U1785" s="3" t="n"/>
      <c r="V1785" s="3" t="n"/>
    </row>
    <row r="1786">
      <c r="A1786" s="3" t="n"/>
      <c r="B1786" s="3" t="n"/>
      <c r="C1786" s="3" t="n"/>
      <c r="D1786" s="4" t="n"/>
      <c r="E1786" s="3" t="n"/>
      <c r="F1786" s="3" t="n"/>
      <c r="G1786" s="3" t="n"/>
      <c r="H1786" s="3" t="n"/>
      <c r="I1786" s="3" t="n"/>
      <c r="J1786" s="3" t="n"/>
      <c r="K1786" s="3" t="n"/>
      <c r="L1786" s="3" t="n"/>
      <c r="M1786" s="3" t="n"/>
      <c r="N1786" s="3" t="n"/>
      <c r="O1786" s="3" t="n"/>
      <c r="P1786" s="3" t="n"/>
      <c r="Q1786" s="3" t="n"/>
      <c r="R1786" s="5">
        <f>IF(Q1786&lt;&gt;"是","排除",IF(OR(L1786="",M1786=""),"",IF(OR(L1786="未知",M1786="未知"),"未知",IF(AND(L1786="真",M1786="真"),"TP",IF(AND(L1786="真",M1786="假"),"FP",IF(AND(L1786="假",M1786="真"),"FN","TN"))))))</f>
        <v/>
      </c>
      <c r="S1786" s="3" t="n"/>
      <c r="T1786" s="3" t="n"/>
      <c r="U1786" s="3" t="n"/>
      <c r="V1786" s="3" t="n"/>
    </row>
    <row r="1787">
      <c r="A1787" s="3" t="n"/>
      <c r="B1787" s="3" t="n"/>
      <c r="C1787" s="3" t="n"/>
      <c r="D1787" s="4" t="n"/>
      <c r="E1787" s="3" t="n"/>
      <c r="F1787" s="3" t="n"/>
      <c r="G1787" s="3" t="n"/>
      <c r="H1787" s="3" t="n"/>
      <c r="I1787" s="3" t="n"/>
      <c r="J1787" s="3" t="n"/>
      <c r="K1787" s="3" t="n"/>
      <c r="L1787" s="3" t="n"/>
      <c r="M1787" s="3" t="n"/>
      <c r="N1787" s="3" t="n"/>
      <c r="O1787" s="3" t="n"/>
      <c r="P1787" s="3" t="n"/>
      <c r="Q1787" s="3" t="n"/>
      <c r="R1787" s="5">
        <f>IF(Q1787&lt;&gt;"是","排除",IF(OR(L1787="",M1787=""),"",IF(OR(L1787="未知",M1787="未知"),"未知",IF(AND(L1787="真",M1787="真"),"TP",IF(AND(L1787="真",M1787="假"),"FP",IF(AND(L1787="假",M1787="真"),"FN","TN"))))))</f>
        <v/>
      </c>
      <c r="S1787" s="3" t="n"/>
      <c r="T1787" s="3" t="n"/>
      <c r="U1787" s="3" t="n"/>
      <c r="V1787" s="3" t="n"/>
    </row>
    <row r="1788">
      <c r="A1788" s="3" t="n"/>
      <c r="B1788" s="3" t="n"/>
      <c r="C1788" s="3" t="n"/>
      <c r="D1788" s="4" t="n"/>
      <c r="E1788" s="3" t="n"/>
      <c r="F1788" s="3" t="n"/>
      <c r="G1788" s="3" t="n"/>
      <c r="H1788" s="3" t="n"/>
      <c r="I1788" s="3" t="n"/>
      <c r="J1788" s="3" t="n"/>
      <c r="K1788" s="3" t="n"/>
      <c r="L1788" s="3" t="n"/>
      <c r="M1788" s="3" t="n"/>
      <c r="N1788" s="3" t="n"/>
      <c r="O1788" s="3" t="n"/>
      <c r="P1788" s="3" t="n"/>
      <c r="Q1788" s="3" t="n"/>
      <c r="R1788" s="5">
        <f>IF(Q1788&lt;&gt;"是","排除",IF(OR(L1788="",M1788=""),"",IF(OR(L1788="未知",M1788="未知"),"未知",IF(AND(L1788="真",M1788="真"),"TP",IF(AND(L1788="真",M1788="假"),"FP",IF(AND(L1788="假",M1788="真"),"FN","TN"))))))</f>
        <v/>
      </c>
      <c r="S1788" s="3" t="n"/>
      <c r="T1788" s="3" t="n"/>
      <c r="U1788" s="3" t="n"/>
      <c r="V1788" s="3" t="n"/>
    </row>
    <row r="1789">
      <c r="A1789" s="3" t="n"/>
      <c r="B1789" s="3" t="n"/>
      <c r="C1789" s="3" t="n"/>
      <c r="D1789" s="4" t="n"/>
      <c r="E1789" s="3" t="n"/>
      <c r="F1789" s="3" t="n"/>
      <c r="G1789" s="3" t="n"/>
      <c r="H1789" s="3" t="n"/>
      <c r="I1789" s="3" t="n"/>
      <c r="J1789" s="3" t="n"/>
      <c r="K1789" s="3" t="n"/>
      <c r="L1789" s="3" t="n"/>
      <c r="M1789" s="3" t="n"/>
      <c r="N1789" s="3" t="n"/>
      <c r="O1789" s="3" t="n"/>
      <c r="P1789" s="3" t="n"/>
      <c r="Q1789" s="3" t="n"/>
      <c r="R1789" s="5">
        <f>IF(Q1789&lt;&gt;"是","排除",IF(OR(L1789="",M1789=""),"",IF(OR(L1789="未知",M1789="未知"),"未知",IF(AND(L1789="真",M1789="真"),"TP",IF(AND(L1789="真",M1789="假"),"FP",IF(AND(L1789="假",M1789="真"),"FN","TN"))))))</f>
        <v/>
      </c>
      <c r="S1789" s="3" t="n"/>
      <c r="T1789" s="3" t="n"/>
      <c r="U1789" s="3" t="n"/>
      <c r="V1789" s="3" t="n"/>
    </row>
    <row r="1790">
      <c r="A1790" s="3" t="n"/>
      <c r="B1790" s="3" t="n"/>
      <c r="C1790" s="3" t="n"/>
      <c r="D1790" s="4" t="n"/>
      <c r="E1790" s="3" t="n"/>
      <c r="F1790" s="3" t="n"/>
      <c r="G1790" s="3" t="n"/>
      <c r="H1790" s="3" t="n"/>
      <c r="I1790" s="3" t="n"/>
      <c r="J1790" s="3" t="n"/>
      <c r="K1790" s="3" t="n"/>
      <c r="L1790" s="3" t="n"/>
      <c r="M1790" s="3" t="n"/>
      <c r="N1790" s="3" t="n"/>
      <c r="O1790" s="3" t="n"/>
      <c r="P1790" s="3" t="n"/>
      <c r="Q1790" s="3" t="n"/>
      <c r="R1790" s="5">
        <f>IF(Q1790&lt;&gt;"是","排除",IF(OR(L1790="",M1790=""),"",IF(OR(L1790="未知",M1790="未知"),"未知",IF(AND(L1790="真",M1790="真"),"TP",IF(AND(L1790="真",M1790="假"),"FP",IF(AND(L1790="假",M1790="真"),"FN","TN"))))))</f>
        <v/>
      </c>
      <c r="S1790" s="3" t="n"/>
      <c r="T1790" s="3" t="n"/>
      <c r="U1790" s="3" t="n"/>
      <c r="V1790" s="3" t="n"/>
    </row>
    <row r="1791">
      <c r="A1791" s="3" t="n"/>
      <c r="B1791" s="3" t="n"/>
      <c r="C1791" s="3" t="n"/>
      <c r="D1791" s="4" t="n"/>
      <c r="E1791" s="3" t="n"/>
      <c r="F1791" s="3" t="n"/>
      <c r="G1791" s="3" t="n"/>
      <c r="H1791" s="3" t="n"/>
      <c r="I1791" s="3" t="n"/>
      <c r="J1791" s="3" t="n"/>
      <c r="K1791" s="3" t="n"/>
      <c r="L1791" s="3" t="n"/>
      <c r="M1791" s="3" t="n"/>
      <c r="N1791" s="3" t="n"/>
      <c r="O1791" s="3" t="n"/>
      <c r="P1791" s="3" t="n"/>
      <c r="Q1791" s="3" t="n"/>
      <c r="R1791" s="5">
        <f>IF(Q1791&lt;&gt;"是","排除",IF(OR(L1791="",M1791=""),"",IF(OR(L1791="未知",M1791="未知"),"未知",IF(AND(L1791="真",M1791="真"),"TP",IF(AND(L1791="真",M1791="假"),"FP",IF(AND(L1791="假",M1791="真"),"FN","TN"))))))</f>
        <v/>
      </c>
      <c r="S1791" s="3" t="n"/>
      <c r="T1791" s="3" t="n"/>
      <c r="U1791" s="3" t="n"/>
      <c r="V1791" s="3" t="n"/>
    </row>
    <row r="1792">
      <c r="A1792" s="3" t="n"/>
      <c r="B1792" s="3" t="n"/>
      <c r="C1792" s="3" t="n"/>
      <c r="D1792" s="4" t="n"/>
      <c r="E1792" s="3" t="n"/>
      <c r="F1792" s="3" t="n"/>
      <c r="G1792" s="3" t="n"/>
      <c r="H1792" s="3" t="n"/>
      <c r="I1792" s="3" t="n"/>
      <c r="J1792" s="3" t="n"/>
      <c r="K1792" s="3" t="n"/>
      <c r="L1792" s="3" t="n"/>
      <c r="M1792" s="3" t="n"/>
      <c r="N1792" s="3" t="n"/>
      <c r="O1792" s="3" t="n"/>
      <c r="P1792" s="3" t="n"/>
      <c r="Q1792" s="3" t="n"/>
      <c r="R1792" s="5">
        <f>IF(Q1792&lt;&gt;"是","排除",IF(OR(L1792="",M1792=""),"",IF(OR(L1792="未知",M1792="未知"),"未知",IF(AND(L1792="真",M1792="真"),"TP",IF(AND(L1792="真",M1792="假"),"FP",IF(AND(L1792="假",M1792="真"),"FN","TN"))))))</f>
        <v/>
      </c>
      <c r="S1792" s="3" t="n"/>
      <c r="T1792" s="3" t="n"/>
      <c r="U1792" s="3" t="n"/>
      <c r="V1792" s="3" t="n"/>
    </row>
    <row r="1793">
      <c r="A1793" s="3" t="n"/>
      <c r="B1793" s="3" t="n"/>
      <c r="C1793" s="3" t="n"/>
      <c r="D1793" s="4" t="n"/>
      <c r="E1793" s="3" t="n"/>
      <c r="F1793" s="3" t="n"/>
      <c r="G1793" s="3" t="n"/>
      <c r="H1793" s="3" t="n"/>
      <c r="I1793" s="3" t="n"/>
      <c r="J1793" s="3" t="n"/>
      <c r="K1793" s="3" t="n"/>
      <c r="L1793" s="3" t="n"/>
      <c r="M1793" s="3" t="n"/>
      <c r="N1793" s="3" t="n"/>
      <c r="O1793" s="3" t="n"/>
      <c r="P1793" s="3" t="n"/>
      <c r="Q1793" s="3" t="n"/>
      <c r="R1793" s="5">
        <f>IF(Q1793&lt;&gt;"是","排除",IF(OR(L1793="",M1793=""),"",IF(OR(L1793="未知",M1793="未知"),"未知",IF(AND(L1793="真",M1793="真"),"TP",IF(AND(L1793="真",M1793="假"),"FP",IF(AND(L1793="假",M1793="真"),"FN","TN"))))))</f>
        <v/>
      </c>
      <c r="S1793" s="3" t="n"/>
      <c r="T1793" s="3" t="n"/>
      <c r="U1793" s="3" t="n"/>
      <c r="V1793" s="3" t="n"/>
    </row>
    <row r="1794">
      <c r="A1794" s="3" t="n"/>
      <c r="B1794" s="3" t="n"/>
      <c r="C1794" s="3" t="n"/>
      <c r="D1794" s="4" t="n"/>
      <c r="E1794" s="3" t="n"/>
      <c r="F1794" s="3" t="n"/>
      <c r="G1794" s="3" t="n"/>
      <c r="H1794" s="3" t="n"/>
      <c r="I1794" s="3" t="n"/>
      <c r="J1794" s="3" t="n"/>
      <c r="K1794" s="3" t="n"/>
      <c r="L1794" s="3" t="n"/>
      <c r="M1794" s="3" t="n"/>
      <c r="N1794" s="3" t="n"/>
      <c r="O1794" s="3" t="n"/>
      <c r="P1794" s="3" t="n"/>
      <c r="Q1794" s="3" t="n"/>
      <c r="R1794" s="5">
        <f>IF(Q1794&lt;&gt;"是","排除",IF(OR(L1794="",M1794=""),"",IF(OR(L1794="未知",M1794="未知"),"未知",IF(AND(L1794="真",M1794="真"),"TP",IF(AND(L1794="真",M1794="假"),"FP",IF(AND(L1794="假",M1794="真"),"FN","TN"))))))</f>
        <v/>
      </c>
      <c r="S1794" s="3" t="n"/>
      <c r="T1794" s="3" t="n"/>
      <c r="U1794" s="3" t="n"/>
      <c r="V1794" s="3" t="n"/>
    </row>
    <row r="1795">
      <c r="A1795" s="3" t="n"/>
      <c r="B1795" s="3" t="n"/>
      <c r="C1795" s="3" t="n"/>
      <c r="D1795" s="4" t="n"/>
      <c r="E1795" s="3" t="n"/>
      <c r="F1795" s="3" t="n"/>
      <c r="G1795" s="3" t="n"/>
      <c r="H1795" s="3" t="n"/>
      <c r="I1795" s="3" t="n"/>
      <c r="J1795" s="3" t="n"/>
      <c r="K1795" s="3" t="n"/>
      <c r="L1795" s="3" t="n"/>
      <c r="M1795" s="3" t="n"/>
      <c r="N1795" s="3" t="n"/>
      <c r="O1795" s="3" t="n"/>
      <c r="P1795" s="3" t="n"/>
      <c r="Q1795" s="3" t="n"/>
      <c r="R1795" s="5">
        <f>IF(Q1795&lt;&gt;"是","排除",IF(OR(L1795="",M1795=""),"",IF(OR(L1795="未知",M1795="未知"),"未知",IF(AND(L1795="真",M1795="真"),"TP",IF(AND(L1795="真",M1795="假"),"FP",IF(AND(L1795="假",M1795="真"),"FN","TN"))))))</f>
        <v/>
      </c>
      <c r="S1795" s="3" t="n"/>
      <c r="T1795" s="3" t="n"/>
      <c r="U1795" s="3" t="n"/>
      <c r="V1795" s="3" t="n"/>
    </row>
    <row r="1796">
      <c r="A1796" s="3" t="n"/>
      <c r="B1796" s="3" t="n"/>
      <c r="C1796" s="3" t="n"/>
      <c r="D1796" s="4" t="n"/>
      <c r="E1796" s="3" t="n"/>
      <c r="F1796" s="3" t="n"/>
      <c r="G1796" s="3" t="n"/>
      <c r="H1796" s="3" t="n"/>
      <c r="I1796" s="3" t="n"/>
      <c r="J1796" s="3" t="n"/>
      <c r="K1796" s="3" t="n"/>
      <c r="L1796" s="3" t="n"/>
      <c r="M1796" s="3" t="n"/>
      <c r="N1796" s="3" t="n"/>
      <c r="O1796" s="3" t="n"/>
      <c r="P1796" s="3" t="n"/>
      <c r="Q1796" s="3" t="n"/>
      <c r="R1796" s="5">
        <f>IF(Q1796&lt;&gt;"是","排除",IF(OR(L1796="",M1796=""),"",IF(OR(L1796="未知",M1796="未知"),"未知",IF(AND(L1796="真",M1796="真"),"TP",IF(AND(L1796="真",M1796="假"),"FP",IF(AND(L1796="假",M1796="真"),"FN","TN"))))))</f>
        <v/>
      </c>
      <c r="S1796" s="3" t="n"/>
      <c r="T1796" s="3" t="n"/>
      <c r="U1796" s="3" t="n"/>
      <c r="V1796" s="3" t="n"/>
    </row>
    <row r="1797">
      <c r="A1797" s="3" t="n"/>
      <c r="B1797" s="3" t="n"/>
      <c r="C1797" s="3" t="n"/>
      <c r="D1797" s="4" t="n"/>
      <c r="E1797" s="3" t="n"/>
      <c r="F1797" s="3" t="n"/>
      <c r="G1797" s="3" t="n"/>
      <c r="H1797" s="3" t="n"/>
      <c r="I1797" s="3" t="n"/>
      <c r="J1797" s="3" t="n"/>
      <c r="K1797" s="3" t="n"/>
      <c r="L1797" s="3" t="n"/>
      <c r="M1797" s="3" t="n"/>
      <c r="N1797" s="3" t="n"/>
      <c r="O1797" s="3" t="n"/>
      <c r="P1797" s="3" t="n"/>
      <c r="Q1797" s="3" t="n"/>
      <c r="R1797" s="5">
        <f>IF(Q1797&lt;&gt;"是","排除",IF(OR(L1797="",M1797=""),"",IF(OR(L1797="未知",M1797="未知"),"未知",IF(AND(L1797="真",M1797="真"),"TP",IF(AND(L1797="真",M1797="假"),"FP",IF(AND(L1797="假",M1797="真"),"FN","TN"))))))</f>
        <v/>
      </c>
      <c r="S1797" s="3" t="n"/>
      <c r="T1797" s="3" t="n"/>
      <c r="U1797" s="3" t="n"/>
      <c r="V1797" s="3" t="n"/>
    </row>
    <row r="1798">
      <c r="A1798" s="3" t="n"/>
      <c r="B1798" s="3" t="n"/>
      <c r="C1798" s="3" t="n"/>
      <c r="D1798" s="4" t="n"/>
      <c r="E1798" s="3" t="n"/>
      <c r="F1798" s="3" t="n"/>
      <c r="G1798" s="3" t="n"/>
      <c r="H1798" s="3" t="n"/>
      <c r="I1798" s="3" t="n"/>
      <c r="J1798" s="3" t="n"/>
      <c r="K1798" s="3" t="n"/>
      <c r="L1798" s="3" t="n"/>
      <c r="M1798" s="3" t="n"/>
      <c r="N1798" s="3" t="n"/>
      <c r="O1798" s="3" t="n"/>
      <c r="P1798" s="3" t="n"/>
      <c r="Q1798" s="3" t="n"/>
      <c r="R1798" s="5">
        <f>IF(Q1798&lt;&gt;"是","排除",IF(OR(L1798="",M1798=""),"",IF(OR(L1798="未知",M1798="未知"),"未知",IF(AND(L1798="真",M1798="真"),"TP",IF(AND(L1798="真",M1798="假"),"FP",IF(AND(L1798="假",M1798="真"),"FN","TN"))))))</f>
        <v/>
      </c>
      <c r="S1798" s="3" t="n"/>
      <c r="T1798" s="3" t="n"/>
      <c r="U1798" s="3" t="n"/>
      <c r="V1798" s="3" t="n"/>
    </row>
    <row r="1799">
      <c r="A1799" s="3" t="n"/>
      <c r="B1799" s="3" t="n"/>
      <c r="C1799" s="3" t="n"/>
      <c r="D1799" s="4" t="n"/>
      <c r="E1799" s="3" t="n"/>
      <c r="F1799" s="3" t="n"/>
      <c r="G1799" s="3" t="n"/>
      <c r="H1799" s="3" t="n"/>
      <c r="I1799" s="3" t="n"/>
      <c r="J1799" s="3" t="n"/>
      <c r="K1799" s="3" t="n"/>
      <c r="L1799" s="3" t="n"/>
      <c r="M1799" s="3" t="n"/>
      <c r="N1799" s="3" t="n"/>
      <c r="O1799" s="3" t="n"/>
      <c r="P1799" s="3" t="n"/>
      <c r="Q1799" s="3" t="n"/>
      <c r="R1799" s="5">
        <f>IF(Q1799&lt;&gt;"是","排除",IF(OR(L1799="",M1799=""),"",IF(OR(L1799="未知",M1799="未知"),"未知",IF(AND(L1799="真",M1799="真"),"TP",IF(AND(L1799="真",M1799="假"),"FP",IF(AND(L1799="假",M1799="真"),"FN","TN"))))))</f>
        <v/>
      </c>
      <c r="S1799" s="3" t="n"/>
      <c r="T1799" s="3" t="n"/>
      <c r="U1799" s="3" t="n"/>
      <c r="V1799" s="3" t="n"/>
    </row>
    <row r="1800">
      <c r="A1800" s="3" t="n"/>
      <c r="B1800" s="3" t="n"/>
      <c r="C1800" s="3" t="n"/>
      <c r="D1800" s="4" t="n"/>
      <c r="E1800" s="3" t="n"/>
      <c r="F1800" s="3" t="n"/>
      <c r="G1800" s="3" t="n"/>
      <c r="H1800" s="3" t="n"/>
      <c r="I1800" s="3" t="n"/>
      <c r="J1800" s="3" t="n"/>
      <c r="K1800" s="3" t="n"/>
      <c r="L1800" s="3" t="n"/>
      <c r="M1800" s="3" t="n"/>
      <c r="N1800" s="3" t="n"/>
      <c r="O1800" s="3" t="n"/>
      <c r="P1800" s="3" t="n"/>
      <c r="Q1800" s="3" t="n"/>
      <c r="R1800" s="5">
        <f>IF(Q1800&lt;&gt;"是","排除",IF(OR(L1800="",M1800=""),"",IF(OR(L1800="未知",M1800="未知"),"未知",IF(AND(L1800="真",M1800="真"),"TP",IF(AND(L1800="真",M1800="假"),"FP",IF(AND(L1800="假",M1800="真"),"FN","TN"))))))</f>
        <v/>
      </c>
      <c r="S1800" s="3" t="n"/>
      <c r="T1800" s="3" t="n"/>
      <c r="U1800" s="3" t="n"/>
      <c r="V1800" s="3" t="n"/>
    </row>
    <row r="1801">
      <c r="A1801" s="3" t="n"/>
      <c r="B1801" s="3" t="n"/>
      <c r="C1801" s="3" t="n"/>
      <c r="D1801" s="4" t="n"/>
      <c r="E1801" s="3" t="n"/>
      <c r="F1801" s="3" t="n"/>
      <c r="G1801" s="3" t="n"/>
      <c r="H1801" s="3" t="n"/>
      <c r="I1801" s="3" t="n"/>
      <c r="J1801" s="3" t="n"/>
      <c r="K1801" s="3" t="n"/>
      <c r="L1801" s="3" t="n"/>
      <c r="M1801" s="3" t="n"/>
      <c r="N1801" s="3" t="n"/>
      <c r="O1801" s="3" t="n"/>
      <c r="P1801" s="3" t="n"/>
      <c r="Q1801" s="3" t="n"/>
      <c r="R1801" s="5">
        <f>IF(Q1801&lt;&gt;"是","排除",IF(OR(L1801="",M1801=""),"",IF(OR(L1801="未知",M1801="未知"),"未知",IF(AND(L1801="真",M1801="真"),"TP",IF(AND(L1801="真",M1801="假"),"FP",IF(AND(L1801="假",M1801="真"),"FN","TN"))))))</f>
        <v/>
      </c>
      <c r="S1801" s="3" t="n"/>
      <c r="T1801" s="3" t="n"/>
      <c r="U1801" s="3" t="n"/>
      <c r="V1801" s="3" t="n"/>
    </row>
    <row r="1802">
      <c r="A1802" s="3" t="n"/>
      <c r="B1802" s="3" t="n"/>
      <c r="C1802" s="3" t="n"/>
      <c r="D1802" s="4" t="n"/>
      <c r="E1802" s="3" t="n"/>
      <c r="F1802" s="3" t="n"/>
      <c r="G1802" s="3" t="n"/>
      <c r="H1802" s="3" t="n"/>
      <c r="I1802" s="3" t="n"/>
      <c r="J1802" s="3" t="n"/>
      <c r="K1802" s="3" t="n"/>
      <c r="L1802" s="3" t="n"/>
      <c r="M1802" s="3" t="n"/>
      <c r="N1802" s="3" t="n"/>
      <c r="O1802" s="3" t="n"/>
      <c r="P1802" s="3" t="n"/>
      <c r="Q1802" s="3" t="n"/>
      <c r="R1802" s="5">
        <f>IF(Q1802&lt;&gt;"是","排除",IF(OR(L1802="",M1802=""),"",IF(OR(L1802="未知",M1802="未知"),"未知",IF(AND(L1802="真",M1802="真"),"TP",IF(AND(L1802="真",M1802="假"),"FP",IF(AND(L1802="假",M1802="真"),"FN","TN"))))))</f>
        <v/>
      </c>
      <c r="S1802" s="3" t="n"/>
      <c r="T1802" s="3" t="n"/>
      <c r="U1802" s="3" t="n"/>
      <c r="V1802" s="3" t="n"/>
    </row>
    <row r="1803">
      <c r="A1803" s="3" t="n"/>
      <c r="B1803" s="3" t="n"/>
      <c r="C1803" s="3" t="n"/>
      <c r="D1803" s="4" t="n"/>
      <c r="E1803" s="3" t="n"/>
      <c r="F1803" s="3" t="n"/>
      <c r="G1803" s="3" t="n"/>
      <c r="H1803" s="3" t="n"/>
      <c r="I1803" s="3" t="n"/>
      <c r="J1803" s="3" t="n"/>
      <c r="K1803" s="3" t="n"/>
      <c r="L1803" s="3" t="n"/>
      <c r="M1803" s="3" t="n"/>
      <c r="N1803" s="3" t="n"/>
      <c r="O1803" s="3" t="n"/>
      <c r="P1803" s="3" t="n"/>
      <c r="Q1803" s="3" t="n"/>
      <c r="R1803" s="5">
        <f>IF(Q1803&lt;&gt;"是","排除",IF(OR(L1803="",M1803=""),"",IF(OR(L1803="未知",M1803="未知"),"未知",IF(AND(L1803="真",M1803="真"),"TP",IF(AND(L1803="真",M1803="假"),"FP",IF(AND(L1803="假",M1803="真"),"FN","TN"))))))</f>
        <v/>
      </c>
      <c r="S1803" s="3" t="n"/>
      <c r="T1803" s="3" t="n"/>
      <c r="U1803" s="3" t="n"/>
      <c r="V1803" s="3" t="n"/>
    </row>
    <row r="1804">
      <c r="A1804" s="3" t="n"/>
      <c r="B1804" s="3" t="n"/>
      <c r="C1804" s="3" t="n"/>
      <c r="D1804" s="4" t="n"/>
      <c r="E1804" s="3" t="n"/>
      <c r="F1804" s="3" t="n"/>
      <c r="G1804" s="3" t="n"/>
      <c r="H1804" s="3" t="n"/>
      <c r="I1804" s="3" t="n"/>
      <c r="J1804" s="3" t="n"/>
      <c r="K1804" s="3" t="n"/>
      <c r="L1804" s="3" t="n"/>
      <c r="M1804" s="3" t="n"/>
      <c r="N1804" s="3" t="n"/>
      <c r="O1804" s="3" t="n"/>
      <c r="P1804" s="3" t="n"/>
      <c r="Q1804" s="3" t="n"/>
      <c r="R1804" s="5">
        <f>IF(Q1804&lt;&gt;"是","排除",IF(OR(L1804="",M1804=""),"",IF(OR(L1804="未知",M1804="未知"),"未知",IF(AND(L1804="真",M1804="真"),"TP",IF(AND(L1804="真",M1804="假"),"FP",IF(AND(L1804="假",M1804="真"),"FN","TN"))))))</f>
        <v/>
      </c>
      <c r="S1804" s="3" t="n"/>
      <c r="T1804" s="3" t="n"/>
      <c r="U1804" s="3" t="n"/>
      <c r="V1804" s="3" t="n"/>
    </row>
    <row r="1805">
      <c r="A1805" s="3" t="n"/>
      <c r="B1805" s="3" t="n"/>
      <c r="C1805" s="3" t="n"/>
      <c r="D1805" s="4" t="n"/>
      <c r="E1805" s="3" t="n"/>
      <c r="F1805" s="3" t="n"/>
      <c r="G1805" s="3" t="n"/>
      <c r="H1805" s="3" t="n"/>
      <c r="I1805" s="3" t="n"/>
      <c r="J1805" s="3" t="n"/>
      <c r="K1805" s="3" t="n"/>
      <c r="L1805" s="3" t="n"/>
      <c r="M1805" s="3" t="n"/>
      <c r="N1805" s="3" t="n"/>
      <c r="O1805" s="3" t="n"/>
      <c r="P1805" s="3" t="n"/>
      <c r="Q1805" s="3" t="n"/>
      <c r="R1805" s="5">
        <f>IF(Q1805&lt;&gt;"是","排除",IF(OR(L1805="",M1805=""),"",IF(OR(L1805="未知",M1805="未知"),"未知",IF(AND(L1805="真",M1805="真"),"TP",IF(AND(L1805="真",M1805="假"),"FP",IF(AND(L1805="假",M1805="真"),"FN","TN"))))))</f>
        <v/>
      </c>
      <c r="S1805" s="3" t="n"/>
      <c r="T1805" s="3" t="n"/>
      <c r="U1805" s="3" t="n"/>
      <c r="V1805" s="3" t="n"/>
    </row>
    <row r="1806">
      <c r="A1806" s="3" t="n"/>
      <c r="B1806" s="3" t="n"/>
      <c r="C1806" s="3" t="n"/>
      <c r="D1806" s="4" t="n"/>
      <c r="E1806" s="3" t="n"/>
      <c r="F1806" s="3" t="n"/>
      <c r="G1806" s="3" t="n"/>
      <c r="H1806" s="3" t="n"/>
      <c r="I1806" s="3" t="n"/>
      <c r="J1806" s="3" t="n"/>
      <c r="K1806" s="3" t="n"/>
      <c r="L1806" s="3" t="n"/>
      <c r="M1806" s="3" t="n"/>
      <c r="N1806" s="3" t="n"/>
      <c r="O1806" s="3" t="n"/>
      <c r="P1806" s="3" t="n"/>
      <c r="Q1806" s="3" t="n"/>
      <c r="R1806" s="5">
        <f>IF(Q1806&lt;&gt;"是","排除",IF(OR(L1806="",M1806=""),"",IF(OR(L1806="未知",M1806="未知"),"未知",IF(AND(L1806="真",M1806="真"),"TP",IF(AND(L1806="真",M1806="假"),"FP",IF(AND(L1806="假",M1806="真"),"FN","TN"))))))</f>
        <v/>
      </c>
      <c r="S1806" s="3" t="n"/>
      <c r="T1806" s="3" t="n"/>
      <c r="U1806" s="3" t="n"/>
      <c r="V1806" s="3" t="n"/>
    </row>
    <row r="1807">
      <c r="A1807" s="3" t="n"/>
      <c r="B1807" s="3" t="n"/>
      <c r="C1807" s="3" t="n"/>
      <c r="D1807" s="4" t="n"/>
      <c r="E1807" s="3" t="n"/>
      <c r="F1807" s="3" t="n"/>
      <c r="G1807" s="3" t="n"/>
      <c r="H1807" s="3" t="n"/>
      <c r="I1807" s="3" t="n"/>
      <c r="J1807" s="3" t="n"/>
      <c r="K1807" s="3" t="n"/>
      <c r="L1807" s="3" t="n"/>
      <c r="M1807" s="3" t="n"/>
      <c r="N1807" s="3" t="n"/>
      <c r="O1807" s="3" t="n"/>
      <c r="P1807" s="3" t="n"/>
      <c r="Q1807" s="3" t="n"/>
      <c r="R1807" s="5">
        <f>IF(Q1807&lt;&gt;"是","排除",IF(OR(L1807="",M1807=""),"",IF(OR(L1807="未知",M1807="未知"),"未知",IF(AND(L1807="真",M1807="真"),"TP",IF(AND(L1807="真",M1807="假"),"FP",IF(AND(L1807="假",M1807="真"),"FN","TN"))))))</f>
        <v/>
      </c>
      <c r="S1807" s="3" t="n"/>
      <c r="T1807" s="3" t="n"/>
      <c r="U1807" s="3" t="n"/>
      <c r="V1807" s="3" t="n"/>
    </row>
    <row r="1808">
      <c r="A1808" s="3" t="n"/>
      <c r="B1808" s="3" t="n"/>
      <c r="C1808" s="3" t="n"/>
      <c r="D1808" s="4" t="n"/>
      <c r="E1808" s="3" t="n"/>
      <c r="F1808" s="3" t="n"/>
      <c r="G1808" s="3" t="n"/>
      <c r="H1808" s="3" t="n"/>
      <c r="I1808" s="3" t="n"/>
      <c r="J1808" s="3" t="n"/>
      <c r="K1808" s="3" t="n"/>
      <c r="L1808" s="3" t="n"/>
      <c r="M1808" s="3" t="n"/>
      <c r="N1808" s="3" t="n"/>
      <c r="O1808" s="3" t="n"/>
      <c r="P1808" s="3" t="n"/>
      <c r="Q1808" s="3" t="n"/>
      <c r="R1808" s="5">
        <f>IF(Q1808&lt;&gt;"是","排除",IF(OR(L1808="",M1808=""),"",IF(OR(L1808="未知",M1808="未知"),"未知",IF(AND(L1808="真",M1808="真"),"TP",IF(AND(L1808="真",M1808="假"),"FP",IF(AND(L1808="假",M1808="真"),"FN","TN"))))))</f>
        <v/>
      </c>
      <c r="S1808" s="3" t="n"/>
      <c r="T1808" s="3" t="n"/>
      <c r="U1808" s="3" t="n"/>
      <c r="V1808" s="3" t="n"/>
    </row>
    <row r="1809">
      <c r="A1809" s="3" t="n"/>
      <c r="B1809" s="3" t="n"/>
      <c r="C1809" s="3" t="n"/>
      <c r="D1809" s="4" t="n"/>
      <c r="E1809" s="3" t="n"/>
      <c r="F1809" s="3" t="n"/>
      <c r="G1809" s="3" t="n"/>
      <c r="H1809" s="3" t="n"/>
      <c r="I1809" s="3" t="n"/>
      <c r="J1809" s="3" t="n"/>
      <c r="K1809" s="3" t="n"/>
      <c r="L1809" s="3" t="n"/>
      <c r="M1809" s="3" t="n"/>
      <c r="N1809" s="3" t="n"/>
      <c r="O1809" s="3" t="n"/>
      <c r="P1809" s="3" t="n"/>
      <c r="Q1809" s="3" t="n"/>
      <c r="R1809" s="5">
        <f>IF(Q1809&lt;&gt;"是","排除",IF(OR(L1809="",M1809=""),"",IF(OR(L1809="未知",M1809="未知"),"未知",IF(AND(L1809="真",M1809="真"),"TP",IF(AND(L1809="真",M1809="假"),"FP",IF(AND(L1809="假",M1809="真"),"FN","TN"))))))</f>
        <v/>
      </c>
      <c r="S1809" s="3" t="n"/>
      <c r="T1809" s="3" t="n"/>
      <c r="U1809" s="3" t="n"/>
      <c r="V1809" s="3" t="n"/>
    </row>
    <row r="1810">
      <c r="A1810" s="3" t="n"/>
      <c r="B1810" s="3" t="n"/>
      <c r="C1810" s="3" t="n"/>
      <c r="D1810" s="4" t="n"/>
      <c r="E1810" s="3" t="n"/>
      <c r="F1810" s="3" t="n"/>
      <c r="G1810" s="3" t="n"/>
      <c r="H1810" s="3" t="n"/>
      <c r="I1810" s="3" t="n"/>
      <c r="J1810" s="3" t="n"/>
      <c r="K1810" s="3" t="n"/>
      <c r="L1810" s="3" t="n"/>
      <c r="M1810" s="3" t="n"/>
      <c r="N1810" s="3" t="n"/>
      <c r="O1810" s="3" t="n"/>
      <c r="P1810" s="3" t="n"/>
      <c r="Q1810" s="3" t="n"/>
      <c r="R1810" s="5">
        <f>IF(Q1810&lt;&gt;"是","排除",IF(OR(L1810="",M1810=""),"",IF(OR(L1810="未知",M1810="未知"),"未知",IF(AND(L1810="真",M1810="真"),"TP",IF(AND(L1810="真",M1810="假"),"FP",IF(AND(L1810="假",M1810="真"),"FN","TN"))))))</f>
        <v/>
      </c>
      <c r="S1810" s="3" t="n"/>
      <c r="T1810" s="3" t="n"/>
      <c r="U1810" s="3" t="n"/>
      <c r="V1810" s="3" t="n"/>
    </row>
    <row r="1811">
      <c r="A1811" s="3" t="n"/>
      <c r="B1811" s="3" t="n"/>
      <c r="C1811" s="3" t="n"/>
      <c r="D1811" s="4" t="n"/>
      <c r="E1811" s="3" t="n"/>
      <c r="F1811" s="3" t="n"/>
      <c r="G1811" s="3" t="n"/>
      <c r="H1811" s="3" t="n"/>
      <c r="I1811" s="3" t="n"/>
      <c r="J1811" s="3" t="n"/>
      <c r="K1811" s="3" t="n"/>
      <c r="L1811" s="3" t="n"/>
      <c r="M1811" s="3" t="n"/>
      <c r="N1811" s="3" t="n"/>
      <c r="O1811" s="3" t="n"/>
      <c r="P1811" s="3" t="n"/>
      <c r="Q1811" s="3" t="n"/>
      <c r="R1811" s="5">
        <f>IF(Q1811&lt;&gt;"是","排除",IF(OR(L1811="",M1811=""),"",IF(OR(L1811="未知",M1811="未知"),"未知",IF(AND(L1811="真",M1811="真"),"TP",IF(AND(L1811="真",M1811="假"),"FP",IF(AND(L1811="假",M1811="真"),"FN","TN"))))))</f>
        <v/>
      </c>
      <c r="S1811" s="3" t="n"/>
      <c r="T1811" s="3" t="n"/>
      <c r="U1811" s="3" t="n"/>
      <c r="V1811" s="3" t="n"/>
    </row>
    <row r="1812">
      <c r="A1812" s="3" t="n"/>
      <c r="B1812" s="3" t="n"/>
      <c r="C1812" s="3" t="n"/>
      <c r="D1812" s="4" t="n"/>
      <c r="E1812" s="3" t="n"/>
      <c r="F1812" s="3" t="n"/>
      <c r="G1812" s="3" t="n"/>
      <c r="H1812" s="3" t="n"/>
      <c r="I1812" s="3" t="n"/>
      <c r="J1812" s="3" t="n"/>
      <c r="K1812" s="3" t="n"/>
      <c r="L1812" s="3" t="n"/>
      <c r="M1812" s="3" t="n"/>
      <c r="N1812" s="3" t="n"/>
      <c r="O1812" s="3" t="n"/>
      <c r="P1812" s="3" t="n"/>
      <c r="Q1812" s="3" t="n"/>
      <c r="R1812" s="5">
        <f>IF(Q1812&lt;&gt;"是","排除",IF(OR(L1812="",M1812=""),"",IF(OR(L1812="未知",M1812="未知"),"未知",IF(AND(L1812="真",M1812="真"),"TP",IF(AND(L1812="真",M1812="假"),"FP",IF(AND(L1812="假",M1812="真"),"FN","TN"))))))</f>
        <v/>
      </c>
      <c r="S1812" s="3" t="n"/>
      <c r="T1812" s="3" t="n"/>
      <c r="U1812" s="3" t="n"/>
      <c r="V1812" s="3" t="n"/>
    </row>
    <row r="1813">
      <c r="A1813" s="3" t="n"/>
      <c r="B1813" s="3" t="n"/>
      <c r="C1813" s="3" t="n"/>
      <c r="D1813" s="4" t="n"/>
      <c r="E1813" s="3" t="n"/>
      <c r="F1813" s="3" t="n"/>
      <c r="G1813" s="3" t="n"/>
      <c r="H1813" s="3" t="n"/>
      <c r="I1813" s="3" t="n"/>
      <c r="J1813" s="3" t="n"/>
      <c r="K1813" s="3" t="n"/>
      <c r="L1813" s="3" t="n"/>
      <c r="M1813" s="3" t="n"/>
      <c r="N1813" s="3" t="n"/>
      <c r="O1813" s="3" t="n"/>
      <c r="P1813" s="3" t="n"/>
      <c r="Q1813" s="3" t="n"/>
      <c r="R1813" s="5">
        <f>IF(Q1813&lt;&gt;"是","排除",IF(OR(L1813="",M1813=""),"",IF(OR(L1813="未知",M1813="未知"),"未知",IF(AND(L1813="真",M1813="真"),"TP",IF(AND(L1813="真",M1813="假"),"FP",IF(AND(L1813="假",M1813="真"),"FN","TN"))))))</f>
        <v/>
      </c>
      <c r="S1813" s="3" t="n"/>
      <c r="T1813" s="3" t="n"/>
      <c r="U1813" s="3" t="n"/>
      <c r="V1813" s="3" t="n"/>
    </row>
    <row r="1814">
      <c r="A1814" s="3" t="n"/>
      <c r="B1814" s="3" t="n"/>
      <c r="C1814" s="3" t="n"/>
      <c r="D1814" s="4" t="n"/>
      <c r="E1814" s="3" t="n"/>
      <c r="F1814" s="3" t="n"/>
      <c r="G1814" s="3" t="n"/>
      <c r="H1814" s="3" t="n"/>
      <c r="I1814" s="3" t="n"/>
      <c r="J1814" s="3" t="n"/>
      <c r="K1814" s="3" t="n"/>
      <c r="L1814" s="3" t="n"/>
      <c r="M1814" s="3" t="n"/>
      <c r="N1814" s="3" t="n"/>
      <c r="O1814" s="3" t="n"/>
      <c r="P1814" s="3" t="n"/>
      <c r="Q1814" s="3" t="n"/>
      <c r="R1814" s="5">
        <f>IF(Q1814&lt;&gt;"是","排除",IF(OR(L1814="",M1814=""),"",IF(OR(L1814="未知",M1814="未知"),"未知",IF(AND(L1814="真",M1814="真"),"TP",IF(AND(L1814="真",M1814="假"),"FP",IF(AND(L1814="假",M1814="真"),"FN","TN"))))))</f>
        <v/>
      </c>
      <c r="S1814" s="3" t="n"/>
      <c r="T1814" s="3" t="n"/>
      <c r="U1814" s="3" t="n"/>
      <c r="V1814" s="3" t="n"/>
    </row>
    <row r="1815">
      <c r="A1815" s="3" t="n"/>
      <c r="B1815" s="3" t="n"/>
      <c r="C1815" s="3" t="n"/>
      <c r="D1815" s="4" t="n"/>
      <c r="E1815" s="3" t="n"/>
      <c r="F1815" s="3" t="n"/>
      <c r="G1815" s="3" t="n"/>
      <c r="H1815" s="3" t="n"/>
      <c r="I1815" s="3" t="n"/>
      <c r="J1815" s="3" t="n"/>
      <c r="K1815" s="3" t="n"/>
      <c r="L1815" s="3" t="n"/>
      <c r="M1815" s="3" t="n"/>
      <c r="N1815" s="3" t="n"/>
      <c r="O1815" s="3" t="n"/>
      <c r="P1815" s="3" t="n"/>
      <c r="Q1815" s="3" t="n"/>
      <c r="R1815" s="5">
        <f>IF(Q1815&lt;&gt;"是","排除",IF(OR(L1815="",M1815=""),"",IF(OR(L1815="未知",M1815="未知"),"未知",IF(AND(L1815="真",M1815="真"),"TP",IF(AND(L1815="真",M1815="假"),"FP",IF(AND(L1815="假",M1815="真"),"FN","TN"))))))</f>
        <v/>
      </c>
      <c r="S1815" s="3" t="n"/>
      <c r="T1815" s="3" t="n"/>
      <c r="U1815" s="3" t="n"/>
      <c r="V1815" s="3" t="n"/>
    </row>
    <row r="1816">
      <c r="A1816" s="3" t="n"/>
      <c r="B1816" s="3" t="n"/>
      <c r="C1816" s="3" t="n"/>
      <c r="D1816" s="4" t="n"/>
      <c r="E1816" s="3" t="n"/>
      <c r="F1816" s="3" t="n"/>
      <c r="G1816" s="3" t="n"/>
      <c r="H1816" s="3" t="n"/>
      <c r="I1816" s="3" t="n"/>
      <c r="J1816" s="3" t="n"/>
      <c r="K1816" s="3" t="n"/>
      <c r="L1816" s="3" t="n"/>
      <c r="M1816" s="3" t="n"/>
      <c r="N1816" s="3" t="n"/>
      <c r="O1816" s="3" t="n"/>
      <c r="P1816" s="3" t="n"/>
      <c r="Q1816" s="3" t="n"/>
      <c r="R1816" s="5">
        <f>IF(Q1816&lt;&gt;"是","排除",IF(OR(L1816="",M1816=""),"",IF(OR(L1816="未知",M1816="未知"),"未知",IF(AND(L1816="真",M1816="真"),"TP",IF(AND(L1816="真",M1816="假"),"FP",IF(AND(L1816="假",M1816="真"),"FN","TN"))))))</f>
        <v/>
      </c>
      <c r="S1816" s="3" t="n"/>
      <c r="T1816" s="3" t="n"/>
      <c r="U1816" s="3" t="n"/>
      <c r="V1816" s="3" t="n"/>
    </row>
    <row r="1817">
      <c r="A1817" s="3" t="n"/>
      <c r="B1817" s="3" t="n"/>
      <c r="C1817" s="3" t="n"/>
      <c r="D1817" s="4" t="n"/>
      <c r="E1817" s="3" t="n"/>
      <c r="F1817" s="3" t="n"/>
      <c r="G1817" s="3" t="n"/>
      <c r="H1817" s="3" t="n"/>
      <c r="I1817" s="3" t="n"/>
      <c r="J1817" s="3" t="n"/>
      <c r="K1817" s="3" t="n"/>
      <c r="L1817" s="3" t="n"/>
      <c r="M1817" s="3" t="n"/>
      <c r="N1817" s="3" t="n"/>
      <c r="O1817" s="3" t="n"/>
      <c r="P1817" s="3" t="n"/>
      <c r="Q1817" s="3" t="n"/>
      <c r="R1817" s="5">
        <f>IF(Q1817&lt;&gt;"是","排除",IF(OR(L1817="",M1817=""),"",IF(OR(L1817="未知",M1817="未知"),"未知",IF(AND(L1817="真",M1817="真"),"TP",IF(AND(L1817="真",M1817="假"),"FP",IF(AND(L1817="假",M1817="真"),"FN","TN"))))))</f>
        <v/>
      </c>
      <c r="S1817" s="3" t="n"/>
      <c r="T1817" s="3" t="n"/>
      <c r="U1817" s="3" t="n"/>
      <c r="V1817" s="3" t="n"/>
    </row>
    <row r="1818">
      <c r="A1818" s="3" t="n"/>
      <c r="B1818" s="3" t="n"/>
      <c r="C1818" s="3" t="n"/>
      <c r="D1818" s="4" t="n"/>
      <c r="E1818" s="3" t="n"/>
      <c r="F1818" s="3" t="n"/>
      <c r="G1818" s="3" t="n"/>
      <c r="H1818" s="3" t="n"/>
      <c r="I1818" s="3" t="n"/>
      <c r="J1818" s="3" t="n"/>
      <c r="K1818" s="3" t="n"/>
      <c r="L1818" s="3" t="n"/>
      <c r="M1818" s="3" t="n"/>
      <c r="N1818" s="3" t="n"/>
      <c r="O1818" s="3" t="n"/>
      <c r="P1818" s="3" t="n"/>
      <c r="Q1818" s="3" t="n"/>
      <c r="R1818" s="5">
        <f>IF(Q1818&lt;&gt;"是","排除",IF(OR(L1818="",M1818=""),"",IF(OR(L1818="未知",M1818="未知"),"未知",IF(AND(L1818="真",M1818="真"),"TP",IF(AND(L1818="真",M1818="假"),"FP",IF(AND(L1818="假",M1818="真"),"FN","TN"))))))</f>
        <v/>
      </c>
      <c r="S1818" s="3" t="n"/>
      <c r="T1818" s="3" t="n"/>
      <c r="U1818" s="3" t="n"/>
      <c r="V1818" s="3" t="n"/>
    </row>
    <row r="1819">
      <c r="A1819" s="3" t="n"/>
      <c r="B1819" s="3" t="n"/>
      <c r="C1819" s="3" t="n"/>
      <c r="D1819" s="4" t="n"/>
      <c r="E1819" s="3" t="n"/>
      <c r="F1819" s="3" t="n"/>
      <c r="G1819" s="3" t="n"/>
      <c r="H1819" s="3" t="n"/>
      <c r="I1819" s="3" t="n"/>
      <c r="J1819" s="3" t="n"/>
      <c r="K1819" s="3" t="n"/>
      <c r="L1819" s="3" t="n"/>
      <c r="M1819" s="3" t="n"/>
      <c r="N1819" s="3" t="n"/>
      <c r="O1819" s="3" t="n"/>
      <c r="P1819" s="3" t="n"/>
      <c r="Q1819" s="3" t="n"/>
      <c r="R1819" s="5">
        <f>IF(Q1819&lt;&gt;"是","排除",IF(OR(L1819="",M1819=""),"",IF(OR(L1819="未知",M1819="未知"),"未知",IF(AND(L1819="真",M1819="真"),"TP",IF(AND(L1819="真",M1819="假"),"FP",IF(AND(L1819="假",M1819="真"),"FN","TN"))))))</f>
        <v/>
      </c>
      <c r="S1819" s="3" t="n"/>
      <c r="T1819" s="3" t="n"/>
      <c r="U1819" s="3" t="n"/>
      <c r="V1819" s="3" t="n"/>
    </row>
    <row r="1820">
      <c r="A1820" s="3" t="n"/>
      <c r="B1820" s="3" t="n"/>
      <c r="C1820" s="3" t="n"/>
      <c r="D1820" s="4" t="n"/>
      <c r="E1820" s="3" t="n"/>
      <c r="F1820" s="3" t="n"/>
      <c r="G1820" s="3" t="n"/>
      <c r="H1820" s="3" t="n"/>
      <c r="I1820" s="3" t="n"/>
      <c r="J1820" s="3" t="n"/>
      <c r="K1820" s="3" t="n"/>
      <c r="L1820" s="3" t="n"/>
      <c r="M1820" s="3" t="n"/>
      <c r="N1820" s="3" t="n"/>
      <c r="O1820" s="3" t="n"/>
      <c r="P1820" s="3" t="n"/>
      <c r="Q1820" s="3" t="n"/>
      <c r="R1820" s="5">
        <f>IF(Q1820&lt;&gt;"是","排除",IF(OR(L1820="",M1820=""),"",IF(OR(L1820="未知",M1820="未知"),"未知",IF(AND(L1820="真",M1820="真"),"TP",IF(AND(L1820="真",M1820="假"),"FP",IF(AND(L1820="假",M1820="真"),"FN","TN"))))))</f>
        <v/>
      </c>
      <c r="S1820" s="3" t="n"/>
      <c r="T1820" s="3" t="n"/>
      <c r="U1820" s="3" t="n"/>
      <c r="V1820" s="3" t="n"/>
    </row>
    <row r="1821">
      <c r="A1821" s="3" t="n"/>
      <c r="B1821" s="3" t="n"/>
      <c r="C1821" s="3" t="n"/>
      <c r="D1821" s="4" t="n"/>
      <c r="E1821" s="3" t="n"/>
      <c r="F1821" s="3" t="n"/>
      <c r="G1821" s="3" t="n"/>
      <c r="H1821" s="3" t="n"/>
      <c r="I1821" s="3" t="n"/>
      <c r="J1821" s="3" t="n"/>
      <c r="K1821" s="3" t="n"/>
      <c r="L1821" s="3" t="n"/>
      <c r="M1821" s="3" t="n"/>
      <c r="N1821" s="3" t="n"/>
      <c r="O1821" s="3" t="n"/>
      <c r="P1821" s="3" t="n"/>
      <c r="Q1821" s="3" t="n"/>
      <c r="R1821" s="5">
        <f>IF(Q1821&lt;&gt;"是","排除",IF(OR(L1821="",M1821=""),"",IF(OR(L1821="未知",M1821="未知"),"未知",IF(AND(L1821="真",M1821="真"),"TP",IF(AND(L1821="真",M1821="假"),"FP",IF(AND(L1821="假",M1821="真"),"FN","TN"))))))</f>
        <v/>
      </c>
      <c r="S1821" s="3" t="n"/>
      <c r="T1821" s="3" t="n"/>
      <c r="U1821" s="3" t="n"/>
      <c r="V1821" s="3" t="n"/>
    </row>
    <row r="1822">
      <c r="A1822" s="3" t="n"/>
      <c r="B1822" s="3" t="n"/>
      <c r="C1822" s="3" t="n"/>
      <c r="D1822" s="4" t="n"/>
      <c r="E1822" s="3" t="n"/>
      <c r="F1822" s="3" t="n"/>
      <c r="G1822" s="3" t="n"/>
      <c r="H1822" s="3" t="n"/>
      <c r="I1822" s="3" t="n"/>
      <c r="J1822" s="3" t="n"/>
      <c r="K1822" s="3" t="n"/>
      <c r="L1822" s="3" t="n"/>
      <c r="M1822" s="3" t="n"/>
      <c r="N1822" s="3" t="n"/>
      <c r="O1822" s="3" t="n"/>
      <c r="P1822" s="3" t="n"/>
      <c r="Q1822" s="3" t="n"/>
      <c r="R1822" s="5">
        <f>IF(Q1822&lt;&gt;"是","排除",IF(OR(L1822="",M1822=""),"",IF(OR(L1822="未知",M1822="未知"),"未知",IF(AND(L1822="真",M1822="真"),"TP",IF(AND(L1822="真",M1822="假"),"FP",IF(AND(L1822="假",M1822="真"),"FN","TN"))))))</f>
        <v/>
      </c>
      <c r="S1822" s="3" t="n"/>
      <c r="T1822" s="3" t="n"/>
      <c r="U1822" s="3" t="n"/>
      <c r="V1822" s="3" t="n"/>
    </row>
    <row r="1823">
      <c r="A1823" s="3" t="n"/>
      <c r="B1823" s="3" t="n"/>
      <c r="C1823" s="3" t="n"/>
      <c r="D1823" s="4" t="n"/>
      <c r="E1823" s="3" t="n"/>
      <c r="F1823" s="3" t="n"/>
      <c r="G1823" s="3" t="n"/>
      <c r="H1823" s="3" t="n"/>
      <c r="I1823" s="3" t="n"/>
      <c r="J1823" s="3" t="n"/>
      <c r="K1823" s="3" t="n"/>
      <c r="L1823" s="3" t="n"/>
      <c r="M1823" s="3" t="n"/>
      <c r="N1823" s="3" t="n"/>
      <c r="O1823" s="3" t="n"/>
      <c r="P1823" s="3" t="n"/>
      <c r="Q1823" s="3" t="n"/>
      <c r="R1823" s="5">
        <f>IF(Q1823&lt;&gt;"是","排除",IF(OR(L1823="",M1823=""),"",IF(OR(L1823="未知",M1823="未知"),"未知",IF(AND(L1823="真",M1823="真"),"TP",IF(AND(L1823="真",M1823="假"),"FP",IF(AND(L1823="假",M1823="真"),"FN","TN"))))))</f>
        <v/>
      </c>
      <c r="S1823" s="3" t="n"/>
      <c r="T1823" s="3" t="n"/>
      <c r="U1823" s="3" t="n"/>
      <c r="V1823" s="3" t="n"/>
    </row>
    <row r="1824">
      <c r="A1824" s="3" t="n"/>
      <c r="B1824" s="3" t="n"/>
      <c r="C1824" s="3" t="n"/>
      <c r="D1824" s="4" t="n"/>
      <c r="E1824" s="3" t="n"/>
      <c r="F1824" s="3" t="n"/>
      <c r="G1824" s="3" t="n"/>
      <c r="H1824" s="3" t="n"/>
      <c r="I1824" s="3" t="n"/>
      <c r="J1824" s="3" t="n"/>
      <c r="K1824" s="3" t="n"/>
      <c r="L1824" s="3" t="n"/>
      <c r="M1824" s="3" t="n"/>
      <c r="N1824" s="3" t="n"/>
      <c r="O1824" s="3" t="n"/>
      <c r="P1824" s="3" t="n"/>
      <c r="Q1824" s="3" t="n"/>
      <c r="R1824" s="5">
        <f>IF(Q1824&lt;&gt;"是","排除",IF(OR(L1824="",M1824=""),"",IF(OR(L1824="未知",M1824="未知"),"未知",IF(AND(L1824="真",M1824="真"),"TP",IF(AND(L1824="真",M1824="假"),"FP",IF(AND(L1824="假",M1824="真"),"FN","TN"))))))</f>
        <v/>
      </c>
      <c r="S1824" s="3" t="n"/>
      <c r="T1824" s="3" t="n"/>
      <c r="U1824" s="3" t="n"/>
      <c r="V1824" s="3" t="n"/>
    </row>
    <row r="1825">
      <c r="A1825" s="3" t="n"/>
      <c r="B1825" s="3" t="n"/>
      <c r="C1825" s="3" t="n"/>
      <c r="D1825" s="4" t="n"/>
      <c r="E1825" s="3" t="n"/>
      <c r="F1825" s="3" t="n"/>
      <c r="G1825" s="3" t="n"/>
      <c r="H1825" s="3" t="n"/>
      <c r="I1825" s="3" t="n"/>
      <c r="J1825" s="3" t="n"/>
      <c r="K1825" s="3" t="n"/>
      <c r="L1825" s="3" t="n"/>
      <c r="M1825" s="3" t="n"/>
      <c r="N1825" s="3" t="n"/>
      <c r="O1825" s="3" t="n"/>
      <c r="P1825" s="3" t="n"/>
      <c r="Q1825" s="3" t="n"/>
      <c r="R1825" s="5">
        <f>IF(Q1825&lt;&gt;"是","排除",IF(OR(L1825="",M1825=""),"",IF(OR(L1825="未知",M1825="未知"),"未知",IF(AND(L1825="真",M1825="真"),"TP",IF(AND(L1825="真",M1825="假"),"FP",IF(AND(L1825="假",M1825="真"),"FN","TN"))))))</f>
        <v/>
      </c>
      <c r="S1825" s="3" t="n"/>
      <c r="T1825" s="3" t="n"/>
      <c r="U1825" s="3" t="n"/>
      <c r="V1825" s="3" t="n"/>
    </row>
    <row r="1826">
      <c r="A1826" s="3" t="n"/>
      <c r="B1826" s="3" t="n"/>
      <c r="C1826" s="3" t="n"/>
      <c r="D1826" s="4" t="n"/>
      <c r="E1826" s="3" t="n"/>
      <c r="F1826" s="3" t="n"/>
      <c r="G1826" s="3" t="n"/>
      <c r="H1826" s="3" t="n"/>
      <c r="I1826" s="3" t="n"/>
      <c r="J1826" s="3" t="n"/>
      <c r="K1826" s="3" t="n"/>
      <c r="L1826" s="3" t="n"/>
      <c r="M1826" s="3" t="n"/>
      <c r="N1826" s="3" t="n"/>
      <c r="O1826" s="3" t="n"/>
      <c r="P1826" s="3" t="n"/>
      <c r="Q1826" s="3" t="n"/>
      <c r="R1826" s="5">
        <f>IF(Q1826&lt;&gt;"是","排除",IF(OR(L1826="",M1826=""),"",IF(OR(L1826="未知",M1826="未知"),"未知",IF(AND(L1826="真",M1826="真"),"TP",IF(AND(L1826="真",M1826="假"),"FP",IF(AND(L1826="假",M1826="真"),"FN","TN"))))))</f>
        <v/>
      </c>
      <c r="S1826" s="3" t="n"/>
      <c r="T1826" s="3" t="n"/>
      <c r="U1826" s="3" t="n"/>
      <c r="V1826" s="3" t="n"/>
    </row>
    <row r="1827">
      <c r="A1827" s="3" t="n"/>
      <c r="B1827" s="3" t="n"/>
      <c r="C1827" s="3" t="n"/>
      <c r="D1827" s="4" t="n"/>
      <c r="E1827" s="3" t="n"/>
      <c r="F1827" s="3" t="n"/>
      <c r="G1827" s="3" t="n"/>
      <c r="H1827" s="3" t="n"/>
      <c r="I1827" s="3" t="n"/>
      <c r="J1827" s="3" t="n"/>
      <c r="K1827" s="3" t="n"/>
      <c r="L1827" s="3" t="n"/>
      <c r="M1827" s="3" t="n"/>
      <c r="N1827" s="3" t="n"/>
      <c r="O1827" s="3" t="n"/>
      <c r="P1827" s="3" t="n"/>
      <c r="Q1827" s="3" t="n"/>
      <c r="R1827" s="5">
        <f>IF(Q1827&lt;&gt;"是","排除",IF(OR(L1827="",M1827=""),"",IF(OR(L1827="未知",M1827="未知"),"未知",IF(AND(L1827="真",M1827="真"),"TP",IF(AND(L1827="真",M1827="假"),"FP",IF(AND(L1827="假",M1827="真"),"FN","TN"))))))</f>
        <v/>
      </c>
      <c r="S1827" s="3" t="n"/>
      <c r="T1827" s="3" t="n"/>
      <c r="U1827" s="3" t="n"/>
      <c r="V1827" s="3" t="n"/>
    </row>
    <row r="1828">
      <c r="A1828" s="3" t="n"/>
      <c r="B1828" s="3" t="n"/>
      <c r="C1828" s="3" t="n"/>
      <c r="D1828" s="4" t="n"/>
      <c r="E1828" s="3" t="n"/>
      <c r="F1828" s="3" t="n"/>
      <c r="G1828" s="3" t="n"/>
      <c r="H1828" s="3" t="n"/>
      <c r="I1828" s="3" t="n"/>
      <c r="J1828" s="3" t="n"/>
      <c r="K1828" s="3" t="n"/>
      <c r="L1828" s="3" t="n"/>
      <c r="M1828" s="3" t="n"/>
      <c r="N1828" s="3" t="n"/>
      <c r="O1828" s="3" t="n"/>
      <c r="P1828" s="3" t="n"/>
      <c r="Q1828" s="3" t="n"/>
      <c r="R1828" s="5">
        <f>IF(Q1828&lt;&gt;"是","排除",IF(OR(L1828="",M1828=""),"",IF(OR(L1828="未知",M1828="未知"),"未知",IF(AND(L1828="真",M1828="真"),"TP",IF(AND(L1828="真",M1828="假"),"FP",IF(AND(L1828="假",M1828="真"),"FN","TN"))))))</f>
        <v/>
      </c>
      <c r="S1828" s="3" t="n"/>
      <c r="T1828" s="3" t="n"/>
      <c r="U1828" s="3" t="n"/>
      <c r="V1828" s="3" t="n"/>
    </row>
    <row r="1829">
      <c r="A1829" s="3" t="n"/>
      <c r="B1829" s="3" t="n"/>
      <c r="C1829" s="3" t="n"/>
      <c r="D1829" s="4" t="n"/>
      <c r="E1829" s="3" t="n"/>
      <c r="F1829" s="3" t="n"/>
      <c r="G1829" s="3" t="n"/>
      <c r="H1829" s="3" t="n"/>
      <c r="I1829" s="3" t="n"/>
      <c r="J1829" s="3" t="n"/>
      <c r="K1829" s="3" t="n"/>
      <c r="L1829" s="3" t="n"/>
      <c r="M1829" s="3" t="n"/>
      <c r="N1829" s="3" t="n"/>
      <c r="O1829" s="3" t="n"/>
      <c r="P1829" s="3" t="n"/>
      <c r="Q1829" s="3" t="n"/>
      <c r="R1829" s="5">
        <f>IF(Q1829&lt;&gt;"是","排除",IF(OR(L1829="",M1829=""),"",IF(OR(L1829="未知",M1829="未知"),"未知",IF(AND(L1829="真",M1829="真"),"TP",IF(AND(L1829="真",M1829="假"),"FP",IF(AND(L1829="假",M1829="真"),"FN","TN"))))))</f>
        <v/>
      </c>
      <c r="S1829" s="3" t="n"/>
      <c r="T1829" s="3" t="n"/>
      <c r="U1829" s="3" t="n"/>
      <c r="V1829" s="3" t="n"/>
    </row>
    <row r="1830">
      <c r="A1830" s="3" t="n"/>
      <c r="B1830" s="3" t="n"/>
      <c r="C1830" s="3" t="n"/>
      <c r="D1830" s="4" t="n"/>
      <c r="E1830" s="3" t="n"/>
      <c r="F1830" s="3" t="n"/>
      <c r="G1830" s="3" t="n"/>
      <c r="H1830" s="3" t="n"/>
      <c r="I1830" s="3" t="n"/>
      <c r="J1830" s="3" t="n"/>
      <c r="K1830" s="3" t="n"/>
      <c r="L1830" s="3" t="n"/>
      <c r="M1830" s="3" t="n"/>
      <c r="N1830" s="3" t="n"/>
      <c r="O1830" s="3" t="n"/>
      <c r="P1830" s="3" t="n"/>
      <c r="Q1830" s="3" t="n"/>
      <c r="R1830" s="5">
        <f>IF(Q1830&lt;&gt;"是","排除",IF(OR(L1830="",M1830=""),"",IF(OR(L1830="未知",M1830="未知"),"未知",IF(AND(L1830="真",M1830="真"),"TP",IF(AND(L1830="真",M1830="假"),"FP",IF(AND(L1830="假",M1830="真"),"FN","TN"))))))</f>
        <v/>
      </c>
      <c r="S1830" s="3" t="n"/>
      <c r="T1830" s="3" t="n"/>
      <c r="U1830" s="3" t="n"/>
      <c r="V1830" s="3" t="n"/>
    </row>
    <row r="1831">
      <c r="A1831" s="3" t="n"/>
      <c r="B1831" s="3" t="n"/>
      <c r="C1831" s="3" t="n"/>
      <c r="D1831" s="4" t="n"/>
      <c r="E1831" s="3" t="n"/>
      <c r="F1831" s="3" t="n"/>
      <c r="G1831" s="3" t="n"/>
      <c r="H1831" s="3" t="n"/>
      <c r="I1831" s="3" t="n"/>
      <c r="J1831" s="3" t="n"/>
      <c r="K1831" s="3" t="n"/>
      <c r="L1831" s="3" t="n"/>
      <c r="M1831" s="3" t="n"/>
      <c r="N1831" s="3" t="n"/>
      <c r="O1831" s="3" t="n"/>
      <c r="P1831" s="3" t="n"/>
      <c r="Q1831" s="3" t="n"/>
      <c r="R1831" s="5">
        <f>IF(Q1831&lt;&gt;"是","排除",IF(OR(L1831="",M1831=""),"",IF(OR(L1831="未知",M1831="未知"),"未知",IF(AND(L1831="真",M1831="真"),"TP",IF(AND(L1831="真",M1831="假"),"FP",IF(AND(L1831="假",M1831="真"),"FN","TN"))))))</f>
        <v/>
      </c>
      <c r="S1831" s="3" t="n"/>
      <c r="T1831" s="3" t="n"/>
      <c r="U1831" s="3" t="n"/>
      <c r="V1831" s="3" t="n"/>
    </row>
    <row r="1832">
      <c r="A1832" s="3" t="n"/>
      <c r="B1832" s="3" t="n"/>
      <c r="C1832" s="3" t="n"/>
      <c r="D1832" s="4" t="n"/>
      <c r="E1832" s="3" t="n"/>
      <c r="F1832" s="3" t="n"/>
      <c r="G1832" s="3" t="n"/>
      <c r="H1832" s="3" t="n"/>
      <c r="I1832" s="3" t="n"/>
      <c r="J1832" s="3" t="n"/>
      <c r="K1832" s="3" t="n"/>
      <c r="L1832" s="3" t="n"/>
      <c r="M1832" s="3" t="n"/>
      <c r="N1832" s="3" t="n"/>
      <c r="O1832" s="3" t="n"/>
      <c r="P1832" s="3" t="n"/>
      <c r="Q1832" s="3" t="n"/>
      <c r="R1832" s="5">
        <f>IF(Q1832&lt;&gt;"是","排除",IF(OR(L1832="",M1832=""),"",IF(OR(L1832="未知",M1832="未知"),"未知",IF(AND(L1832="真",M1832="真"),"TP",IF(AND(L1832="真",M1832="假"),"FP",IF(AND(L1832="假",M1832="真"),"FN","TN"))))))</f>
        <v/>
      </c>
      <c r="S1832" s="3" t="n"/>
      <c r="T1832" s="3" t="n"/>
      <c r="U1832" s="3" t="n"/>
      <c r="V1832" s="3" t="n"/>
    </row>
    <row r="1833">
      <c r="A1833" s="3" t="n"/>
      <c r="B1833" s="3" t="n"/>
      <c r="C1833" s="3" t="n"/>
      <c r="D1833" s="4" t="n"/>
      <c r="E1833" s="3" t="n"/>
      <c r="F1833" s="3" t="n"/>
      <c r="G1833" s="3" t="n"/>
      <c r="H1833" s="3" t="n"/>
      <c r="I1833" s="3" t="n"/>
      <c r="J1833" s="3" t="n"/>
      <c r="K1833" s="3" t="n"/>
      <c r="L1833" s="3" t="n"/>
      <c r="M1833" s="3" t="n"/>
      <c r="N1833" s="3" t="n"/>
      <c r="O1833" s="3" t="n"/>
      <c r="P1833" s="3" t="n"/>
      <c r="Q1833" s="3" t="n"/>
      <c r="R1833" s="5">
        <f>IF(Q1833&lt;&gt;"是","排除",IF(OR(L1833="",M1833=""),"",IF(OR(L1833="未知",M1833="未知"),"未知",IF(AND(L1833="真",M1833="真"),"TP",IF(AND(L1833="真",M1833="假"),"FP",IF(AND(L1833="假",M1833="真"),"FN","TN"))))))</f>
        <v/>
      </c>
      <c r="S1833" s="3" t="n"/>
      <c r="T1833" s="3" t="n"/>
      <c r="U1833" s="3" t="n"/>
      <c r="V1833" s="3" t="n"/>
    </row>
    <row r="1834">
      <c r="A1834" s="3" t="n"/>
      <c r="B1834" s="3" t="n"/>
      <c r="C1834" s="3" t="n"/>
      <c r="D1834" s="4" t="n"/>
      <c r="E1834" s="3" t="n"/>
      <c r="F1834" s="3" t="n"/>
      <c r="G1834" s="3" t="n"/>
      <c r="H1834" s="3" t="n"/>
      <c r="I1834" s="3" t="n"/>
      <c r="J1834" s="3" t="n"/>
      <c r="K1834" s="3" t="n"/>
      <c r="L1834" s="3" t="n"/>
      <c r="M1834" s="3" t="n"/>
      <c r="N1834" s="3" t="n"/>
      <c r="O1834" s="3" t="n"/>
      <c r="P1834" s="3" t="n"/>
      <c r="Q1834" s="3" t="n"/>
      <c r="R1834" s="5">
        <f>IF(Q1834&lt;&gt;"是","排除",IF(OR(L1834="",M1834=""),"",IF(OR(L1834="未知",M1834="未知"),"未知",IF(AND(L1834="真",M1834="真"),"TP",IF(AND(L1834="真",M1834="假"),"FP",IF(AND(L1834="假",M1834="真"),"FN","TN"))))))</f>
        <v/>
      </c>
      <c r="S1834" s="3" t="n"/>
      <c r="T1834" s="3" t="n"/>
      <c r="U1834" s="3" t="n"/>
      <c r="V1834" s="3" t="n"/>
    </row>
    <row r="1835">
      <c r="A1835" s="3" t="n"/>
      <c r="B1835" s="3" t="n"/>
      <c r="C1835" s="3" t="n"/>
      <c r="D1835" s="4" t="n"/>
      <c r="E1835" s="3" t="n"/>
      <c r="F1835" s="3" t="n"/>
      <c r="G1835" s="3" t="n"/>
      <c r="H1835" s="3" t="n"/>
      <c r="I1835" s="3" t="n"/>
      <c r="J1835" s="3" t="n"/>
      <c r="K1835" s="3" t="n"/>
      <c r="L1835" s="3" t="n"/>
      <c r="M1835" s="3" t="n"/>
      <c r="N1835" s="3" t="n"/>
      <c r="O1835" s="3" t="n"/>
      <c r="P1835" s="3" t="n"/>
      <c r="Q1835" s="3" t="n"/>
      <c r="R1835" s="5">
        <f>IF(Q1835&lt;&gt;"是","排除",IF(OR(L1835="",M1835=""),"",IF(OR(L1835="未知",M1835="未知"),"未知",IF(AND(L1835="真",M1835="真"),"TP",IF(AND(L1835="真",M1835="假"),"FP",IF(AND(L1835="假",M1835="真"),"FN","TN"))))))</f>
        <v/>
      </c>
      <c r="S1835" s="3" t="n"/>
      <c r="T1835" s="3" t="n"/>
      <c r="U1835" s="3" t="n"/>
      <c r="V1835" s="3" t="n"/>
    </row>
    <row r="1836">
      <c r="A1836" s="3" t="n"/>
      <c r="B1836" s="3" t="n"/>
      <c r="C1836" s="3" t="n"/>
      <c r="D1836" s="4" t="n"/>
      <c r="E1836" s="3" t="n"/>
      <c r="F1836" s="3" t="n"/>
      <c r="G1836" s="3" t="n"/>
      <c r="H1836" s="3" t="n"/>
      <c r="I1836" s="3" t="n"/>
      <c r="J1836" s="3" t="n"/>
      <c r="K1836" s="3" t="n"/>
      <c r="L1836" s="3" t="n"/>
      <c r="M1836" s="3" t="n"/>
      <c r="N1836" s="3" t="n"/>
      <c r="O1836" s="3" t="n"/>
      <c r="P1836" s="3" t="n"/>
      <c r="Q1836" s="3" t="n"/>
      <c r="R1836" s="5">
        <f>IF(Q1836&lt;&gt;"是","排除",IF(OR(L1836="",M1836=""),"",IF(OR(L1836="未知",M1836="未知"),"未知",IF(AND(L1836="真",M1836="真"),"TP",IF(AND(L1836="真",M1836="假"),"FP",IF(AND(L1836="假",M1836="真"),"FN","TN"))))))</f>
        <v/>
      </c>
      <c r="S1836" s="3" t="n"/>
      <c r="T1836" s="3" t="n"/>
      <c r="U1836" s="3" t="n"/>
      <c r="V1836" s="3" t="n"/>
    </row>
    <row r="1837">
      <c r="A1837" s="3" t="n"/>
      <c r="B1837" s="3" t="n"/>
      <c r="C1837" s="3" t="n"/>
      <c r="D1837" s="4" t="n"/>
      <c r="E1837" s="3" t="n"/>
      <c r="F1837" s="3" t="n"/>
      <c r="G1837" s="3" t="n"/>
      <c r="H1837" s="3" t="n"/>
      <c r="I1837" s="3" t="n"/>
      <c r="J1837" s="3" t="n"/>
      <c r="K1837" s="3" t="n"/>
      <c r="L1837" s="3" t="n"/>
      <c r="M1837" s="3" t="n"/>
      <c r="N1837" s="3" t="n"/>
      <c r="O1837" s="3" t="n"/>
      <c r="P1837" s="3" t="n"/>
      <c r="Q1837" s="3" t="n"/>
      <c r="R1837" s="5">
        <f>IF(Q1837&lt;&gt;"是","排除",IF(OR(L1837="",M1837=""),"",IF(OR(L1837="未知",M1837="未知"),"未知",IF(AND(L1837="真",M1837="真"),"TP",IF(AND(L1837="真",M1837="假"),"FP",IF(AND(L1837="假",M1837="真"),"FN","TN"))))))</f>
        <v/>
      </c>
      <c r="S1837" s="3" t="n"/>
      <c r="T1837" s="3" t="n"/>
      <c r="U1837" s="3" t="n"/>
      <c r="V1837" s="3" t="n"/>
    </row>
    <row r="1838">
      <c r="A1838" s="3" t="n"/>
      <c r="B1838" s="3" t="n"/>
      <c r="C1838" s="3" t="n"/>
      <c r="D1838" s="4" t="n"/>
      <c r="E1838" s="3" t="n"/>
      <c r="F1838" s="3" t="n"/>
      <c r="G1838" s="3" t="n"/>
      <c r="H1838" s="3" t="n"/>
      <c r="I1838" s="3" t="n"/>
      <c r="J1838" s="3" t="n"/>
      <c r="K1838" s="3" t="n"/>
      <c r="L1838" s="3" t="n"/>
      <c r="M1838" s="3" t="n"/>
      <c r="N1838" s="3" t="n"/>
      <c r="O1838" s="3" t="n"/>
      <c r="P1838" s="3" t="n"/>
      <c r="Q1838" s="3" t="n"/>
      <c r="R1838" s="5">
        <f>IF(Q1838&lt;&gt;"是","排除",IF(OR(L1838="",M1838=""),"",IF(OR(L1838="未知",M1838="未知"),"未知",IF(AND(L1838="真",M1838="真"),"TP",IF(AND(L1838="真",M1838="假"),"FP",IF(AND(L1838="假",M1838="真"),"FN","TN"))))))</f>
        <v/>
      </c>
      <c r="S1838" s="3" t="n"/>
      <c r="T1838" s="3" t="n"/>
      <c r="U1838" s="3" t="n"/>
      <c r="V1838" s="3" t="n"/>
    </row>
    <row r="1839">
      <c r="A1839" s="3" t="n"/>
      <c r="B1839" s="3" t="n"/>
      <c r="C1839" s="3" t="n"/>
      <c r="D1839" s="4" t="n"/>
      <c r="E1839" s="3" t="n"/>
      <c r="F1839" s="3" t="n"/>
      <c r="G1839" s="3" t="n"/>
      <c r="H1839" s="3" t="n"/>
      <c r="I1839" s="3" t="n"/>
      <c r="J1839" s="3" t="n"/>
      <c r="K1839" s="3" t="n"/>
      <c r="L1839" s="3" t="n"/>
      <c r="M1839" s="3" t="n"/>
      <c r="N1839" s="3" t="n"/>
      <c r="O1839" s="3" t="n"/>
      <c r="P1839" s="3" t="n"/>
      <c r="Q1839" s="3" t="n"/>
      <c r="R1839" s="5">
        <f>IF(Q1839&lt;&gt;"是","排除",IF(OR(L1839="",M1839=""),"",IF(OR(L1839="未知",M1839="未知"),"未知",IF(AND(L1839="真",M1839="真"),"TP",IF(AND(L1839="真",M1839="假"),"FP",IF(AND(L1839="假",M1839="真"),"FN","TN"))))))</f>
        <v/>
      </c>
      <c r="S1839" s="3" t="n"/>
      <c r="T1839" s="3" t="n"/>
      <c r="U1839" s="3" t="n"/>
      <c r="V1839" s="3" t="n"/>
    </row>
    <row r="1840">
      <c r="A1840" s="3" t="n"/>
      <c r="B1840" s="3" t="n"/>
      <c r="C1840" s="3" t="n"/>
      <c r="D1840" s="4" t="n"/>
      <c r="E1840" s="3" t="n"/>
      <c r="F1840" s="3" t="n"/>
      <c r="G1840" s="3" t="n"/>
      <c r="H1840" s="3" t="n"/>
      <c r="I1840" s="3" t="n"/>
      <c r="J1840" s="3" t="n"/>
      <c r="K1840" s="3" t="n"/>
      <c r="L1840" s="3" t="n"/>
      <c r="M1840" s="3" t="n"/>
      <c r="N1840" s="3" t="n"/>
      <c r="O1840" s="3" t="n"/>
      <c r="P1840" s="3" t="n"/>
      <c r="Q1840" s="3" t="n"/>
      <c r="R1840" s="5">
        <f>IF(Q1840&lt;&gt;"是","排除",IF(OR(L1840="",M1840=""),"",IF(OR(L1840="未知",M1840="未知"),"未知",IF(AND(L1840="真",M1840="真"),"TP",IF(AND(L1840="真",M1840="假"),"FP",IF(AND(L1840="假",M1840="真"),"FN","TN"))))))</f>
        <v/>
      </c>
      <c r="S1840" s="3" t="n"/>
      <c r="T1840" s="3" t="n"/>
      <c r="U1840" s="3" t="n"/>
      <c r="V1840" s="3" t="n"/>
    </row>
    <row r="1841">
      <c r="A1841" s="3" t="n"/>
      <c r="B1841" s="3" t="n"/>
      <c r="C1841" s="3" t="n"/>
      <c r="D1841" s="4" t="n"/>
      <c r="E1841" s="3" t="n"/>
      <c r="F1841" s="3" t="n"/>
      <c r="G1841" s="3" t="n"/>
      <c r="H1841" s="3" t="n"/>
      <c r="I1841" s="3" t="n"/>
      <c r="J1841" s="3" t="n"/>
      <c r="K1841" s="3" t="n"/>
      <c r="L1841" s="3" t="n"/>
      <c r="M1841" s="3" t="n"/>
      <c r="N1841" s="3" t="n"/>
      <c r="O1841" s="3" t="n"/>
      <c r="P1841" s="3" t="n"/>
      <c r="Q1841" s="3" t="n"/>
      <c r="R1841" s="5">
        <f>IF(Q1841&lt;&gt;"是","排除",IF(OR(L1841="",M1841=""),"",IF(OR(L1841="未知",M1841="未知"),"未知",IF(AND(L1841="真",M1841="真"),"TP",IF(AND(L1841="真",M1841="假"),"FP",IF(AND(L1841="假",M1841="真"),"FN","TN"))))))</f>
        <v/>
      </c>
      <c r="S1841" s="3" t="n"/>
      <c r="T1841" s="3" t="n"/>
      <c r="U1841" s="3" t="n"/>
      <c r="V1841" s="3" t="n"/>
    </row>
    <row r="1842">
      <c r="A1842" s="3" t="n"/>
      <c r="B1842" s="3" t="n"/>
      <c r="C1842" s="3" t="n"/>
      <c r="D1842" s="4" t="n"/>
      <c r="E1842" s="3" t="n"/>
      <c r="F1842" s="3" t="n"/>
      <c r="G1842" s="3" t="n"/>
      <c r="H1842" s="3" t="n"/>
      <c r="I1842" s="3" t="n"/>
      <c r="J1842" s="3" t="n"/>
      <c r="K1842" s="3" t="n"/>
      <c r="L1842" s="3" t="n"/>
      <c r="M1842" s="3" t="n"/>
      <c r="N1842" s="3" t="n"/>
      <c r="O1842" s="3" t="n"/>
      <c r="P1842" s="3" t="n"/>
      <c r="Q1842" s="3" t="n"/>
      <c r="R1842" s="5">
        <f>IF(Q1842&lt;&gt;"是","排除",IF(OR(L1842="",M1842=""),"",IF(OR(L1842="未知",M1842="未知"),"未知",IF(AND(L1842="真",M1842="真"),"TP",IF(AND(L1842="真",M1842="假"),"FP",IF(AND(L1842="假",M1842="真"),"FN","TN"))))))</f>
        <v/>
      </c>
      <c r="S1842" s="3" t="n"/>
      <c r="T1842" s="3" t="n"/>
      <c r="U1842" s="3" t="n"/>
      <c r="V1842" s="3" t="n"/>
    </row>
    <row r="1843">
      <c r="A1843" s="3" t="n"/>
      <c r="B1843" s="3" t="n"/>
      <c r="C1843" s="3" t="n"/>
      <c r="D1843" s="4" t="n"/>
      <c r="E1843" s="3" t="n"/>
      <c r="F1843" s="3" t="n"/>
      <c r="G1843" s="3" t="n"/>
      <c r="H1843" s="3" t="n"/>
      <c r="I1843" s="3" t="n"/>
      <c r="J1843" s="3" t="n"/>
      <c r="K1843" s="3" t="n"/>
      <c r="L1843" s="3" t="n"/>
      <c r="M1843" s="3" t="n"/>
      <c r="N1843" s="3" t="n"/>
      <c r="O1843" s="3" t="n"/>
      <c r="P1843" s="3" t="n"/>
      <c r="Q1843" s="3" t="n"/>
      <c r="R1843" s="5">
        <f>IF(Q1843&lt;&gt;"是","排除",IF(OR(L1843="",M1843=""),"",IF(OR(L1843="未知",M1843="未知"),"未知",IF(AND(L1843="真",M1843="真"),"TP",IF(AND(L1843="真",M1843="假"),"FP",IF(AND(L1843="假",M1843="真"),"FN","TN"))))))</f>
        <v/>
      </c>
      <c r="S1843" s="3" t="n"/>
      <c r="T1843" s="3" t="n"/>
      <c r="U1843" s="3" t="n"/>
      <c r="V1843" s="3" t="n"/>
    </row>
    <row r="1844">
      <c r="A1844" s="3" t="n"/>
      <c r="B1844" s="3" t="n"/>
      <c r="C1844" s="3" t="n"/>
      <c r="D1844" s="4" t="n"/>
      <c r="E1844" s="3" t="n"/>
      <c r="F1844" s="3" t="n"/>
      <c r="G1844" s="3" t="n"/>
      <c r="H1844" s="3" t="n"/>
      <c r="I1844" s="3" t="n"/>
      <c r="J1844" s="3" t="n"/>
      <c r="K1844" s="3" t="n"/>
      <c r="L1844" s="3" t="n"/>
      <c r="M1844" s="3" t="n"/>
      <c r="N1844" s="3" t="n"/>
      <c r="O1844" s="3" t="n"/>
      <c r="P1844" s="3" t="n"/>
      <c r="Q1844" s="3" t="n"/>
      <c r="R1844" s="5">
        <f>IF(Q1844&lt;&gt;"是","排除",IF(OR(L1844="",M1844=""),"",IF(OR(L1844="未知",M1844="未知"),"未知",IF(AND(L1844="真",M1844="真"),"TP",IF(AND(L1844="真",M1844="假"),"FP",IF(AND(L1844="假",M1844="真"),"FN","TN"))))))</f>
        <v/>
      </c>
      <c r="S1844" s="3" t="n"/>
      <c r="T1844" s="3" t="n"/>
      <c r="U1844" s="3" t="n"/>
      <c r="V1844" s="3" t="n"/>
    </row>
    <row r="1845">
      <c r="A1845" s="3" t="n"/>
      <c r="B1845" s="3" t="n"/>
      <c r="C1845" s="3" t="n"/>
      <c r="D1845" s="4" t="n"/>
      <c r="E1845" s="3" t="n"/>
      <c r="F1845" s="3" t="n"/>
      <c r="G1845" s="3" t="n"/>
      <c r="H1845" s="3" t="n"/>
      <c r="I1845" s="3" t="n"/>
      <c r="J1845" s="3" t="n"/>
      <c r="K1845" s="3" t="n"/>
      <c r="L1845" s="3" t="n"/>
      <c r="M1845" s="3" t="n"/>
      <c r="N1845" s="3" t="n"/>
      <c r="O1845" s="3" t="n"/>
      <c r="P1845" s="3" t="n"/>
      <c r="Q1845" s="3" t="n"/>
      <c r="R1845" s="5">
        <f>IF(Q1845&lt;&gt;"是","排除",IF(OR(L1845="",M1845=""),"",IF(OR(L1845="未知",M1845="未知"),"未知",IF(AND(L1845="真",M1845="真"),"TP",IF(AND(L1845="真",M1845="假"),"FP",IF(AND(L1845="假",M1845="真"),"FN","TN"))))))</f>
        <v/>
      </c>
      <c r="S1845" s="3" t="n"/>
      <c r="T1845" s="3" t="n"/>
      <c r="U1845" s="3" t="n"/>
      <c r="V1845" s="3" t="n"/>
    </row>
    <row r="1846">
      <c r="A1846" s="3" t="n"/>
      <c r="B1846" s="3" t="n"/>
      <c r="C1846" s="3" t="n"/>
      <c r="D1846" s="4" t="n"/>
      <c r="E1846" s="3" t="n"/>
      <c r="F1846" s="3" t="n"/>
      <c r="G1846" s="3" t="n"/>
      <c r="H1846" s="3" t="n"/>
      <c r="I1846" s="3" t="n"/>
      <c r="J1846" s="3" t="n"/>
      <c r="K1846" s="3" t="n"/>
      <c r="L1846" s="3" t="n"/>
      <c r="M1846" s="3" t="n"/>
      <c r="N1846" s="3" t="n"/>
      <c r="O1846" s="3" t="n"/>
      <c r="P1846" s="3" t="n"/>
      <c r="Q1846" s="3" t="n"/>
      <c r="R1846" s="5">
        <f>IF(Q1846&lt;&gt;"是","排除",IF(OR(L1846="",M1846=""),"",IF(OR(L1846="未知",M1846="未知"),"未知",IF(AND(L1846="真",M1846="真"),"TP",IF(AND(L1846="真",M1846="假"),"FP",IF(AND(L1846="假",M1846="真"),"FN","TN"))))))</f>
        <v/>
      </c>
      <c r="S1846" s="3" t="n"/>
      <c r="T1846" s="3" t="n"/>
      <c r="U1846" s="3" t="n"/>
      <c r="V1846" s="3" t="n"/>
    </row>
    <row r="1847">
      <c r="A1847" s="3" t="n"/>
      <c r="B1847" s="3" t="n"/>
      <c r="C1847" s="3" t="n"/>
      <c r="D1847" s="4" t="n"/>
      <c r="E1847" s="3" t="n"/>
      <c r="F1847" s="3" t="n"/>
      <c r="G1847" s="3" t="n"/>
      <c r="H1847" s="3" t="n"/>
      <c r="I1847" s="3" t="n"/>
      <c r="J1847" s="3" t="n"/>
      <c r="K1847" s="3" t="n"/>
      <c r="L1847" s="3" t="n"/>
      <c r="M1847" s="3" t="n"/>
      <c r="N1847" s="3" t="n"/>
      <c r="O1847" s="3" t="n"/>
      <c r="P1847" s="3" t="n"/>
      <c r="Q1847" s="3" t="n"/>
      <c r="R1847" s="5">
        <f>IF(Q1847&lt;&gt;"是","排除",IF(OR(L1847="",M1847=""),"",IF(OR(L1847="未知",M1847="未知"),"未知",IF(AND(L1847="真",M1847="真"),"TP",IF(AND(L1847="真",M1847="假"),"FP",IF(AND(L1847="假",M1847="真"),"FN","TN"))))))</f>
        <v/>
      </c>
      <c r="S1847" s="3" t="n"/>
      <c r="T1847" s="3" t="n"/>
      <c r="U1847" s="3" t="n"/>
      <c r="V1847" s="3" t="n"/>
    </row>
    <row r="1848">
      <c r="A1848" s="3" t="n"/>
      <c r="B1848" s="3" t="n"/>
      <c r="C1848" s="3" t="n"/>
      <c r="D1848" s="4" t="n"/>
      <c r="E1848" s="3" t="n"/>
      <c r="F1848" s="3" t="n"/>
      <c r="G1848" s="3" t="n"/>
      <c r="H1848" s="3" t="n"/>
      <c r="I1848" s="3" t="n"/>
      <c r="J1848" s="3" t="n"/>
      <c r="K1848" s="3" t="n"/>
      <c r="L1848" s="3" t="n"/>
      <c r="M1848" s="3" t="n"/>
      <c r="N1848" s="3" t="n"/>
      <c r="O1848" s="3" t="n"/>
      <c r="P1848" s="3" t="n"/>
      <c r="Q1848" s="3" t="n"/>
      <c r="R1848" s="5">
        <f>IF(Q1848&lt;&gt;"是","排除",IF(OR(L1848="",M1848=""),"",IF(OR(L1848="未知",M1848="未知"),"未知",IF(AND(L1848="真",M1848="真"),"TP",IF(AND(L1848="真",M1848="假"),"FP",IF(AND(L1848="假",M1848="真"),"FN","TN"))))))</f>
        <v/>
      </c>
      <c r="S1848" s="3" t="n"/>
      <c r="T1848" s="3" t="n"/>
      <c r="U1848" s="3" t="n"/>
      <c r="V1848" s="3" t="n"/>
    </row>
    <row r="1849">
      <c r="A1849" s="3" t="n"/>
      <c r="B1849" s="3" t="n"/>
      <c r="C1849" s="3" t="n"/>
      <c r="D1849" s="4" t="n"/>
      <c r="E1849" s="3" t="n"/>
      <c r="F1849" s="3" t="n"/>
      <c r="G1849" s="3" t="n"/>
      <c r="H1849" s="3" t="n"/>
      <c r="I1849" s="3" t="n"/>
      <c r="J1849" s="3" t="n"/>
      <c r="K1849" s="3" t="n"/>
      <c r="L1849" s="3" t="n"/>
      <c r="M1849" s="3" t="n"/>
      <c r="N1849" s="3" t="n"/>
      <c r="O1849" s="3" t="n"/>
      <c r="P1849" s="3" t="n"/>
      <c r="Q1849" s="3" t="n"/>
      <c r="R1849" s="5">
        <f>IF(Q1849&lt;&gt;"是","排除",IF(OR(L1849="",M1849=""),"",IF(OR(L1849="未知",M1849="未知"),"未知",IF(AND(L1849="真",M1849="真"),"TP",IF(AND(L1849="真",M1849="假"),"FP",IF(AND(L1849="假",M1849="真"),"FN","TN"))))))</f>
        <v/>
      </c>
      <c r="S1849" s="3" t="n"/>
      <c r="T1849" s="3" t="n"/>
      <c r="U1849" s="3" t="n"/>
      <c r="V1849" s="3" t="n"/>
    </row>
    <row r="1850">
      <c r="A1850" s="3" t="n"/>
      <c r="B1850" s="3" t="n"/>
      <c r="C1850" s="3" t="n"/>
      <c r="D1850" s="4" t="n"/>
      <c r="E1850" s="3" t="n"/>
      <c r="F1850" s="3" t="n"/>
      <c r="G1850" s="3" t="n"/>
      <c r="H1850" s="3" t="n"/>
      <c r="I1850" s="3" t="n"/>
      <c r="J1850" s="3" t="n"/>
      <c r="K1850" s="3" t="n"/>
      <c r="L1850" s="3" t="n"/>
      <c r="M1850" s="3" t="n"/>
      <c r="N1850" s="3" t="n"/>
      <c r="O1850" s="3" t="n"/>
      <c r="P1850" s="3" t="n"/>
      <c r="Q1850" s="3" t="n"/>
      <c r="R1850" s="5">
        <f>IF(Q1850&lt;&gt;"是","排除",IF(OR(L1850="",M1850=""),"",IF(OR(L1850="未知",M1850="未知"),"未知",IF(AND(L1850="真",M1850="真"),"TP",IF(AND(L1850="真",M1850="假"),"FP",IF(AND(L1850="假",M1850="真"),"FN","TN"))))))</f>
        <v/>
      </c>
      <c r="S1850" s="3" t="n"/>
      <c r="T1850" s="3" t="n"/>
      <c r="U1850" s="3" t="n"/>
      <c r="V1850" s="3" t="n"/>
    </row>
    <row r="1851">
      <c r="A1851" s="3" t="n"/>
      <c r="B1851" s="3" t="n"/>
      <c r="C1851" s="3" t="n"/>
      <c r="D1851" s="4" t="n"/>
      <c r="E1851" s="3" t="n"/>
      <c r="F1851" s="3" t="n"/>
      <c r="G1851" s="3" t="n"/>
      <c r="H1851" s="3" t="n"/>
      <c r="I1851" s="3" t="n"/>
      <c r="J1851" s="3" t="n"/>
      <c r="K1851" s="3" t="n"/>
      <c r="L1851" s="3" t="n"/>
      <c r="M1851" s="3" t="n"/>
      <c r="N1851" s="3" t="n"/>
      <c r="O1851" s="3" t="n"/>
      <c r="P1851" s="3" t="n"/>
      <c r="Q1851" s="3" t="n"/>
      <c r="R1851" s="5">
        <f>IF(Q1851&lt;&gt;"是","排除",IF(OR(L1851="",M1851=""),"",IF(OR(L1851="未知",M1851="未知"),"未知",IF(AND(L1851="真",M1851="真"),"TP",IF(AND(L1851="真",M1851="假"),"FP",IF(AND(L1851="假",M1851="真"),"FN","TN"))))))</f>
        <v/>
      </c>
      <c r="S1851" s="3" t="n"/>
      <c r="T1851" s="3" t="n"/>
      <c r="U1851" s="3" t="n"/>
      <c r="V1851" s="3" t="n"/>
    </row>
    <row r="1852">
      <c r="A1852" s="3" t="n"/>
      <c r="B1852" s="3" t="n"/>
      <c r="C1852" s="3" t="n"/>
      <c r="D1852" s="4" t="n"/>
      <c r="E1852" s="3" t="n"/>
      <c r="F1852" s="3" t="n"/>
      <c r="G1852" s="3" t="n"/>
      <c r="H1852" s="3" t="n"/>
      <c r="I1852" s="3" t="n"/>
      <c r="J1852" s="3" t="n"/>
      <c r="K1852" s="3" t="n"/>
      <c r="L1852" s="3" t="n"/>
      <c r="M1852" s="3" t="n"/>
      <c r="N1852" s="3" t="n"/>
      <c r="O1852" s="3" t="n"/>
      <c r="P1852" s="3" t="n"/>
      <c r="Q1852" s="3" t="n"/>
      <c r="R1852" s="5">
        <f>IF(Q1852&lt;&gt;"是","排除",IF(OR(L1852="",M1852=""),"",IF(OR(L1852="未知",M1852="未知"),"未知",IF(AND(L1852="真",M1852="真"),"TP",IF(AND(L1852="真",M1852="假"),"FP",IF(AND(L1852="假",M1852="真"),"FN","TN"))))))</f>
        <v/>
      </c>
      <c r="S1852" s="3" t="n"/>
      <c r="T1852" s="3" t="n"/>
      <c r="U1852" s="3" t="n"/>
      <c r="V1852" s="3" t="n"/>
    </row>
    <row r="1853">
      <c r="A1853" s="3" t="n"/>
      <c r="B1853" s="3" t="n"/>
      <c r="C1853" s="3" t="n"/>
      <c r="D1853" s="4" t="n"/>
      <c r="E1853" s="3" t="n"/>
      <c r="F1853" s="3" t="n"/>
      <c r="G1853" s="3" t="n"/>
      <c r="H1853" s="3" t="n"/>
      <c r="I1853" s="3" t="n"/>
      <c r="J1853" s="3" t="n"/>
      <c r="K1853" s="3" t="n"/>
      <c r="L1853" s="3" t="n"/>
      <c r="M1853" s="3" t="n"/>
      <c r="N1853" s="3" t="n"/>
      <c r="O1853" s="3" t="n"/>
      <c r="P1853" s="3" t="n"/>
      <c r="Q1853" s="3" t="n"/>
      <c r="R1853" s="5">
        <f>IF(Q1853&lt;&gt;"是","排除",IF(OR(L1853="",M1853=""),"",IF(OR(L1853="未知",M1853="未知"),"未知",IF(AND(L1853="真",M1853="真"),"TP",IF(AND(L1853="真",M1853="假"),"FP",IF(AND(L1853="假",M1853="真"),"FN","TN"))))))</f>
        <v/>
      </c>
      <c r="S1853" s="3" t="n"/>
      <c r="T1853" s="3" t="n"/>
      <c r="U1853" s="3" t="n"/>
      <c r="V1853" s="3" t="n"/>
    </row>
    <row r="1854">
      <c r="A1854" s="3" t="n"/>
      <c r="B1854" s="3" t="n"/>
      <c r="C1854" s="3" t="n"/>
      <c r="D1854" s="4" t="n"/>
      <c r="E1854" s="3" t="n"/>
      <c r="F1854" s="3" t="n"/>
      <c r="G1854" s="3" t="n"/>
      <c r="H1854" s="3" t="n"/>
      <c r="I1854" s="3" t="n"/>
      <c r="J1854" s="3" t="n"/>
      <c r="K1854" s="3" t="n"/>
      <c r="L1854" s="3" t="n"/>
      <c r="M1854" s="3" t="n"/>
      <c r="N1854" s="3" t="n"/>
      <c r="O1854" s="3" t="n"/>
      <c r="P1854" s="3" t="n"/>
      <c r="Q1854" s="3" t="n"/>
      <c r="R1854" s="5">
        <f>IF(Q1854&lt;&gt;"是","排除",IF(OR(L1854="",M1854=""),"",IF(OR(L1854="未知",M1854="未知"),"未知",IF(AND(L1854="真",M1854="真"),"TP",IF(AND(L1854="真",M1854="假"),"FP",IF(AND(L1854="假",M1854="真"),"FN","TN"))))))</f>
        <v/>
      </c>
      <c r="S1854" s="3" t="n"/>
      <c r="T1854" s="3" t="n"/>
      <c r="U1854" s="3" t="n"/>
      <c r="V1854" s="3" t="n"/>
    </row>
    <row r="1855">
      <c r="A1855" s="3" t="n"/>
      <c r="B1855" s="3" t="n"/>
      <c r="C1855" s="3" t="n"/>
      <c r="D1855" s="4" t="n"/>
      <c r="E1855" s="3" t="n"/>
      <c r="F1855" s="3" t="n"/>
      <c r="G1855" s="3" t="n"/>
      <c r="H1855" s="3" t="n"/>
      <c r="I1855" s="3" t="n"/>
      <c r="J1855" s="3" t="n"/>
      <c r="K1855" s="3" t="n"/>
      <c r="L1855" s="3" t="n"/>
      <c r="M1855" s="3" t="n"/>
      <c r="N1855" s="3" t="n"/>
      <c r="O1855" s="3" t="n"/>
      <c r="P1855" s="3" t="n"/>
      <c r="Q1855" s="3" t="n"/>
      <c r="R1855" s="5">
        <f>IF(Q1855&lt;&gt;"是","排除",IF(OR(L1855="",M1855=""),"",IF(OR(L1855="未知",M1855="未知"),"未知",IF(AND(L1855="真",M1855="真"),"TP",IF(AND(L1855="真",M1855="假"),"FP",IF(AND(L1855="假",M1855="真"),"FN","TN"))))))</f>
        <v/>
      </c>
      <c r="S1855" s="3" t="n"/>
      <c r="T1855" s="3" t="n"/>
      <c r="U1855" s="3" t="n"/>
      <c r="V1855" s="3" t="n"/>
    </row>
    <row r="1856">
      <c r="A1856" s="3" t="n"/>
      <c r="B1856" s="3" t="n"/>
      <c r="C1856" s="3" t="n"/>
      <c r="D1856" s="4" t="n"/>
      <c r="E1856" s="3" t="n"/>
      <c r="F1856" s="3" t="n"/>
      <c r="G1856" s="3" t="n"/>
      <c r="H1856" s="3" t="n"/>
      <c r="I1856" s="3" t="n"/>
      <c r="J1856" s="3" t="n"/>
      <c r="K1856" s="3" t="n"/>
      <c r="L1856" s="3" t="n"/>
      <c r="M1856" s="3" t="n"/>
      <c r="N1856" s="3" t="n"/>
      <c r="O1856" s="3" t="n"/>
      <c r="P1856" s="3" t="n"/>
      <c r="Q1856" s="3" t="n"/>
      <c r="R1856" s="5">
        <f>IF(Q1856&lt;&gt;"是","排除",IF(OR(L1856="",M1856=""),"",IF(OR(L1856="未知",M1856="未知"),"未知",IF(AND(L1856="真",M1856="真"),"TP",IF(AND(L1856="真",M1856="假"),"FP",IF(AND(L1856="假",M1856="真"),"FN","TN"))))))</f>
        <v/>
      </c>
      <c r="S1856" s="3" t="n"/>
      <c r="T1856" s="3" t="n"/>
      <c r="U1856" s="3" t="n"/>
      <c r="V1856" s="3" t="n"/>
    </row>
    <row r="1857">
      <c r="A1857" s="3" t="n"/>
      <c r="B1857" s="3" t="n"/>
      <c r="C1857" s="3" t="n"/>
      <c r="D1857" s="4" t="n"/>
      <c r="E1857" s="3" t="n"/>
      <c r="F1857" s="3" t="n"/>
      <c r="G1857" s="3" t="n"/>
      <c r="H1857" s="3" t="n"/>
      <c r="I1857" s="3" t="n"/>
      <c r="J1857" s="3" t="n"/>
      <c r="K1857" s="3" t="n"/>
      <c r="L1857" s="3" t="n"/>
      <c r="M1857" s="3" t="n"/>
      <c r="N1857" s="3" t="n"/>
      <c r="O1857" s="3" t="n"/>
      <c r="P1857" s="3" t="n"/>
      <c r="Q1857" s="3" t="n"/>
      <c r="R1857" s="5">
        <f>IF(Q1857&lt;&gt;"是","排除",IF(OR(L1857="",M1857=""),"",IF(OR(L1857="未知",M1857="未知"),"未知",IF(AND(L1857="真",M1857="真"),"TP",IF(AND(L1857="真",M1857="假"),"FP",IF(AND(L1857="假",M1857="真"),"FN","TN"))))))</f>
        <v/>
      </c>
      <c r="S1857" s="3" t="n"/>
      <c r="T1857" s="3" t="n"/>
      <c r="U1857" s="3" t="n"/>
      <c r="V1857" s="3" t="n"/>
    </row>
    <row r="1858">
      <c r="A1858" s="3" t="n"/>
      <c r="B1858" s="3" t="n"/>
      <c r="C1858" s="3" t="n"/>
      <c r="D1858" s="4" t="n"/>
      <c r="E1858" s="3" t="n"/>
      <c r="F1858" s="3" t="n"/>
      <c r="G1858" s="3" t="n"/>
      <c r="H1858" s="3" t="n"/>
      <c r="I1858" s="3" t="n"/>
      <c r="J1858" s="3" t="n"/>
      <c r="K1858" s="3" t="n"/>
      <c r="L1858" s="3" t="n"/>
      <c r="M1858" s="3" t="n"/>
      <c r="N1858" s="3" t="n"/>
      <c r="O1858" s="3" t="n"/>
      <c r="P1858" s="3" t="n"/>
      <c r="Q1858" s="3" t="n"/>
      <c r="R1858" s="5">
        <f>IF(Q1858&lt;&gt;"是","排除",IF(OR(L1858="",M1858=""),"",IF(OR(L1858="未知",M1858="未知"),"未知",IF(AND(L1858="真",M1858="真"),"TP",IF(AND(L1858="真",M1858="假"),"FP",IF(AND(L1858="假",M1858="真"),"FN","TN"))))))</f>
        <v/>
      </c>
      <c r="S1858" s="3" t="n"/>
      <c r="T1858" s="3" t="n"/>
      <c r="U1858" s="3" t="n"/>
      <c r="V1858" s="3" t="n"/>
    </row>
    <row r="1859">
      <c r="A1859" s="3" t="n"/>
      <c r="B1859" s="3" t="n"/>
      <c r="C1859" s="3" t="n"/>
      <c r="D1859" s="4" t="n"/>
      <c r="E1859" s="3" t="n"/>
      <c r="F1859" s="3" t="n"/>
      <c r="G1859" s="3" t="n"/>
      <c r="H1859" s="3" t="n"/>
      <c r="I1859" s="3" t="n"/>
      <c r="J1859" s="3" t="n"/>
      <c r="K1859" s="3" t="n"/>
      <c r="L1859" s="3" t="n"/>
      <c r="M1859" s="3" t="n"/>
      <c r="N1859" s="3" t="n"/>
      <c r="O1859" s="3" t="n"/>
      <c r="P1859" s="3" t="n"/>
      <c r="Q1859" s="3" t="n"/>
      <c r="R1859" s="5">
        <f>IF(Q1859&lt;&gt;"是","排除",IF(OR(L1859="",M1859=""),"",IF(OR(L1859="未知",M1859="未知"),"未知",IF(AND(L1859="真",M1859="真"),"TP",IF(AND(L1859="真",M1859="假"),"FP",IF(AND(L1859="假",M1859="真"),"FN","TN"))))))</f>
        <v/>
      </c>
      <c r="S1859" s="3" t="n"/>
      <c r="T1859" s="3" t="n"/>
      <c r="U1859" s="3" t="n"/>
      <c r="V1859" s="3" t="n"/>
    </row>
    <row r="1860">
      <c r="A1860" s="3" t="n"/>
      <c r="B1860" s="3" t="n"/>
      <c r="C1860" s="3" t="n"/>
      <c r="D1860" s="4" t="n"/>
      <c r="E1860" s="3" t="n"/>
      <c r="F1860" s="3" t="n"/>
      <c r="G1860" s="3" t="n"/>
      <c r="H1860" s="3" t="n"/>
      <c r="I1860" s="3" t="n"/>
      <c r="J1860" s="3" t="n"/>
      <c r="K1860" s="3" t="n"/>
      <c r="L1860" s="3" t="n"/>
      <c r="M1860" s="3" t="n"/>
      <c r="N1860" s="3" t="n"/>
      <c r="O1860" s="3" t="n"/>
      <c r="P1860" s="3" t="n"/>
      <c r="Q1860" s="3" t="n"/>
      <c r="R1860" s="5">
        <f>IF(Q1860&lt;&gt;"是","排除",IF(OR(L1860="",M1860=""),"",IF(OR(L1860="未知",M1860="未知"),"未知",IF(AND(L1860="真",M1860="真"),"TP",IF(AND(L1860="真",M1860="假"),"FP",IF(AND(L1860="假",M1860="真"),"FN","TN"))))))</f>
        <v/>
      </c>
      <c r="S1860" s="3" t="n"/>
      <c r="T1860" s="3" t="n"/>
      <c r="U1860" s="3" t="n"/>
      <c r="V1860" s="3" t="n"/>
    </row>
    <row r="1861">
      <c r="A1861" s="3" t="n"/>
      <c r="B1861" s="3" t="n"/>
      <c r="C1861" s="3" t="n"/>
      <c r="D1861" s="4" t="n"/>
      <c r="E1861" s="3" t="n"/>
      <c r="F1861" s="3" t="n"/>
      <c r="G1861" s="3" t="n"/>
      <c r="H1861" s="3" t="n"/>
      <c r="I1861" s="3" t="n"/>
      <c r="J1861" s="3" t="n"/>
      <c r="K1861" s="3" t="n"/>
      <c r="L1861" s="3" t="n"/>
      <c r="M1861" s="3" t="n"/>
      <c r="N1861" s="3" t="n"/>
      <c r="O1861" s="3" t="n"/>
      <c r="P1861" s="3" t="n"/>
      <c r="Q1861" s="3" t="n"/>
      <c r="R1861" s="5">
        <f>IF(Q1861&lt;&gt;"是","排除",IF(OR(L1861="",M1861=""),"",IF(OR(L1861="未知",M1861="未知"),"未知",IF(AND(L1861="真",M1861="真"),"TP",IF(AND(L1861="真",M1861="假"),"FP",IF(AND(L1861="假",M1861="真"),"FN","TN"))))))</f>
        <v/>
      </c>
      <c r="S1861" s="3" t="n"/>
      <c r="T1861" s="3" t="n"/>
      <c r="U1861" s="3" t="n"/>
      <c r="V1861" s="3" t="n"/>
    </row>
    <row r="1862">
      <c r="A1862" s="3" t="n"/>
      <c r="B1862" s="3" t="n"/>
      <c r="C1862" s="3" t="n"/>
      <c r="D1862" s="4" t="n"/>
      <c r="E1862" s="3" t="n"/>
      <c r="F1862" s="3" t="n"/>
      <c r="G1862" s="3" t="n"/>
      <c r="H1862" s="3" t="n"/>
      <c r="I1862" s="3" t="n"/>
      <c r="J1862" s="3" t="n"/>
      <c r="K1862" s="3" t="n"/>
      <c r="L1862" s="3" t="n"/>
      <c r="M1862" s="3" t="n"/>
      <c r="N1862" s="3" t="n"/>
      <c r="O1862" s="3" t="n"/>
      <c r="P1862" s="3" t="n"/>
      <c r="Q1862" s="3" t="n"/>
      <c r="R1862" s="5">
        <f>IF(Q1862&lt;&gt;"是","排除",IF(OR(L1862="",M1862=""),"",IF(OR(L1862="未知",M1862="未知"),"未知",IF(AND(L1862="真",M1862="真"),"TP",IF(AND(L1862="真",M1862="假"),"FP",IF(AND(L1862="假",M1862="真"),"FN","TN"))))))</f>
        <v/>
      </c>
      <c r="S1862" s="3" t="n"/>
      <c r="T1862" s="3" t="n"/>
      <c r="U1862" s="3" t="n"/>
      <c r="V1862" s="3" t="n"/>
    </row>
    <row r="1863">
      <c r="A1863" s="3" t="n"/>
      <c r="B1863" s="3" t="n"/>
      <c r="C1863" s="3" t="n"/>
      <c r="D1863" s="4" t="n"/>
      <c r="E1863" s="3" t="n"/>
      <c r="F1863" s="3" t="n"/>
      <c r="G1863" s="3" t="n"/>
      <c r="H1863" s="3" t="n"/>
      <c r="I1863" s="3" t="n"/>
      <c r="J1863" s="3" t="n"/>
      <c r="K1863" s="3" t="n"/>
      <c r="L1863" s="3" t="n"/>
      <c r="M1863" s="3" t="n"/>
      <c r="N1863" s="3" t="n"/>
      <c r="O1863" s="3" t="n"/>
      <c r="P1863" s="3" t="n"/>
      <c r="Q1863" s="3" t="n"/>
      <c r="R1863" s="5">
        <f>IF(Q1863&lt;&gt;"是","排除",IF(OR(L1863="",M1863=""),"",IF(OR(L1863="未知",M1863="未知"),"未知",IF(AND(L1863="真",M1863="真"),"TP",IF(AND(L1863="真",M1863="假"),"FP",IF(AND(L1863="假",M1863="真"),"FN","TN"))))))</f>
        <v/>
      </c>
      <c r="S1863" s="3" t="n"/>
      <c r="T1863" s="3" t="n"/>
      <c r="U1863" s="3" t="n"/>
      <c r="V1863" s="3" t="n"/>
    </row>
    <row r="1864">
      <c r="A1864" s="3" t="n"/>
      <c r="B1864" s="3" t="n"/>
      <c r="C1864" s="3" t="n"/>
      <c r="D1864" s="4" t="n"/>
      <c r="E1864" s="3" t="n"/>
      <c r="F1864" s="3" t="n"/>
      <c r="G1864" s="3" t="n"/>
      <c r="H1864" s="3" t="n"/>
      <c r="I1864" s="3" t="n"/>
      <c r="J1864" s="3" t="n"/>
      <c r="K1864" s="3" t="n"/>
      <c r="L1864" s="3" t="n"/>
      <c r="M1864" s="3" t="n"/>
      <c r="N1864" s="3" t="n"/>
      <c r="O1864" s="3" t="n"/>
      <c r="P1864" s="3" t="n"/>
      <c r="Q1864" s="3" t="n"/>
      <c r="R1864" s="5">
        <f>IF(Q1864&lt;&gt;"是","排除",IF(OR(L1864="",M1864=""),"",IF(OR(L1864="未知",M1864="未知"),"未知",IF(AND(L1864="真",M1864="真"),"TP",IF(AND(L1864="真",M1864="假"),"FP",IF(AND(L1864="假",M1864="真"),"FN","TN"))))))</f>
        <v/>
      </c>
      <c r="S1864" s="3" t="n"/>
      <c r="T1864" s="3" t="n"/>
      <c r="U1864" s="3" t="n"/>
      <c r="V1864" s="3" t="n"/>
    </row>
    <row r="1865">
      <c r="A1865" s="3" t="n"/>
      <c r="B1865" s="3" t="n"/>
      <c r="C1865" s="3" t="n"/>
      <c r="D1865" s="4" t="n"/>
      <c r="E1865" s="3" t="n"/>
      <c r="F1865" s="3" t="n"/>
      <c r="G1865" s="3" t="n"/>
      <c r="H1865" s="3" t="n"/>
      <c r="I1865" s="3" t="n"/>
      <c r="J1865" s="3" t="n"/>
      <c r="K1865" s="3" t="n"/>
      <c r="L1865" s="3" t="n"/>
      <c r="M1865" s="3" t="n"/>
      <c r="N1865" s="3" t="n"/>
      <c r="O1865" s="3" t="n"/>
      <c r="P1865" s="3" t="n"/>
      <c r="Q1865" s="3" t="n"/>
      <c r="R1865" s="5">
        <f>IF(Q1865&lt;&gt;"是","排除",IF(OR(L1865="",M1865=""),"",IF(OR(L1865="未知",M1865="未知"),"未知",IF(AND(L1865="真",M1865="真"),"TP",IF(AND(L1865="真",M1865="假"),"FP",IF(AND(L1865="假",M1865="真"),"FN","TN"))))))</f>
        <v/>
      </c>
      <c r="S1865" s="3" t="n"/>
      <c r="T1865" s="3" t="n"/>
      <c r="U1865" s="3" t="n"/>
      <c r="V1865" s="3" t="n"/>
    </row>
    <row r="1866">
      <c r="A1866" s="3" t="n"/>
      <c r="B1866" s="3" t="n"/>
      <c r="C1866" s="3" t="n"/>
      <c r="D1866" s="4" t="n"/>
      <c r="E1866" s="3" t="n"/>
      <c r="F1866" s="3" t="n"/>
      <c r="G1866" s="3" t="n"/>
      <c r="H1866" s="3" t="n"/>
      <c r="I1866" s="3" t="n"/>
      <c r="J1866" s="3" t="n"/>
      <c r="K1866" s="3" t="n"/>
      <c r="L1866" s="3" t="n"/>
      <c r="M1866" s="3" t="n"/>
      <c r="N1866" s="3" t="n"/>
      <c r="O1866" s="3" t="n"/>
      <c r="P1866" s="3" t="n"/>
      <c r="Q1866" s="3" t="n"/>
      <c r="R1866" s="5">
        <f>IF(Q1866&lt;&gt;"是","排除",IF(OR(L1866="",M1866=""),"",IF(OR(L1866="未知",M1866="未知"),"未知",IF(AND(L1866="真",M1866="真"),"TP",IF(AND(L1866="真",M1866="假"),"FP",IF(AND(L1866="假",M1866="真"),"FN","TN"))))))</f>
        <v/>
      </c>
      <c r="S1866" s="3" t="n"/>
      <c r="T1866" s="3" t="n"/>
      <c r="U1866" s="3" t="n"/>
      <c r="V1866" s="3" t="n"/>
    </row>
    <row r="1867">
      <c r="A1867" s="3" t="n"/>
      <c r="B1867" s="3" t="n"/>
      <c r="C1867" s="3" t="n"/>
      <c r="D1867" s="4" t="n"/>
      <c r="E1867" s="3" t="n"/>
      <c r="F1867" s="3" t="n"/>
      <c r="G1867" s="3" t="n"/>
      <c r="H1867" s="3" t="n"/>
      <c r="I1867" s="3" t="n"/>
      <c r="J1867" s="3" t="n"/>
      <c r="K1867" s="3" t="n"/>
      <c r="L1867" s="3" t="n"/>
      <c r="M1867" s="3" t="n"/>
      <c r="N1867" s="3" t="n"/>
      <c r="O1867" s="3" t="n"/>
      <c r="P1867" s="3" t="n"/>
      <c r="Q1867" s="3" t="n"/>
      <c r="R1867" s="5">
        <f>IF(Q1867&lt;&gt;"是","排除",IF(OR(L1867="",M1867=""),"",IF(OR(L1867="未知",M1867="未知"),"未知",IF(AND(L1867="真",M1867="真"),"TP",IF(AND(L1867="真",M1867="假"),"FP",IF(AND(L1867="假",M1867="真"),"FN","TN"))))))</f>
        <v/>
      </c>
      <c r="S1867" s="3" t="n"/>
      <c r="T1867" s="3" t="n"/>
      <c r="U1867" s="3" t="n"/>
      <c r="V1867" s="3" t="n"/>
    </row>
    <row r="1868">
      <c r="A1868" s="3" t="n"/>
      <c r="B1868" s="3" t="n"/>
      <c r="C1868" s="3" t="n"/>
      <c r="D1868" s="4" t="n"/>
      <c r="E1868" s="3" t="n"/>
      <c r="F1868" s="3" t="n"/>
      <c r="G1868" s="3" t="n"/>
      <c r="H1868" s="3" t="n"/>
      <c r="I1868" s="3" t="n"/>
      <c r="J1868" s="3" t="n"/>
      <c r="K1868" s="3" t="n"/>
      <c r="L1868" s="3" t="n"/>
      <c r="M1868" s="3" t="n"/>
      <c r="N1868" s="3" t="n"/>
      <c r="O1868" s="3" t="n"/>
      <c r="P1868" s="3" t="n"/>
      <c r="Q1868" s="3" t="n"/>
      <c r="R1868" s="5">
        <f>IF(Q1868&lt;&gt;"是","排除",IF(OR(L1868="",M1868=""),"",IF(OR(L1868="未知",M1868="未知"),"未知",IF(AND(L1868="真",M1868="真"),"TP",IF(AND(L1868="真",M1868="假"),"FP",IF(AND(L1868="假",M1868="真"),"FN","TN"))))))</f>
        <v/>
      </c>
      <c r="S1868" s="3" t="n"/>
      <c r="T1868" s="3" t="n"/>
      <c r="U1868" s="3" t="n"/>
      <c r="V1868" s="3" t="n"/>
    </row>
    <row r="1869">
      <c r="A1869" s="3" t="n"/>
      <c r="B1869" s="3" t="n"/>
      <c r="C1869" s="3" t="n"/>
      <c r="D1869" s="4" t="n"/>
      <c r="E1869" s="3" t="n"/>
      <c r="F1869" s="3" t="n"/>
      <c r="G1869" s="3" t="n"/>
      <c r="H1869" s="3" t="n"/>
      <c r="I1869" s="3" t="n"/>
      <c r="J1869" s="3" t="n"/>
      <c r="K1869" s="3" t="n"/>
      <c r="L1869" s="3" t="n"/>
      <c r="M1869" s="3" t="n"/>
      <c r="N1869" s="3" t="n"/>
      <c r="O1869" s="3" t="n"/>
      <c r="P1869" s="3" t="n"/>
      <c r="Q1869" s="3" t="n"/>
      <c r="R1869" s="5">
        <f>IF(Q1869&lt;&gt;"是","排除",IF(OR(L1869="",M1869=""),"",IF(OR(L1869="未知",M1869="未知"),"未知",IF(AND(L1869="真",M1869="真"),"TP",IF(AND(L1869="真",M1869="假"),"FP",IF(AND(L1869="假",M1869="真"),"FN","TN"))))))</f>
        <v/>
      </c>
      <c r="S1869" s="3" t="n"/>
      <c r="T1869" s="3" t="n"/>
      <c r="U1869" s="3" t="n"/>
      <c r="V1869" s="3" t="n"/>
    </row>
    <row r="1870">
      <c r="A1870" s="3" t="n"/>
      <c r="B1870" s="3" t="n"/>
      <c r="C1870" s="3" t="n"/>
      <c r="D1870" s="4" t="n"/>
      <c r="E1870" s="3" t="n"/>
      <c r="F1870" s="3" t="n"/>
      <c r="G1870" s="3" t="n"/>
      <c r="H1870" s="3" t="n"/>
      <c r="I1870" s="3" t="n"/>
      <c r="J1870" s="3" t="n"/>
      <c r="K1870" s="3" t="n"/>
      <c r="L1870" s="3" t="n"/>
      <c r="M1870" s="3" t="n"/>
      <c r="N1870" s="3" t="n"/>
      <c r="O1870" s="3" t="n"/>
      <c r="P1870" s="3" t="n"/>
      <c r="Q1870" s="3" t="n"/>
      <c r="R1870" s="5">
        <f>IF(Q1870&lt;&gt;"是","排除",IF(OR(L1870="",M1870=""),"",IF(OR(L1870="未知",M1870="未知"),"未知",IF(AND(L1870="真",M1870="真"),"TP",IF(AND(L1870="真",M1870="假"),"FP",IF(AND(L1870="假",M1870="真"),"FN","TN"))))))</f>
        <v/>
      </c>
      <c r="S1870" s="3" t="n"/>
      <c r="T1870" s="3" t="n"/>
      <c r="U1870" s="3" t="n"/>
      <c r="V1870" s="3" t="n"/>
    </row>
    <row r="1871">
      <c r="A1871" s="3" t="n"/>
      <c r="B1871" s="3" t="n"/>
      <c r="C1871" s="3" t="n"/>
      <c r="D1871" s="4" t="n"/>
      <c r="E1871" s="3" t="n"/>
      <c r="F1871" s="3" t="n"/>
      <c r="G1871" s="3" t="n"/>
      <c r="H1871" s="3" t="n"/>
      <c r="I1871" s="3" t="n"/>
      <c r="J1871" s="3" t="n"/>
      <c r="K1871" s="3" t="n"/>
      <c r="L1871" s="3" t="n"/>
      <c r="M1871" s="3" t="n"/>
      <c r="N1871" s="3" t="n"/>
      <c r="O1871" s="3" t="n"/>
      <c r="P1871" s="3" t="n"/>
      <c r="Q1871" s="3" t="n"/>
      <c r="R1871" s="5">
        <f>IF(Q1871&lt;&gt;"是","排除",IF(OR(L1871="",M1871=""),"",IF(OR(L1871="未知",M1871="未知"),"未知",IF(AND(L1871="真",M1871="真"),"TP",IF(AND(L1871="真",M1871="假"),"FP",IF(AND(L1871="假",M1871="真"),"FN","TN"))))))</f>
        <v/>
      </c>
      <c r="S1871" s="3" t="n"/>
      <c r="T1871" s="3" t="n"/>
      <c r="U1871" s="3" t="n"/>
      <c r="V1871" s="3" t="n"/>
    </row>
    <row r="1872">
      <c r="A1872" s="3" t="n"/>
      <c r="B1872" s="3" t="n"/>
      <c r="C1872" s="3" t="n"/>
      <c r="D1872" s="4" t="n"/>
      <c r="E1872" s="3" t="n"/>
      <c r="F1872" s="3" t="n"/>
      <c r="G1872" s="3" t="n"/>
      <c r="H1872" s="3" t="n"/>
      <c r="I1872" s="3" t="n"/>
      <c r="J1872" s="3" t="n"/>
      <c r="K1872" s="3" t="n"/>
      <c r="L1872" s="3" t="n"/>
      <c r="M1872" s="3" t="n"/>
      <c r="N1872" s="3" t="n"/>
      <c r="O1872" s="3" t="n"/>
      <c r="P1872" s="3" t="n"/>
      <c r="Q1872" s="3" t="n"/>
      <c r="R1872" s="5">
        <f>IF(Q1872&lt;&gt;"是","排除",IF(OR(L1872="",M1872=""),"",IF(OR(L1872="未知",M1872="未知"),"未知",IF(AND(L1872="真",M1872="真"),"TP",IF(AND(L1872="真",M1872="假"),"FP",IF(AND(L1872="假",M1872="真"),"FN","TN"))))))</f>
        <v/>
      </c>
      <c r="S1872" s="3" t="n"/>
      <c r="T1872" s="3" t="n"/>
      <c r="U1872" s="3" t="n"/>
      <c r="V1872" s="3" t="n"/>
    </row>
    <row r="1873">
      <c r="A1873" s="3" t="n"/>
      <c r="B1873" s="3" t="n"/>
      <c r="C1873" s="3" t="n"/>
      <c r="D1873" s="4" t="n"/>
      <c r="E1873" s="3" t="n"/>
      <c r="F1873" s="3" t="n"/>
      <c r="G1873" s="3" t="n"/>
      <c r="H1873" s="3" t="n"/>
      <c r="I1873" s="3" t="n"/>
      <c r="J1873" s="3" t="n"/>
      <c r="K1873" s="3" t="n"/>
      <c r="L1873" s="3" t="n"/>
      <c r="M1873" s="3" t="n"/>
      <c r="N1873" s="3" t="n"/>
      <c r="O1873" s="3" t="n"/>
      <c r="P1873" s="3" t="n"/>
      <c r="Q1873" s="3" t="n"/>
      <c r="R1873" s="5">
        <f>IF(Q1873&lt;&gt;"是","排除",IF(OR(L1873="",M1873=""),"",IF(OR(L1873="未知",M1873="未知"),"未知",IF(AND(L1873="真",M1873="真"),"TP",IF(AND(L1873="真",M1873="假"),"FP",IF(AND(L1873="假",M1873="真"),"FN","TN"))))))</f>
        <v/>
      </c>
      <c r="S1873" s="3" t="n"/>
      <c r="T1873" s="3" t="n"/>
      <c r="U1873" s="3" t="n"/>
      <c r="V1873" s="3" t="n"/>
    </row>
    <row r="1874">
      <c r="A1874" s="3" t="n"/>
      <c r="B1874" s="3" t="n"/>
      <c r="C1874" s="3" t="n"/>
      <c r="D1874" s="4" t="n"/>
      <c r="E1874" s="3" t="n"/>
      <c r="F1874" s="3" t="n"/>
      <c r="G1874" s="3" t="n"/>
      <c r="H1874" s="3" t="n"/>
      <c r="I1874" s="3" t="n"/>
      <c r="J1874" s="3" t="n"/>
      <c r="K1874" s="3" t="n"/>
      <c r="L1874" s="3" t="n"/>
      <c r="M1874" s="3" t="n"/>
      <c r="N1874" s="3" t="n"/>
      <c r="O1874" s="3" t="n"/>
      <c r="P1874" s="3" t="n"/>
      <c r="Q1874" s="3" t="n"/>
      <c r="R1874" s="5">
        <f>IF(Q1874&lt;&gt;"是","排除",IF(OR(L1874="",M1874=""),"",IF(OR(L1874="未知",M1874="未知"),"未知",IF(AND(L1874="真",M1874="真"),"TP",IF(AND(L1874="真",M1874="假"),"FP",IF(AND(L1874="假",M1874="真"),"FN","TN"))))))</f>
        <v/>
      </c>
      <c r="S1874" s="3" t="n"/>
      <c r="T1874" s="3" t="n"/>
      <c r="U1874" s="3" t="n"/>
      <c r="V1874" s="3" t="n"/>
    </row>
    <row r="1875">
      <c r="A1875" s="3" t="n"/>
      <c r="B1875" s="3" t="n"/>
      <c r="C1875" s="3" t="n"/>
      <c r="D1875" s="4" t="n"/>
      <c r="E1875" s="3" t="n"/>
      <c r="F1875" s="3" t="n"/>
      <c r="G1875" s="3" t="n"/>
      <c r="H1875" s="3" t="n"/>
      <c r="I1875" s="3" t="n"/>
      <c r="J1875" s="3" t="n"/>
      <c r="K1875" s="3" t="n"/>
      <c r="L1875" s="3" t="n"/>
      <c r="M1875" s="3" t="n"/>
      <c r="N1875" s="3" t="n"/>
      <c r="O1875" s="3" t="n"/>
      <c r="P1875" s="3" t="n"/>
      <c r="Q1875" s="3" t="n"/>
      <c r="R1875" s="5">
        <f>IF(Q1875&lt;&gt;"是","排除",IF(OR(L1875="",M1875=""),"",IF(OR(L1875="未知",M1875="未知"),"未知",IF(AND(L1875="真",M1875="真"),"TP",IF(AND(L1875="真",M1875="假"),"FP",IF(AND(L1875="假",M1875="真"),"FN","TN"))))))</f>
        <v/>
      </c>
      <c r="S1875" s="3" t="n"/>
      <c r="T1875" s="3" t="n"/>
      <c r="U1875" s="3" t="n"/>
      <c r="V1875" s="3" t="n"/>
    </row>
    <row r="1876">
      <c r="A1876" s="3" t="n"/>
      <c r="B1876" s="3" t="n"/>
      <c r="C1876" s="3" t="n"/>
      <c r="D1876" s="4" t="n"/>
      <c r="E1876" s="3" t="n"/>
      <c r="F1876" s="3" t="n"/>
      <c r="G1876" s="3" t="n"/>
      <c r="H1876" s="3" t="n"/>
      <c r="I1876" s="3" t="n"/>
      <c r="J1876" s="3" t="n"/>
      <c r="K1876" s="3" t="n"/>
      <c r="L1876" s="3" t="n"/>
      <c r="M1876" s="3" t="n"/>
      <c r="N1876" s="3" t="n"/>
      <c r="O1876" s="3" t="n"/>
      <c r="P1876" s="3" t="n"/>
      <c r="Q1876" s="3" t="n"/>
      <c r="R1876" s="5">
        <f>IF(Q1876&lt;&gt;"是","排除",IF(OR(L1876="",M1876=""),"",IF(OR(L1876="未知",M1876="未知"),"未知",IF(AND(L1876="真",M1876="真"),"TP",IF(AND(L1876="真",M1876="假"),"FP",IF(AND(L1876="假",M1876="真"),"FN","TN"))))))</f>
        <v/>
      </c>
      <c r="S1876" s="3" t="n"/>
      <c r="T1876" s="3" t="n"/>
      <c r="U1876" s="3" t="n"/>
      <c r="V1876" s="3" t="n"/>
    </row>
    <row r="1877">
      <c r="A1877" s="3" t="n"/>
      <c r="B1877" s="3" t="n"/>
      <c r="C1877" s="3" t="n"/>
      <c r="D1877" s="4" t="n"/>
      <c r="E1877" s="3" t="n"/>
      <c r="F1877" s="3" t="n"/>
      <c r="G1877" s="3" t="n"/>
      <c r="H1877" s="3" t="n"/>
      <c r="I1877" s="3" t="n"/>
      <c r="J1877" s="3" t="n"/>
      <c r="K1877" s="3" t="n"/>
      <c r="L1877" s="3" t="n"/>
      <c r="M1877" s="3" t="n"/>
      <c r="N1877" s="3" t="n"/>
      <c r="O1877" s="3" t="n"/>
      <c r="P1877" s="3" t="n"/>
      <c r="Q1877" s="3" t="n"/>
      <c r="R1877" s="5">
        <f>IF(Q1877&lt;&gt;"是","排除",IF(OR(L1877="",M1877=""),"",IF(OR(L1877="未知",M1877="未知"),"未知",IF(AND(L1877="真",M1877="真"),"TP",IF(AND(L1877="真",M1877="假"),"FP",IF(AND(L1877="假",M1877="真"),"FN","TN"))))))</f>
        <v/>
      </c>
      <c r="S1877" s="3" t="n"/>
      <c r="T1877" s="3" t="n"/>
      <c r="U1877" s="3" t="n"/>
      <c r="V1877" s="3" t="n"/>
    </row>
    <row r="1878">
      <c r="A1878" s="3" t="n"/>
      <c r="B1878" s="3" t="n"/>
      <c r="C1878" s="3" t="n"/>
      <c r="D1878" s="4" t="n"/>
      <c r="E1878" s="3" t="n"/>
      <c r="F1878" s="3" t="n"/>
      <c r="G1878" s="3" t="n"/>
      <c r="H1878" s="3" t="n"/>
      <c r="I1878" s="3" t="n"/>
      <c r="J1878" s="3" t="n"/>
      <c r="K1878" s="3" t="n"/>
      <c r="L1878" s="3" t="n"/>
      <c r="M1878" s="3" t="n"/>
      <c r="N1878" s="3" t="n"/>
      <c r="O1878" s="3" t="n"/>
      <c r="P1878" s="3" t="n"/>
      <c r="Q1878" s="3" t="n"/>
      <c r="R1878" s="5">
        <f>IF(Q1878&lt;&gt;"是","排除",IF(OR(L1878="",M1878=""),"",IF(OR(L1878="未知",M1878="未知"),"未知",IF(AND(L1878="真",M1878="真"),"TP",IF(AND(L1878="真",M1878="假"),"FP",IF(AND(L1878="假",M1878="真"),"FN","TN"))))))</f>
        <v/>
      </c>
      <c r="S1878" s="3" t="n"/>
      <c r="T1878" s="3" t="n"/>
      <c r="U1878" s="3" t="n"/>
      <c r="V1878" s="3" t="n"/>
    </row>
    <row r="1879">
      <c r="A1879" s="3" t="n"/>
      <c r="B1879" s="3" t="n"/>
      <c r="C1879" s="3" t="n"/>
      <c r="D1879" s="4" t="n"/>
      <c r="E1879" s="3" t="n"/>
      <c r="F1879" s="3" t="n"/>
      <c r="G1879" s="3" t="n"/>
      <c r="H1879" s="3" t="n"/>
      <c r="I1879" s="3" t="n"/>
      <c r="J1879" s="3" t="n"/>
      <c r="K1879" s="3" t="n"/>
      <c r="L1879" s="3" t="n"/>
      <c r="M1879" s="3" t="n"/>
      <c r="N1879" s="3" t="n"/>
      <c r="O1879" s="3" t="n"/>
      <c r="P1879" s="3" t="n"/>
      <c r="Q1879" s="3" t="n"/>
      <c r="R1879" s="5">
        <f>IF(Q1879&lt;&gt;"是","排除",IF(OR(L1879="",M1879=""),"",IF(OR(L1879="未知",M1879="未知"),"未知",IF(AND(L1879="真",M1879="真"),"TP",IF(AND(L1879="真",M1879="假"),"FP",IF(AND(L1879="假",M1879="真"),"FN","TN"))))))</f>
        <v/>
      </c>
      <c r="S1879" s="3" t="n"/>
      <c r="T1879" s="3" t="n"/>
      <c r="U1879" s="3" t="n"/>
      <c r="V1879" s="3" t="n"/>
    </row>
    <row r="1880">
      <c r="A1880" s="3" t="n"/>
      <c r="B1880" s="3" t="n"/>
      <c r="C1880" s="3" t="n"/>
      <c r="D1880" s="4" t="n"/>
      <c r="E1880" s="3" t="n"/>
      <c r="F1880" s="3" t="n"/>
      <c r="G1880" s="3" t="n"/>
      <c r="H1880" s="3" t="n"/>
      <c r="I1880" s="3" t="n"/>
      <c r="J1880" s="3" t="n"/>
      <c r="K1880" s="3" t="n"/>
      <c r="L1880" s="3" t="n"/>
      <c r="M1880" s="3" t="n"/>
      <c r="N1880" s="3" t="n"/>
      <c r="O1880" s="3" t="n"/>
      <c r="P1880" s="3" t="n"/>
      <c r="Q1880" s="3" t="n"/>
      <c r="R1880" s="5">
        <f>IF(Q1880&lt;&gt;"是","排除",IF(OR(L1880="",M1880=""),"",IF(OR(L1880="未知",M1880="未知"),"未知",IF(AND(L1880="真",M1880="真"),"TP",IF(AND(L1880="真",M1880="假"),"FP",IF(AND(L1880="假",M1880="真"),"FN","TN"))))))</f>
        <v/>
      </c>
      <c r="S1880" s="3" t="n"/>
      <c r="T1880" s="3" t="n"/>
      <c r="U1880" s="3" t="n"/>
      <c r="V1880" s="3" t="n"/>
    </row>
    <row r="1881">
      <c r="A1881" s="3" t="n"/>
      <c r="B1881" s="3" t="n"/>
      <c r="C1881" s="3" t="n"/>
      <c r="D1881" s="4" t="n"/>
      <c r="E1881" s="3" t="n"/>
      <c r="F1881" s="3" t="n"/>
      <c r="G1881" s="3" t="n"/>
      <c r="H1881" s="3" t="n"/>
      <c r="I1881" s="3" t="n"/>
      <c r="J1881" s="3" t="n"/>
      <c r="K1881" s="3" t="n"/>
      <c r="L1881" s="3" t="n"/>
      <c r="M1881" s="3" t="n"/>
      <c r="N1881" s="3" t="n"/>
      <c r="O1881" s="3" t="n"/>
      <c r="P1881" s="3" t="n"/>
      <c r="Q1881" s="3" t="n"/>
      <c r="R1881" s="5">
        <f>IF(Q1881&lt;&gt;"是","排除",IF(OR(L1881="",M1881=""),"",IF(OR(L1881="未知",M1881="未知"),"未知",IF(AND(L1881="真",M1881="真"),"TP",IF(AND(L1881="真",M1881="假"),"FP",IF(AND(L1881="假",M1881="真"),"FN","TN"))))))</f>
        <v/>
      </c>
      <c r="S1881" s="3" t="n"/>
      <c r="T1881" s="3" t="n"/>
      <c r="U1881" s="3" t="n"/>
      <c r="V1881" s="3" t="n"/>
    </row>
    <row r="1882">
      <c r="A1882" s="3" t="n"/>
      <c r="B1882" s="3" t="n"/>
      <c r="C1882" s="3" t="n"/>
      <c r="D1882" s="4" t="n"/>
      <c r="E1882" s="3" t="n"/>
      <c r="F1882" s="3" t="n"/>
      <c r="G1882" s="3" t="n"/>
      <c r="H1882" s="3" t="n"/>
      <c r="I1882" s="3" t="n"/>
      <c r="J1882" s="3" t="n"/>
      <c r="K1882" s="3" t="n"/>
      <c r="L1882" s="3" t="n"/>
      <c r="M1882" s="3" t="n"/>
      <c r="N1882" s="3" t="n"/>
      <c r="O1882" s="3" t="n"/>
      <c r="P1882" s="3" t="n"/>
      <c r="Q1882" s="3" t="n"/>
      <c r="R1882" s="5">
        <f>IF(Q1882&lt;&gt;"是","排除",IF(OR(L1882="",M1882=""),"",IF(OR(L1882="未知",M1882="未知"),"未知",IF(AND(L1882="真",M1882="真"),"TP",IF(AND(L1882="真",M1882="假"),"FP",IF(AND(L1882="假",M1882="真"),"FN","TN"))))))</f>
        <v/>
      </c>
      <c r="S1882" s="3" t="n"/>
      <c r="T1882" s="3" t="n"/>
      <c r="U1882" s="3" t="n"/>
      <c r="V1882" s="3" t="n"/>
    </row>
    <row r="1883">
      <c r="A1883" s="3" t="n"/>
      <c r="B1883" s="3" t="n"/>
      <c r="C1883" s="3" t="n"/>
      <c r="D1883" s="4" t="n"/>
      <c r="E1883" s="3" t="n"/>
      <c r="F1883" s="3" t="n"/>
      <c r="G1883" s="3" t="n"/>
      <c r="H1883" s="3" t="n"/>
      <c r="I1883" s="3" t="n"/>
      <c r="J1883" s="3" t="n"/>
      <c r="K1883" s="3" t="n"/>
      <c r="L1883" s="3" t="n"/>
      <c r="M1883" s="3" t="n"/>
      <c r="N1883" s="3" t="n"/>
      <c r="O1883" s="3" t="n"/>
      <c r="P1883" s="3" t="n"/>
      <c r="Q1883" s="3" t="n"/>
      <c r="R1883" s="5">
        <f>IF(Q1883&lt;&gt;"是","排除",IF(OR(L1883="",M1883=""),"",IF(OR(L1883="未知",M1883="未知"),"未知",IF(AND(L1883="真",M1883="真"),"TP",IF(AND(L1883="真",M1883="假"),"FP",IF(AND(L1883="假",M1883="真"),"FN","TN"))))))</f>
        <v/>
      </c>
      <c r="S1883" s="3" t="n"/>
      <c r="T1883" s="3" t="n"/>
      <c r="U1883" s="3" t="n"/>
      <c r="V1883" s="3" t="n"/>
    </row>
    <row r="1884">
      <c r="A1884" s="3" t="n"/>
      <c r="B1884" s="3" t="n"/>
      <c r="C1884" s="3" t="n"/>
      <c r="D1884" s="4" t="n"/>
      <c r="E1884" s="3" t="n"/>
      <c r="F1884" s="3" t="n"/>
      <c r="G1884" s="3" t="n"/>
      <c r="H1884" s="3" t="n"/>
      <c r="I1884" s="3" t="n"/>
      <c r="J1884" s="3" t="n"/>
      <c r="K1884" s="3" t="n"/>
      <c r="L1884" s="3" t="n"/>
      <c r="M1884" s="3" t="n"/>
      <c r="N1884" s="3" t="n"/>
      <c r="O1884" s="3" t="n"/>
      <c r="P1884" s="3" t="n"/>
      <c r="Q1884" s="3" t="n"/>
      <c r="R1884" s="5">
        <f>IF(Q1884&lt;&gt;"是","排除",IF(OR(L1884="",M1884=""),"",IF(OR(L1884="未知",M1884="未知"),"未知",IF(AND(L1884="真",M1884="真"),"TP",IF(AND(L1884="真",M1884="假"),"FP",IF(AND(L1884="假",M1884="真"),"FN","TN"))))))</f>
        <v/>
      </c>
      <c r="S1884" s="3" t="n"/>
      <c r="T1884" s="3" t="n"/>
      <c r="U1884" s="3" t="n"/>
      <c r="V1884" s="3" t="n"/>
    </row>
    <row r="1885">
      <c r="A1885" s="3" t="n"/>
      <c r="B1885" s="3" t="n"/>
      <c r="C1885" s="3" t="n"/>
      <c r="D1885" s="4" t="n"/>
      <c r="E1885" s="3" t="n"/>
      <c r="F1885" s="3" t="n"/>
      <c r="G1885" s="3" t="n"/>
      <c r="H1885" s="3" t="n"/>
      <c r="I1885" s="3" t="n"/>
      <c r="J1885" s="3" t="n"/>
      <c r="K1885" s="3" t="n"/>
      <c r="L1885" s="3" t="n"/>
      <c r="M1885" s="3" t="n"/>
      <c r="N1885" s="3" t="n"/>
      <c r="O1885" s="3" t="n"/>
      <c r="P1885" s="3" t="n"/>
      <c r="Q1885" s="3" t="n"/>
      <c r="R1885" s="5">
        <f>IF(Q1885&lt;&gt;"是","排除",IF(OR(L1885="",M1885=""),"",IF(OR(L1885="未知",M1885="未知"),"未知",IF(AND(L1885="真",M1885="真"),"TP",IF(AND(L1885="真",M1885="假"),"FP",IF(AND(L1885="假",M1885="真"),"FN","TN"))))))</f>
        <v/>
      </c>
      <c r="S1885" s="3" t="n"/>
      <c r="T1885" s="3" t="n"/>
      <c r="U1885" s="3" t="n"/>
      <c r="V1885" s="3" t="n"/>
    </row>
    <row r="1886">
      <c r="A1886" s="3" t="n"/>
      <c r="B1886" s="3" t="n"/>
      <c r="C1886" s="3" t="n"/>
      <c r="D1886" s="4" t="n"/>
      <c r="E1886" s="3" t="n"/>
      <c r="F1886" s="3" t="n"/>
      <c r="G1886" s="3" t="n"/>
      <c r="H1886" s="3" t="n"/>
      <c r="I1886" s="3" t="n"/>
      <c r="J1886" s="3" t="n"/>
      <c r="K1886" s="3" t="n"/>
      <c r="L1886" s="3" t="n"/>
      <c r="M1886" s="3" t="n"/>
      <c r="N1886" s="3" t="n"/>
      <c r="O1886" s="3" t="n"/>
      <c r="P1886" s="3" t="n"/>
      <c r="Q1886" s="3" t="n"/>
      <c r="R1886" s="5">
        <f>IF(Q1886&lt;&gt;"是","排除",IF(OR(L1886="",M1886=""),"",IF(OR(L1886="未知",M1886="未知"),"未知",IF(AND(L1886="真",M1886="真"),"TP",IF(AND(L1886="真",M1886="假"),"FP",IF(AND(L1886="假",M1886="真"),"FN","TN"))))))</f>
        <v/>
      </c>
      <c r="S1886" s="3" t="n"/>
      <c r="T1886" s="3" t="n"/>
      <c r="U1886" s="3" t="n"/>
      <c r="V1886" s="3" t="n"/>
    </row>
    <row r="1887">
      <c r="A1887" s="3" t="n"/>
      <c r="B1887" s="3" t="n"/>
      <c r="C1887" s="3" t="n"/>
      <c r="D1887" s="4" t="n"/>
      <c r="E1887" s="3" t="n"/>
      <c r="F1887" s="3" t="n"/>
      <c r="G1887" s="3" t="n"/>
      <c r="H1887" s="3" t="n"/>
      <c r="I1887" s="3" t="n"/>
      <c r="J1887" s="3" t="n"/>
      <c r="K1887" s="3" t="n"/>
      <c r="L1887" s="3" t="n"/>
      <c r="M1887" s="3" t="n"/>
      <c r="N1887" s="3" t="n"/>
      <c r="O1887" s="3" t="n"/>
      <c r="P1887" s="3" t="n"/>
      <c r="Q1887" s="3" t="n"/>
      <c r="R1887" s="5">
        <f>IF(Q1887&lt;&gt;"是","排除",IF(OR(L1887="",M1887=""),"",IF(OR(L1887="未知",M1887="未知"),"未知",IF(AND(L1887="真",M1887="真"),"TP",IF(AND(L1887="真",M1887="假"),"FP",IF(AND(L1887="假",M1887="真"),"FN","TN"))))))</f>
        <v/>
      </c>
      <c r="S1887" s="3" t="n"/>
      <c r="T1887" s="3" t="n"/>
      <c r="U1887" s="3" t="n"/>
      <c r="V1887" s="3" t="n"/>
    </row>
    <row r="1888">
      <c r="A1888" s="3" t="n"/>
      <c r="B1888" s="3" t="n"/>
      <c r="C1888" s="3" t="n"/>
      <c r="D1888" s="4" t="n"/>
      <c r="E1888" s="3" t="n"/>
      <c r="F1888" s="3" t="n"/>
      <c r="G1888" s="3" t="n"/>
      <c r="H1888" s="3" t="n"/>
      <c r="I1888" s="3" t="n"/>
      <c r="J1888" s="3" t="n"/>
      <c r="K1888" s="3" t="n"/>
      <c r="L1888" s="3" t="n"/>
      <c r="M1888" s="3" t="n"/>
      <c r="N1888" s="3" t="n"/>
      <c r="O1888" s="3" t="n"/>
      <c r="P1888" s="3" t="n"/>
      <c r="Q1888" s="3" t="n"/>
      <c r="R1888" s="5">
        <f>IF(Q1888&lt;&gt;"是","排除",IF(OR(L1888="",M1888=""),"",IF(OR(L1888="未知",M1888="未知"),"未知",IF(AND(L1888="真",M1888="真"),"TP",IF(AND(L1888="真",M1888="假"),"FP",IF(AND(L1888="假",M1888="真"),"FN","TN"))))))</f>
        <v/>
      </c>
      <c r="S1888" s="3" t="n"/>
      <c r="T1888" s="3" t="n"/>
      <c r="U1888" s="3" t="n"/>
      <c r="V1888" s="3" t="n"/>
    </row>
    <row r="1889">
      <c r="A1889" s="3" t="n"/>
      <c r="B1889" s="3" t="n"/>
      <c r="C1889" s="3" t="n"/>
      <c r="D1889" s="4" t="n"/>
      <c r="E1889" s="3" t="n"/>
      <c r="F1889" s="3" t="n"/>
      <c r="G1889" s="3" t="n"/>
      <c r="H1889" s="3" t="n"/>
      <c r="I1889" s="3" t="n"/>
      <c r="J1889" s="3" t="n"/>
      <c r="K1889" s="3" t="n"/>
      <c r="L1889" s="3" t="n"/>
      <c r="M1889" s="3" t="n"/>
      <c r="N1889" s="3" t="n"/>
      <c r="O1889" s="3" t="n"/>
      <c r="P1889" s="3" t="n"/>
      <c r="Q1889" s="3" t="n"/>
      <c r="R1889" s="5">
        <f>IF(Q1889&lt;&gt;"是","排除",IF(OR(L1889="",M1889=""),"",IF(OR(L1889="未知",M1889="未知"),"未知",IF(AND(L1889="真",M1889="真"),"TP",IF(AND(L1889="真",M1889="假"),"FP",IF(AND(L1889="假",M1889="真"),"FN","TN"))))))</f>
        <v/>
      </c>
      <c r="S1889" s="3" t="n"/>
      <c r="T1889" s="3" t="n"/>
      <c r="U1889" s="3" t="n"/>
      <c r="V1889" s="3" t="n"/>
    </row>
    <row r="1890">
      <c r="A1890" s="3" t="n"/>
      <c r="B1890" s="3" t="n"/>
      <c r="C1890" s="3" t="n"/>
      <c r="D1890" s="4" t="n"/>
      <c r="E1890" s="3" t="n"/>
      <c r="F1890" s="3" t="n"/>
      <c r="G1890" s="3" t="n"/>
      <c r="H1890" s="3" t="n"/>
      <c r="I1890" s="3" t="n"/>
      <c r="J1890" s="3" t="n"/>
      <c r="K1890" s="3" t="n"/>
      <c r="L1890" s="3" t="n"/>
      <c r="M1890" s="3" t="n"/>
      <c r="N1890" s="3" t="n"/>
      <c r="O1890" s="3" t="n"/>
      <c r="P1890" s="3" t="n"/>
      <c r="Q1890" s="3" t="n"/>
      <c r="R1890" s="5">
        <f>IF(Q1890&lt;&gt;"是","排除",IF(OR(L1890="",M1890=""),"",IF(OR(L1890="未知",M1890="未知"),"未知",IF(AND(L1890="真",M1890="真"),"TP",IF(AND(L1890="真",M1890="假"),"FP",IF(AND(L1890="假",M1890="真"),"FN","TN"))))))</f>
        <v/>
      </c>
      <c r="S1890" s="3" t="n"/>
      <c r="T1890" s="3" t="n"/>
      <c r="U1890" s="3" t="n"/>
      <c r="V1890" s="3" t="n"/>
    </row>
    <row r="1891">
      <c r="A1891" s="3" t="n"/>
      <c r="B1891" s="3" t="n"/>
      <c r="C1891" s="3" t="n"/>
      <c r="D1891" s="4" t="n"/>
      <c r="E1891" s="3" t="n"/>
      <c r="F1891" s="3" t="n"/>
      <c r="G1891" s="3" t="n"/>
      <c r="H1891" s="3" t="n"/>
      <c r="I1891" s="3" t="n"/>
      <c r="J1891" s="3" t="n"/>
      <c r="K1891" s="3" t="n"/>
      <c r="L1891" s="3" t="n"/>
      <c r="M1891" s="3" t="n"/>
      <c r="N1891" s="3" t="n"/>
      <c r="O1891" s="3" t="n"/>
      <c r="P1891" s="3" t="n"/>
      <c r="Q1891" s="3" t="n"/>
      <c r="R1891" s="5">
        <f>IF(Q1891&lt;&gt;"是","排除",IF(OR(L1891="",M1891=""),"",IF(OR(L1891="未知",M1891="未知"),"未知",IF(AND(L1891="真",M1891="真"),"TP",IF(AND(L1891="真",M1891="假"),"FP",IF(AND(L1891="假",M1891="真"),"FN","TN"))))))</f>
        <v/>
      </c>
      <c r="S1891" s="3" t="n"/>
      <c r="T1891" s="3" t="n"/>
      <c r="U1891" s="3" t="n"/>
      <c r="V1891" s="3" t="n"/>
    </row>
    <row r="1892">
      <c r="A1892" s="3" t="n"/>
      <c r="B1892" s="3" t="n"/>
      <c r="C1892" s="3" t="n"/>
      <c r="D1892" s="4" t="n"/>
      <c r="E1892" s="3" t="n"/>
      <c r="F1892" s="3" t="n"/>
      <c r="G1892" s="3" t="n"/>
      <c r="H1892" s="3" t="n"/>
      <c r="I1892" s="3" t="n"/>
      <c r="J1892" s="3" t="n"/>
      <c r="K1892" s="3" t="n"/>
      <c r="L1892" s="3" t="n"/>
      <c r="M1892" s="3" t="n"/>
      <c r="N1892" s="3" t="n"/>
      <c r="O1892" s="3" t="n"/>
      <c r="P1892" s="3" t="n"/>
      <c r="Q1892" s="3" t="n"/>
      <c r="R1892" s="5">
        <f>IF(Q1892&lt;&gt;"是","排除",IF(OR(L1892="",M1892=""),"",IF(OR(L1892="未知",M1892="未知"),"未知",IF(AND(L1892="真",M1892="真"),"TP",IF(AND(L1892="真",M1892="假"),"FP",IF(AND(L1892="假",M1892="真"),"FN","TN"))))))</f>
        <v/>
      </c>
      <c r="S1892" s="3" t="n"/>
      <c r="T1892" s="3" t="n"/>
      <c r="U1892" s="3" t="n"/>
      <c r="V1892" s="3" t="n"/>
    </row>
    <row r="1893">
      <c r="A1893" s="3" t="n"/>
      <c r="B1893" s="3" t="n"/>
      <c r="C1893" s="3" t="n"/>
      <c r="D1893" s="4" t="n"/>
      <c r="E1893" s="3" t="n"/>
      <c r="F1893" s="3" t="n"/>
      <c r="G1893" s="3" t="n"/>
      <c r="H1893" s="3" t="n"/>
      <c r="I1893" s="3" t="n"/>
      <c r="J1893" s="3" t="n"/>
      <c r="K1893" s="3" t="n"/>
      <c r="L1893" s="3" t="n"/>
      <c r="M1893" s="3" t="n"/>
      <c r="N1893" s="3" t="n"/>
      <c r="O1893" s="3" t="n"/>
      <c r="P1893" s="3" t="n"/>
      <c r="Q1893" s="3" t="n"/>
      <c r="R1893" s="5">
        <f>IF(Q1893&lt;&gt;"是","排除",IF(OR(L1893="",M1893=""),"",IF(OR(L1893="未知",M1893="未知"),"未知",IF(AND(L1893="真",M1893="真"),"TP",IF(AND(L1893="真",M1893="假"),"FP",IF(AND(L1893="假",M1893="真"),"FN","TN"))))))</f>
        <v/>
      </c>
      <c r="S1893" s="3" t="n"/>
      <c r="T1893" s="3" t="n"/>
      <c r="U1893" s="3" t="n"/>
      <c r="V1893" s="3" t="n"/>
    </row>
    <row r="1894">
      <c r="A1894" s="3" t="n"/>
      <c r="B1894" s="3" t="n"/>
      <c r="C1894" s="3" t="n"/>
      <c r="D1894" s="4" t="n"/>
      <c r="E1894" s="3" t="n"/>
      <c r="F1894" s="3" t="n"/>
      <c r="G1894" s="3" t="n"/>
      <c r="H1894" s="3" t="n"/>
      <c r="I1894" s="3" t="n"/>
      <c r="J1894" s="3" t="n"/>
      <c r="K1894" s="3" t="n"/>
      <c r="L1894" s="3" t="n"/>
      <c r="M1894" s="3" t="n"/>
      <c r="N1894" s="3" t="n"/>
      <c r="O1894" s="3" t="n"/>
      <c r="P1894" s="3" t="n"/>
      <c r="Q1894" s="3" t="n"/>
      <c r="R1894" s="5">
        <f>IF(Q1894&lt;&gt;"是","排除",IF(OR(L1894="",M1894=""),"",IF(OR(L1894="未知",M1894="未知"),"未知",IF(AND(L1894="真",M1894="真"),"TP",IF(AND(L1894="真",M1894="假"),"FP",IF(AND(L1894="假",M1894="真"),"FN","TN"))))))</f>
        <v/>
      </c>
      <c r="S1894" s="3" t="n"/>
      <c r="T1894" s="3" t="n"/>
      <c r="U1894" s="3" t="n"/>
      <c r="V1894" s="3" t="n"/>
    </row>
    <row r="1895">
      <c r="A1895" s="3" t="n"/>
      <c r="B1895" s="3" t="n"/>
      <c r="C1895" s="3" t="n"/>
      <c r="D1895" s="4" t="n"/>
      <c r="E1895" s="3" t="n"/>
      <c r="F1895" s="3" t="n"/>
      <c r="G1895" s="3" t="n"/>
      <c r="H1895" s="3" t="n"/>
      <c r="I1895" s="3" t="n"/>
      <c r="J1895" s="3" t="n"/>
      <c r="K1895" s="3" t="n"/>
      <c r="L1895" s="3" t="n"/>
      <c r="M1895" s="3" t="n"/>
      <c r="N1895" s="3" t="n"/>
      <c r="O1895" s="3" t="n"/>
      <c r="P1895" s="3" t="n"/>
      <c r="Q1895" s="3" t="n"/>
      <c r="R1895" s="5">
        <f>IF(Q1895&lt;&gt;"是","排除",IF(OR(L1895="",M1895=""),"",IF(OR(L1895="未知",M1895="未知"),"未知",IF(AND(L1895="真",M1895="真"),"TP",IF(AND(L1895="真",M1895="假"),"FP",IF(AND(L1895="假",M1895="真"),"FN","TN"))))))</f>
        <v/>
      </c>
      <c r="S1895" s="3" t="n"/>
      <c r="T1895" s="3" t="n"/>
      <c r="U1895" s="3" t="n"/>
      <c r="V1895" s="3" t="n"/>
    </row>
    <row r="1896">
      <c r="A1896" s="3" t="n"/>
      <c r="B1896" s="3" t="n"/>
      <c r="C1896" s="3" t="n"/>
      <c r="D1896" s="4" t="n"/>
      <c r="E1896" s="3" t="n"/>
      <c r="F1896" s="3" t="n"/>
      <c r="G1896" s="3" t="n"/>
      <c r="H1896" s="3" t="n"/>
      <c r="I1896" s="3" t="n"/>
      <c r="J1896" s="3" t="n"/>
      <c r="K1896" s="3" t="n"/>
      <c r="L1896" s="3" t="n"/>
      <c r="M1896" s="3" t="n"/>
      <c r="N1896" s="3" t="n"/>
      <c r="O1896" s="3" t="n"/>
      <c r="P1896" s="3" t="n"/>
      <c r="Q1896" s="3" t="n"/>
      <c r="R1896" s="5">
        <f>IF(Q1896&lt;&gt;"是","排除",IF(OR(L1896="",M1896=""),"",IF(OR(L1896="未知",M1896="未知"),"未知",IF(AND(L1896="真",M1896="真"),"TP",IF(AND(L1896="真",M1896="假"),"FP",IF(AND(L1896="假",M1896="真"),"FN","TN"))))))</f>
        <v/>
      </c>
      <c r="S1896" s="3" t="n"/>
      <c r="T1896" s="3" t="n"/>
      <c r="U1896" s="3" t="n"/>
      <c r="V1896" s="3" t="n"/>
    </row>
    <row r="1897">
      <c r="A1897" s="3" t="n"/>
      <c r="B1897" s="3" t="n"/>
      <c r="C1897" s="3" t="n"/>
      <c r="D1897" s="4" t="n"/>
      <c r="E1897" s="3" t="n"/>
      <c r="F1897" s="3" t="n"/>
      <c r="G1897" s="3" t="n"/>
      <c r="H1897" s="3" t="n"/>
      <c r="I1897" s="3" t="n"/>
      <c r="J1897" s="3" t="n"/>
      <c r="K1897" s="3" t="n"/>
      <c r="L1897" s="3" t="n"/>
      <c r="M1897" s="3" t="n"/>
      <c r="N1897" s="3" t="n"/>
      <c r="O1897" s="3" t="n"/>
      <c r="P1897" s="3" t="n"/>
      <c r="Q1897" s="3" t="n"/>
      <c r="R1897" s="5">
        <f>IF(Q1897&lt;&gt;"是","排除",IF(OR(L1897="",M1897=""),"",IF(OR(L1897="未知",M1897="未知"),"未知",IF(AND(L1897="真",M1897="真"),"TP",IF(AND(L1897="真",M1897="假"),"FP",IF(AND(L1897="假",M1897="真"),"FN","TN"))))))</f>
        <v/>
      </c>
      <c r="S1897" s="3" t="n"/>
      <c r="T1897" s="3" t="n"/>
      <c r="U1897" s="3" t="n"/>
      <c r="V1897" s="3" t="n"/>
    </row>
    <row r="1898">
      <c r="A1898" s="3" t="n"/>
      <c r="B1898" s="3" t="n"/>
      <c r="C1898" s="3" t="n"/>
      <c r="D1898" s="4" t="n"/>
      <c r="E1898" s="3" t="n"/>
      <c r="F1898" s="3" t="n"/>
      <c r="G1898" s="3" t="n"/>
      <c r="H1898" s="3" t="n"/>
      <c r="I1898" s="3" t="n"/>
      <c r="J1898" s="3" t="n"/>
      <c r="K1898" s="3" t="n"/>
      <c r="L1898" s="3" t="n"/>
      <c r="M1898" s="3" t="n"/>
      <c r="N1898" s="3" t="n"/>
      <c r="O1898" s="3" t="n"/>
      <c r="P1898" s="3" t="n"/>
      <c r="Q1898" s="3" t="n"/>
      <c r="R1898" s="5">
        <f>IF(Q1898&lt;&gt;"是","排除",IF(OR(L1898="",M1898=""),"",IF(OR(L1898="未知",M1898="未知"),"未知",IF(AND(L1898="真",M1898="真"),"TP",IF(AND(L1898="真",M1898="假"),"FP",IF(AND(L1898="假",M1898="真"),"FN","TN"))))))</f>
        <v/>
      </c>
      <c r="S1898" s="3" t="n"/>
      <c r="T1898" s="3" t="n"/>
      <c r="U1898" s="3" t="n"/>
      <c r="V1898" s="3" t="n"/>
    </row>
    <row r="1899">
      <c r="A1899" s="3" t="n"/>
      <c r="B1899" s="3" t="n"/>
      <c r="C1899" s="3" t="n"/>
      <c r="D1899" s="4" t="n"/>
      <c r="E1899" s="3" t="n"/>
      <c r="F1899" s="3" t="n"/>
      <c r="G1899" s="3" t="n"/>
      <c r="H1899" s="3" t="n"/>
      <c r="I1899" s="3" t="n"/>
      <c r="J1899" s="3" t="n"/>
      <c r="K1899" s="3" t="n"/>
      <c r="L1899" s="3" t="n"/>
      <c r="M1899" s="3" t="n"/>
      <c r="N1899" s="3" t="n"/>
      <c r="O1899" s="3" t="n"/>
      <c r="P1899" s="3" t="n"/>
      <c r="Q1899" s="3" t="n"/>
      <c r="R1899" s="5">
        <f>IF(Q1899&lt;&gt;"是","排除",IF(OR(L1899="",M1899=""),"",IF(OR(L1899="未知",M1899="未知"),"未知",IF(AND(L1899="真",M1899="真"),"TP",IF(AND(L1899="真",M1899="假"),"FP",IF(AND(L1899="假",M1899="真"),"FN","TN"))))))</f>
        <v/>
      </c>
      <c r="S1899" s="3" t="n"/>
      <c r="T1899" s="3" t="n"/>
      <c r="U1899" s="3" t="n"/>
      <c r="V1899" s="3" t="n"/>
    </row>
    <row r="1900">
      <c r="A1900" s="3" t="n"/>
      <c r="B1900" s="3" t="n"/>
      <c r="C1900" s="3" t="n"/>
      <c r="D1900" s="4" t="n"/>
      <c r="E1900" s="3" t="n"/>
      <c r="F1900" s="3" t="n"/>
      <c r="G1900" s="3" t="n"/>
      <c r="H1900" s="3" t="n"/>
      <c r="I1900" s="3" t="n"/>
      <c r="J1900" s="3" t="n"/>
      <c r="K1900" s="3" t="n"/>
      <c r="L1900" s="3" t="n"/>
      <c r="M1900" s="3" t="n"/>
      <c r="N1900" s="3" t="n"/>
      <c r="O1900" s="3" t="n"/>
      <c r="P1900" s="3" t="n"/>
      <c r="Q1900" s="3" t="n"/>
      <c r="R1900" s="5">
        <f>IF(Q1900&lt;&gt;"是","排除",IF(OR(L1900="",M1900=""),"",IF(OR(L1900="未知",M1900="未知"),"未知",IF(AND(L1900="真",M1900="真"),"TP",IF(AND(L1900="真",M1900="假"),"FP",IF(AND(L1900="假",M1900="真"),"FN","TN"))))))</f>
        <v/>
      </c>
      <c r="S1900" s="3" t="n"/>
      <c r="T1900" s="3" t="n"/>
      <c r="U1900" s="3" t="n"/>
      <c r="V1900" s="3" t="n"/>
    </row>
    <row r="1901">
      <c r="A1901" s="3" t="n"/>
      <c r="B1901" s="3" t="n"/>
      <c r="C1901" s="3" t="n"/>
      <c r="D1901" s="4" t="n"/>
      <c r="E1901" s="3" t="n"/>
      <c r="F1901" s="3" t="n"/>
      <c r="G1901" s="3" t="n"/>
      <c r="H1901" s="3" t="n"/>
      <c r="I1901" s="3" t="n"/>
      <c r="J1901" s="3" t="n"/>
      <c r="K1901" s="3" t="n"/>
      <c r="L1901" s="3" t="n"/>
      <c r="M1901" s="3" t="n"/>
      <c r="N1901" s="3" t="n"/>
      <c r="O1901" s="3" t="n"/>
      <c r="P1901" s="3" t="n"/>
      <c r="Q1901" s="3" t="n"/>
      <c r="R1901" s="5">
        <f>IF(Q1901&lt;&gt;"是","排除",IF(OR(L1901="",M1901=""),"",IF(OR(L1901="未知",M1901="未知"),"未知",IF(AND(L1901="真",M1901="真"),"TP",IF(AND(L1901="真",M1901="假"),"FP",IF(AND(L1901="假",M1901="真"),"FN","TN"))))))</f>
        <v/>
      </c>
      <c r="S1901" s="3" t="n"/>
      <c r="T1901" s="3" t="n"/>
      <c r="U1901" s="3" t="n"/>
      <c r="V1901" s="3" t="n"/>
    </row>
    <row r="1902">
      <c r="A1902" s="3" t="n"/>
      <c r="B1902" s="3" t="n"/>
      <c r="C1902" s="3" t="n"/>
      <c r="D1902" s="4" t="n"/>
      <c r="E1902" s="3" t="n"/>
      <c r="F1902" s="3" t="n"/>
      <c r="G1902" s="3" t="n"/>
      <c r="H1902" s="3" t="n"/>
      <c r="I1902" s="3" t="n"/>
      <c r="J1902" s="3" t="n"/>
      <c r="K1902" s="3" t="n"/>
      <c r="L1902" s="3" t="n"/>
      <c r="M1902" s="3" t="n"/>
      <c r="N1902" s="3" t="n"/>
      <c r="O1902" s="3" t="n"/>
      <c r="P1902" s="3" t="n"/>
      <c r="Q1902" s="3" t="n"/>
      <c r="R1902" s="5">
        <f>IF(Q1902&lt;&gt;"是","排除",IF(OR(L1902="",M1902=""),"",IF(OR(L1902="未知",M1902="未知"),"未知",IF(AND(L1902="真",M1902="真"),"TP",IF(AND(L1902="真",M1902="假"),"FP",IF(AND(L1902="假",M1902="真"),"FN","TN"))))))</f>
        <v/>
      </c>
      <c r="S1902" s="3" t="n"/>
      <c r="T1902" s="3" t="n"/>
      <c r="U1902" s="3" t="n"/>
      <c r="V1902" s="3" t="n"/>
    </row>
    <row r="1903">
      <c r="A1903" s="3" t="n"/>
      <c r="B1903" s="3" t="n"/>
      <c r="C1903" s="3" t="n"/>
      <c r="D1903" s="4" t="n"/>
      <c r="E1903" s="3" t="n"/>
      <c r="F1903" s="3" t="n"/>
      <c r="G1903" s="3" t="n"/>
      <c r="H1903" s="3" t="n"/>
      <c r="I1903" s="3" t="n"/>
      <c r="J1903" s="3" t="n"/>
      <c r="K1903" s="3" t="n"/>
      <c r="L1903" s="3" t="n"/>
      <c r="M1903" s="3" t="n"/>
      <c r="N1903" s="3" t="n"/>
      <c r="O1903" s="3" t="n"/>
      <c r="P1903" s="3" t="n"/>
      <c r="Q1903" s="3" t="n"/>
      <c r="R1903" s="5">
        <f>IF(Q1903&lt;&gt;"是","排除",IF(OR(L1903="",M1903=""),"",IF(OR(L1903="未知",M1903="未知"),"未知",IF(AND(L1903="真",M1903="真"),"TP",IF(AND(L1903="真",M1903="假"),"FP",IF(AND(L1903="假",M1903="真"),"FN","TN"))))))</f>
        <v/>
      </c>
      <c r="S1903" s="3" t="n"/>
      <c r="T1903" s="3" t="n"/>
      <c r="U1903" s="3" t="n"/>
      <c r="V1903" s="3" t="n"/>
    </row>
    <row r="1904">
      <c r="A1904" s="3" t="n"/>
      <c r="B1904" s="3" t="n"/>
      <c r="C1904" s="3" t="n"/>
      <c r="D1904" s="4" t="n"/>
      <c r="E1904" s="3" t="n"/>
      <c r="F1904" s="3" t="n"/>
      <c r="G1904" s="3" t="n"/>
      <c r="H1904" s="3" t="n"/>
      <c r="I1904" s="3" t="n"/>
      <c r="J1904" s="3" t="n"/>
      <c r="K1904" s="3" t="n"/>
      <c r="L1904" s="3" t="n"/>
      <c r="M1904" s="3" t="n"/>
      <c r="N1904" s="3" t="n"/>
      <c r="O1904" s="3" t="n"/>
      <c r="P1904" s="3" t="n"/>
      <c r="Q1904" s="3" t="n"/>
      <c r="R1904" s="5">
        <f>IF(Q1904&lt;&gt;"是","排除",IF(OR(L1904="",M1904=""),"",IF(OR(L1904="未知",M1904="未知"),"未知",IF(AND(L1904="真",M1904="真"),"TP",IF(AND(L1904="真",M1904="假"),"FP",IF(AND(L1904="假",M1904="真"),"FN","TN"))))))</f>
        <v/>
      </c>
      <c r="S1904" s="3" t="n"/>
      <c r="T1904" s="3" t="n"/>
      <c r="U1904" s="3" t="n"/>
      <c r="V1904" s="3" t="n"/>
    </row>
    <row r="1905">
      <c r="A1905" s="3" t="n"/>
      <c r="B1905" s="3" t="n"/>
      <c r="C1905" s="3" t="n"/>
      <c r="D1905" s="4" t="n"/>
      <c r="E1905" s="3" t="n"/>
      <c r="F1905" s="3" t="n"/>
      <c r="G1905" s="3" t="n"/>
      <c r="H1905" s="3" t="n"/>
      <c r="I1905" s="3" t="n"/>
      <c r="J1905" s="3" t="n"/>
      <c r="K1905" s="3" t="n"/>
      <c r="L1905" s="3" t="n"/>
      <c r="M1905" s="3" t="n"/>
      <c r="N1905" s="3" t="n"/>
      <c r="O1905" s="3" t="n"/>
      <c r="P1905" s="3" t="n"/>
      <c r="Q1905" s="3" t="n"/>
      <c r="R1905" s="5">
        <f>IF(Q1905&lt;&gt;"是","排除",IF(OR(L1905="",M1905=""),"",IF(OR(L1905="未知",M1905="未知"),"未知",IF(AND(L1905="真",M1905="真"),"TP",IF(AND(L1905="真",M1905="假"),"FP",IF(AND(L1905="假",M1905="真"),"FN","TN"))))))</f>
        <v/>
      </c>
      <c r="S1905" s="3" t="n"/>
      <c r="T1905" s="3" t="n"/>
      <c r="U1905" s="3" t="n"/>
      <c r="V1905" s="3" t="n"/>
    </row>
    <row r="1906">
      <c r="A1906" s="3" t="n"/>
      <c r="B1906" s="3" t="n"/>
      <c r="C1906" s="3" t="n"/>
      <c r="D1906" s="4" t="n"/>
      <c r="E1906" s="3" t="n"/>
      <c r="F1906" s="3" t="n"/>
      <c r="G1906" s="3" t="n"/>
      <c r="H1906" s="3" t="n"/>
      <c r="I1906" s="3" t="n"/>
      <c r="J1906" s="3" t="n"/>
      <c r="K1906" s="3" t="n"/>
      <c r="L1906" s="3" t="n"/>
      <c r="M1906" s="3" t="n"/>
      <c r="N1906" s="3" t="n"/>
      <c r="O1906" s="3" t="n"/>
      <c r="P1906" s="3" t="n"/>
      <c r="Q1906" s="3" t="n"/>
      <c r="R1906" s="5">
        <f>IF(Q1906&lt;&gt;"是","排除",IF(OR(L1906="",M1906=""),"",IF(OR(L1906="未知",M1906="未知"),"未知",IF(AND(L1906="真",M1906="真"),"TP",IF(AND(L1906="真",M1906="假"),"FP",IF(AND(L1906="假",M1906="真"),"FN","TN"))))))</f>
        <v/>
      </c>
      <c r="S1906" s="3" t="n"/>
      <c r="T1906" s="3" t="n"/>
      <c r="U1906" s="3" t="n"/>
      <c r="V1906" s="3" t="n"/>
    </row>
    <row r="1907">
      <c r="A1907" s="3" t="n"/>
      <c r="B1907" s="3" t="n"/>
      <c r="C1907" s="3" t="n"/>
      <c r="D1907" s="4" t="n"/>
      <c r="E1907" s="3" t="n"/>
      <c r="F1907" s="3" t="n"/>
      <c r="G1907" s="3" t="n"/>
      <c r="H1907" s="3" t="n"/>
      <c r="I1907" s="3" t="n"/>
      <c r="J1907" s="3" t="n"/>
      <c r="K1907" s="3" t="n"/>
      <c r="L1907" s="3" t="n"/>
      <c r="M1907" s="3" t="n"/>
      <c r="N1907" s="3" t="n"/>
      <c r="O1907" s="3" t="n"/>
      <c r="P1907" s="3" t="n"/>
      <c r="Q1907" s="3" t="n"/>
      <c r="R1907" s="5">
        <f>IF(Q1907&lt;&gt;"是","排除",IF(OR(L1907="",M1907=""),"",IF(OR(L1907="未知",M1907="未知"),"未知",IF(AND(L1907="真",M1907="真"),"TP",IF(AND(L1907="真",M1907="假"),"FP",IF(AND(L1907="假",M1907="真"),"FN","TN"))))))</f>
        <v/>
      </c>
      <c r="S1907" s="3" t="n"/>
      <c r="T1907" s="3" t="n"/>
      <c r="U1907" s="3" t="n"/>
      <c r="V1907" s="3" t="n"/>
    </row>
    <row r="1908">
      <c r="A1908" s="3" t="n"/>
      <c r="B1908" s="3" t="n"/>
      <c r="C1908" s="3" t="n"/>
      <c r="D1908" s="4" t="n"/>
      <c r="E1908" s="3" t="n"/>
      <c r="F1908" s="3" t="n"/>
      <c r="G1908" s="3" t="n"/>
      <c r="H1908" s="3" t="n"/>
      <c r="I1908" s="3" t="n"/>
      <c r="J1908" s="3" t="n"/>
      <c r="K1908" s="3" t="n"/>
      <c r="L1908" s="3" t="n"/>
      <c r="M1908" s="3" t="n"/>
      <c r="N1908" s="3" t="n"/>
      <c r="O1908" s="3" t="n"/>
      <c r="P1908" s="3" t="n"/>
      <c r="Q1908" s="3" t="n"/>
      <c r="R1908" s="5">
        <f>IF(Q1908&lt;&gt;"是","排除",IF(OR(L1908="",M1908=""),"",IF(OR(L1908="未知",M1908="未知"),"未知",IF(AND(L1908="真",M1908="真"),"TP",IF(AND(L1908="真",M1908="假"),"FP",IF(AND(L1908="假",M1908="真"),"FN","TN"))))))</f>
        <v/>
      </c>
      <c r="S1908" s="3" t="n"/>
      <c r="T1908" s="3" t="n"/>
      <c r="U1908" s="3" t="n"/>
      <c r="V1908" s="3" t="n"/>
    </row>
    <row r="1909">
      <c r="A1909" s="3" t="n"/>
      <c r="B1909" s="3" t="n"/>
      <c r="C1909" s="3" t="n"/>
      <c r="D1909" s="4" t="n"/>
      <c r="E1909" s="3" t="n"/>
      <c r="F1909" s="3" t="n"/>
      <c r="G1909" s="3" t="n"/>
      <c r="H1909" s="3" t="n"/>
      <c r="I1909" s="3" t="n"/>
      <c r="J1909" s="3" t="n"/>
      <c r="K1909" s="3" t="n"/>
      <c r="L1909" s="3" t="n"/>
      <c r="M1909" s="3" t="n"/>
      <c r="N1909" s="3" t="n"/>
      <c r="O1909" s="3" t="n"/>
      <c r="P1909" s="3" t="n"/>
      <c r="Q1909" s="3" t="n"/>
      <c r="R1909" s="5">
        <f>IF(Q1909&lt;&gt;"是","排除",IF(OR(L1909="",M1909=""),"",IF(OR(L1909="未知",M1909="未知"),"未知",IF(AND(L1909="真",M1909="真"),"TP",IF(AND(L1909="真",M1909="假"),"FP",IF(AND(L1909="假",M1909="真"),"FN","TN"))))))</f>
        <v/>
      </c>
      <c r="S1909" s="3" t="n"/>
      <c r="T1909" s="3" t="n"/>
      <c r="U1909" s="3" t="n"/>
      <c r="V1909" s="3" t="n"/>
    </row>
    <row r="1910">
      <c r="A1910" s="3" t="n"/>
      <c r="B1910" s="3" t="n"/>
      <c r="C1910" s="3" t="n"/>
      <c r="D1910" s="4" t="n"/>
      <c r="E1910" s="3" t="n"/>
      <c r="F1910" s="3" t="n"/>
      <c r="G1910" s="3" t="n"/>
      <c r="H1910" s="3" t="n"/>
      <c r="I1910" s="3" t="n"/>
      <c r="J1910" s="3" t="n"/>
      <c r="K1910" s="3" t="n"/>
      <c r="L1910" s="3" t="n"/>
      <c r="M1910" s="3" t="n"/>
      <c r="N1910" s="3" t="n"/>
      <c r="O1910" s="3" t="n"/>
      <c r="P1910" s="3" t="n"/>
      <c r="Q1910" s="3" t="n"/>
      <c r="R1910" s="5">
        <f>IF(Q1910&lt;&gt;"是","排除",IF(OR(L1910="",M1910=""),"",IF(OR(L1910="未知",M1910="未知"),"未知",IF(AND(L1910="真",M1910="真"),"TP",IF(AND(L1910="真",M1910="假"),"FP",IF(AND(L1910="假",M1910="真"),"FN","TN"))))))</f>
        <v/>
      </c>
      <c r="S1910" s="3" t="n"/>
      <c r="T1910" s="3" t="n"/>
      <c r="U1910" s="3" t="n"/>
      <c r="V1910" s="3" t="n"/>
    </row>
    <row r="1911">
      <c r="A1911" s="3" t="n"/>
      <c r="B1911" s="3" t="n"/>
      <c r="C1911" s="3" t="n"/>
      <c r="D1911" s="4" t="n"/>
      <c r="E1911" s="3" t="n"/>
      <c r="F1911" s="3" t="n"/>
      <c r="G1911" s="3" t="n"/>
      <c r="H1911" s="3" t="n"/>
      <c r="I1911" s="3" t="n"/>
      <c r="J1911" s="3" t="n"/>
      <c r="K1911" s="3" t="n"/>
      <c r="L1911" s="3" t="n"/>
      <c r="M1911" s="3" t="n"/>
      <c r="N1911" s="3" t="n"/>
      <c r="O1911" s="3" t="n"/>
      <c r="P1911" s="3" t="n"/>
      <c r="Q1911" s="3" t="n"/>
      <c r="R1911" s="5">
        <f>IF(Q1911&lt;&gt;"是","排除",IF(OR(L1911="",M1911=""),"",IF(OR(L1911="未知",M1911="未知"),"未知",IF(AND(L1911="真",M1911="真"),"TP",IF(AND(L1911="真",M1911="假"),"FP",IF(AND(L1911="假",M1911="真"),"FN","TN"))))))</f>
        <v/>
      </c>
      <c r="S1911" s="3" t="n"/>
      <c r="T1911" s="3" t="n"/>
      <c r="U1911" s="3" t="n"/>
      <c r="V1911" s="3" t="n"/>
    </row>
    <row r="1912">
      <c r="A1912" s="3" t="n"/>
      <c r="B1912" s="3" t="n"/>
      <c r="C1912" s="3" t="n"/>
      <c r="D1912" s="4" t="n"/>
      <c r="E1912" s="3" t="n"/>
      <c r="F1912" s="3" t="n"/>
      <c r="G1912" s="3" t="n"/>
      <c r="H1912" s="3" t="n"/>
      <c r="I1912" s="3" t="n"/>
      <c r="J1912" s="3" t="n"/>
      <c r="K1912" s="3" t="n"/>
      <c r="L1912" s="3" t="n"/>
      <c r="M1912" s="3" t="n"/>
      <c r="N1912" s="3" t="n"/>
      <c r="O1912" s="3" t="n"/>
      <c r="P1912" s="3" t="n"/>
      <c r="Q1912" s="3" t="n"/>
      <c r="R1912" s="5">
        <f>IF(Q1912&lt;&gt;"是","排除",IF(OR(L1912="",M1912=""),"",IF(OR(L1912="未知",M1912="未知"),"未知",IF(AND(L1912="真",M1912="真"),"TP",IF(AND(L1912="真",M1912="假"),"FP",IF(AND(L1912="假",M1912="真"),"FN","TN"))))))</f>
        <v/>
      </c>
      <c r="S1912" s="3" t="n"/>
      <c r="T1912" s="3" t="n"/>
      <c r="U1912" s="3" t="n"/>
      <c r="V1912" s="3" t="n"/>
    </row>
    <row r="1913">
      <c r="A1913" s="3" t="n"/>
      <c r="B1913" s="3" t="n"/>
      <c r="C1913" s="3" t="n"/>
      <c r="D1913" s="4" t="n"/>
      <c r="E1913" s="3" t="n"/>
      <c r="F1913" s="3" t="n"/>
      <c r="G1913" s="3" t="n"/>
      <c r="H1913" s="3" t="n"/>
      <c r="I1913" s="3" t="n"/>
      <c r="J1913" s="3" t="n"/>
      <c r="K1913" s="3" t="n"/>
      <c r="L1913" s="3" t="n"/>
      <c r="M1913" s="3" t="n"/>
      <c r="N1913" s="3" t="n"/>
      <c r="O1913" s="3" t="n"/>
      <c r="P1913" s="3" t="n"/>
      <c r="Q1913" s="3" t="n"/>
      <c r="R1913" s="5">
        <f>IF(Q1913&lt;&gt;"是","排除",IF(OR(L1913="",M1913=""),"",IF(OR(L1913="未知",M1913="未知"),"未知",IF(AND(L1913="真",M1913="真"),"TP",IF(AND(L1913="真",M1913="假"),"FP",IF(AND(L1913="假",M1913="真"),"FN","TN"))))))</f>
        <v/>
      </c>
      <c r="S1913" s="3" t="n"/>
      <c r="T1913" s="3" t="n"/>
      <c r="U1913" s="3" t="n"/>
      <c r="V1913" s="3" t="n"/>
    </row>
    <row r="1914">
      <c r="A1914" s="3" t="n"/>
      <c r="B1914" s="3" t="n"/>
      <c r="C1914" s="3" t="n"/>
      <c r="D1914" s="4" t="n"/>
      <c r="E1914" s="3" t="n"/>
      <c r="F1914" s="3" t="n"/>
      <c r="G1914" s="3" t="n"/>
      <c r="H1914" s="3" t="n"/>
      <c r="I1914" s="3" t="n"/>
      <c r="J1914" s="3" t="n"/>
      <c r="K1914" s="3" t="n"/>
      <c r="L1914" s="3" t="n"/>
      <c r="M1914" s="3" t="n"/>
      <c r="N1914" s="3" t="n"/>
      <c r="O1914" s="3" t="n"/>
      <c r="P1914" s="3" t="n"/>
      <c r="Q1914" s="3" t="n"/>
      <c r="R1914" s="5">
        <f>IF(Q1914&lt;&gt;"是","排除",IF(OR(L1914="",M1914=""),"",IF(OR(L1914="未知",M1914="未知"),"未知",IF(AND(L1914="真",M1914="真"),"TP",IF(AND(L1914="真",M1914="假"),"FP",IF(AND(L1914="假",M1914="真"),"FN","TN"))))))</f>
        <v/>
      </c>
      <c r="S1914" s="3" t="n"/>
      <c r="T1914" s="3" t="n"/>
      <c r="U1914" s="3" t="n"/>
      <c r="V1914" s="3" t="n"/>
    </row>
    <row r="1915">
      <c r="A1915" s="3" t="n"/>
      <c r="B1915" s="3" t="n"/>
      <c r="C1915" s="3" t="n"/>
      <c r="D1915" s="4" t="n"/>
      <c r="E1915" s="3" t="n"/>
      <c r="F1915" s="3" t="n"/>
      <c r="G1915" s="3" t="n"/>
      <c r="H1915" s="3" t="n"/>
      <c r="I1915" s="3" t="n"/>
      <c r="J1915" s="3" t="n"/>
      <c r="K1915" s="3" t="n"/>
      <c r="L1915" s="3" t="n"/>
      <c r="M1915" s="3" t="n"/>
      <c r="N1915" s="3" t="n"/>
      <c r="O1915" s="3" t="n"/>
      <c r="P1915" s="3" t="n"/>
      <c r="Q1915" s="3" t="n"/>
      <c r="R1915" s="5">
        <f>IF(Q1915&lt;&gt;"是","排除",IF(OR(L1915="",M1915=""),"",IF(OR(L1915="未知",M1915="未知"),"未知",IF(AND(L1915="真",M1915="真"),"TP",IF(AND(L1915="真",M1915="假"),"FP",IF(AND(L1915="假",M1915="真"),"FN","TN"))))))</f>
        <v/>
      </c>
      <c r="S1915" s="3" t="n"/>
      <c r="T1915" s="3" t="n"/>
      <c r="U1915" s="3" t="n"/>
      <c r="V1915" s="3" t="n"/>
    </row>
    <row r="1916">
      <c r="A1916" s="3" t="n"/>
      <c r="B1916" s="3" t="n"/>
      <c r="C1916" s="3" t="n"/>
      <c r="D1916" s="4" t="n"/>
      <c r="E1916" s="3" t="n"/>
      <c r="F1916" s="3" t="n"/>
      <c r="G1916" s="3" t="n"/>
      <c r="H1916" s="3" t="n"/>
      <c r="I1916" s="3" t="n"/>
      <c r="J1916" s="3" t="n"/>
      <c r="K1916" s="3" t="n"/>
      <c r="L1916" s="3" t="n"/>
      <c r="M1916" s="3" t="n"/>
      <c r="N1916" s="3" t="n"/>
      <c r="O1916" s="3" t="n"/>
      <c r="P1916" s="3" t="n"/>
      <c r="Q1916" s="3" t="n"/>
      <c r="R1916" s="5">
        <f>IF(Q1916&lt;&gt;"是","排除",IF(OR(L1916="",M1916=""),"",IF(OR(L1916="未知",M1916="未知"),"未知",IF(AND(L1916="真",M1916="真"),"TP",IF(AND(L1916="真",M1916="假"),"FP",IF(AND(L1916="假",M1916="真"),"FN","TN"))))))</f>
        <v/>
      </c>
      <c r="S1916" s="3" t="n"/>
      <c r="T1916" s="3" t="n"/>
      <c r="U1916" s="3" t="n"/>
      <c r="V1916" s="3" t="n"/>
    </row>
    <row r="1917">
      <c r="A1917" s="3" t="n"/>
      <c r="B1917" s="3" t="n"/>
      <c r="C1917" s="3" t="n"/>
      <c r="D1917" s="4" t="n"/>
      <c r="E1917" s="3" t="n"/>
      <c r="F1917" s="3" t="n"/>
      <c r="G1917" s="3" t="n"/>
      <c r="H1917" s="3" t="n"/>
      <c r="I1917" s="3" t="n"/>
      <c r="J1917" s="3" t="n"/>
      <c r="K1917" s="3" t="n"/>
      <c r="L1917" s="3" t="n"/>
      <c r="M1917" s="3" t="n"/>
      <c r="N1917" s="3" t="n"/>
      <c r="O1917" s="3" t="n"/>
      <c r="P1917" s="3" t="n"/>
      <c r="Q1917" s="3" t="n"/>
      <c r="R1917" s="5">
        <f>IF(Q1917&lt;&gt;"是","排除",IF(OR(L1917="",M1917=""),"",IF(OR(L1917="未知",M1917="未知"),"未知",IF(AND(L1917="真",M1917="真"),"TP",IF(AND(L1917="真",M1917="假"),"FP",IF(AND(L1917="假",M1917="真"),"FN","TN"))))))</f>
        <v/>
      </c>
      <c r="S1917" s="3" t="n"/>
      <c r="T1917" s="3" t="n"/>
      <c r="U1917" s="3" t="n"/>
      <c r="V1917" s="3" t="n"/>
    </row>
    <row r="1918">
      <c r="A1918" s="3" t="n"/>
      <c r="B1918" s="3" t="n"/>
      <c r="C1918" s="3" t="n"/>
      <c r="D1918" s="4" t="n"/>
      <c r="E1918" s="3" t="n"/>
      <c r="F1918" s="3" t="n"/>
      <c r="G1918" s="3" t="n"/>
      <c r="H1918" s="3" t="n"/>
      <c r="I1918" s="3" t="n"/>
      <c r="J1918" s="3" t="n"/>
      <c r="K1918" s="3" t="n"/>
      <c r="L1918" s="3" t="n"/>
      <c r="M1918" s="3" t="n"/>
      <c r="N1918" s="3" t="n"/>
      <c r="O1918" s="3" t="n"/>
      <c r="P1918" s="3" t="n"/>
      <c r="Q1918" s="3" t="n"/>
      <c r="R1918" s="5">
        <f>IF(Q1918&lt;&gt;"是","排除",IF(OR(L1918="",M1918=""),"",IF(OR(L1918="未知",M1918="未知"),"未知",IF(AND(L1918="真",M1918="真"),"TP",IF(AND(L1918="真",M1918="假"),"FP",IF(AND(L1918="假",M1918="真"),"FN","TN"))))))</f>
        <v/>
      </c>
      <c r="S1918" s="3" t="n"/>
      <c r="T1918" s="3" t="n"/>
      <c r="U1918" s="3" t="n"/>
      <c r="V1918" s="3" t="n"/>
    </row>
    <row r="1919">
      <c r="A1919" s="3" t="n"/>
      <c r="B1919" s="3" t="n"/>
      <c r="C1919" s="3" t="n"/>
      <c r="D1919" s="4" t="n"/>
      <c r="E1919" s="3" t="n"/>
      <c r="F1919" s="3" t="n"/>
      <c r="G1919" s="3" t="n"/>
      <c r="H1919" s="3" t="n"/>
      <c r="I1919" s="3" t="n"/>
      <c r="J1919" s="3" t="n"/>
      <c r="K1919" s="3" t="n"/>
      <c r="L1919" s="3" t="n"/>
      <c r="M1919" s="3" t="n"/>
      <c r="N1919" s="3" t="n"/>
      <c r="O1919" s="3" t="n"/>
      <c r="P1919" s="3" t="n"/>
      <c r="Q1919" s="3" t="n"/>
      <c r="R1919" s="5">
        <f>IF(Q1919&lt;&gt;"是","排除",IF(OR(L1919="",M1919=""),"",IF(OR(L1919="未知",M1919="未知"),"未知",IF(AND(L1919="真",M1919="真"),"TP",IF(AND(L1919="真",M1919="假"),"FP",IF(AND(L1919="假",M1919="真"),"FN","TN"))))))</f>
        <v/>
      </c>
      <c r="S1919" s="3" t="n"/>
      <c r="T1919" s="3" t="n"/>
      <c r="U1919" s="3" t="n"/>
      <c r="V1919" s="3" t="n"/>
    </row>
    <row r="1920">
      <c r="A1920" s="3" t="n"/>
      <c r="B1920" s="3" t="n"/>
      <c r="C1920" s="3" t="n"/>
      <c r="D1920" s="4" t="n"/>
      <c r="E1920" s="3" t="n"/>
      <c r="F1920" s="3" t="n"/>
      <c r="G1920" s="3" t="n"/>
      <c r="H1920" s="3" t="n"/>
      <c r="I1920" s="3" t="n"/>
      <c r="J1920" s="3" t="n"/>
      <c r="K1920" s="3" t="n"/>
      <c r="L1920" s="3" t="n"/>
      <c r="M1920" s="3" t="n"/>
      <c r="N1920" s="3" t="n"/>
      <c r="O1920" s="3" t="n"/>
      <c r="P1920" s="3" t="n"/>
      <c r="Q1920" s="3" t="n"/>
      <c r="R1920" s="5">
        <f>IF(Q1920&lt;&gt;"是","排除",IF(OR(L1920="",M1920=""),"",IF(OR(L1920="未知",M1920="未知"),"未知",IF(AND(L1920="真",M1920="真"),"TP",IF(AND(L1920="真",M1920="假"),"FP",IF(AND(L1920="假",M1920="真"),"FN","TN"))))))</f>
        <v/>
      </c>
      <c r="S1920" s="3" t="n"/>
      <c r="T1920" s="3" t="n"/>
      <c r="U1920" s="3" t="n"/>
      <c r="V1920" s="3" t="n"/>
    </row>
    <row r="1921">
      <c r="A1921" s="3" t="n"/>
      <c r="B1921" s="3" t="n"/>
      <c r="C1921" s="3" t="n"/>
      <c r="D1921" s="4" t="n"/>
      <c r="E1921" s="3" t="n"/>
      <c r="F1921" s="3" t="n"/>
      <c r="G1921" s="3" t="n"/>
      <c r="H1921" s="3" t="n"/>
      <c r="I1921" s="3" t="n"/>
      <c r="J1921" s="3" t="n"/>
      <c r="K1921" s="3" t="n"/>
      <c r="L1921" s="3" t="n"/>
      <c r="M1921" s="3" t="n"/>
      <c r="N1921" s="3" t="n"/>
      <c r="O1921" s="3" t="n"/>
      <c r="P1921" s="3" t="n"/>
      <c r="Q1921" s="3" t="n"/>
      <c r="R1921" s="5">
        <f>IF(Q1921&lt;&gt;"是","排除",IF(OR(L1921="",M1921=""),"",IF(OR(L1921="未知",M1921="未知"),"未知",IF(AND(L1921="真",M1921="真"),"TP",IF(AND(L1921="真",M1921="假"),"FP",IF(AND(L1921="假",M1921="真"),"FN","TN"))))))</f>
        <v/>
      </c>
      <c r="S1921" s="3" t="n"/>
      <c r="T1921" s="3" t="n"/>
      <c r="U1921" s="3" t="n"/>
      <c r="V1921" s="3" t="n"/>
    </row>
    <row r="1922">
      <c r="A1922" s="3" t="n"/>
      <c r="B1922" s="3" t="n"/>
      <c r="C1922" s="3" t="n"/>
      <c r="D1922" s="4" t="n"/>
      <c r="E1922" s="3" t="n"/>
      <c r="F1922" s="3" t="n"/>
      <c r="G1922" s="3" t="n"/>
      <c r="H1922" s="3" t="n"/>
      <c r="I1922" s="3" t="n"/>
      <c r="J1922" s="3" t="n"/>
      <c r="K1922" s="3" t="n"/>
      <c r="L1922" s="3" t="n"/>
      <c r="M1922" s="3" t="n"/>
      <c r="N1922" s="3" t="n"/>
      <c r="O1922" s="3" t="n"/>
      <c r="P1922" s="3" t="n"/>
      <c r="Q1922" s="3" t="n"/>
      <c r="R1922" s="5">
        <f>IF(Q1922&lt;&gt;"是","排除",IF(OR(L1922="",M1922=""),"",IF(OR(L1922="未知",M1922="未知"),"未知",IF(AND(L1922="真",M1922="真"),"TP",IF(AND(L1922="真",M1922="假"),"FP",IF(AND(L1922="假",M1922="真"),"FN","TN"))))))</f>
        <v/>
      </c>
      <c r="S1922" s="3" t="n"/>
      <c r="T1922" s="3" t="n"/>
      <c r="U1922" s="3" t="n"/>
      <c r="V1922" s="3" t="n"/>
    </row>
    <row r="1923">
      <c r="A1923" s="3" t="n"/>
      <c r="B1923" s="3" t="n"/>
      <c r="C1923" s="3" t="n"/>
      <c r="D1923" s="4" t="n"/>
      <c r="E1923" s="3" t="n"/>
      <c r="F1923" s="3" t="n"/>
      <c r="G1923" s="3" t="n"/>
      <c r="H1923" s="3" t="n"/>
      <c r="I1923" s="3" t="n"/>
      <c r="J1923" s="3" t="n"/>
      <c r="K1923" s="3" t="n"/>
      <c r="L1923" s="3" t="n"/>
      <c r="M1923" s="3" t="n"/>
      <c r="N1923" s="3" t="n"/>
      <c r="O1923" s="3" t="n"/>
      <c r="P1923" s="3" t="n"/>
      <c r="Q1923" s="3" t="n"/>
      <c r="R1923" s="5">
        <f>IF(Q1923&lt;&gt;"是","排除",IF(OR(L1923="",M1923=""),"",IF(OR(L1923="未知",M1923="未知"),"未知",IF(AND(L1923="真",M1923="真"),"TP",IF(AND(L1923="真",M1923="假"),"FP",IF(AND(L1923="假",M1923="真"),"FN","TN"))))))</f>
        <v/>
      </c>
      <c r="S1923" s="3" t="n"/>
      <c r="T1923" s="3" t="n"/>
      <c r="U1923" s="3" t="n"/>
      <c r="V1923" s="3" t="n"/>
    </row>
    <row r="1924">
      <c r="A1924" s="3" t="n"/>
      <c r="B1924" s="3" t="n"/>
      <c r="C1924" s="3" t="n"/>
      <c r="D1924" s="4" t="n"/>
      <c r="E1924" s="3" t="n"/>
      <c r="F1924" s="3" t="n"/>
      <c r="G1924" s="3" t="n"/>
      <c r="H1924" s="3" t="n"/>
      <c r="I1924" s="3" t="n"/>
      <c r="J1924" s="3" t="n"/>
      <c r="K1924" s="3" t="n"/>
      <c r="L1924" s="3" t="n"/>
      <c r="M1924" s="3" t="n"/>
      <c r="N1924" s="3" t="n"/>
      <c r="O1924" s="3" t="n"/>
      <c r="P1924" s="3" t="n"/>
      <c r="Q1924" s="3" t="n"/>
      <c r="R1924" s="5">
        <f>IF(Q1924&lt;&gt;"是","排除",IF(OR(L1924="",M1924=""),"",IF(OR(L1924="未知",M1924="未知"),"未知",IF(AND(L1924="真",M1924="真"),"TP",IF(AND(L1924="真",M1924="假"),"FP",IF(AND(L1924="假",M1924="真"),"FN","TN"))))))</f>
        <v/>
      </c>
      <c r="S1924" s="3" t="n"/>
      <c r="T1924" s="3" t="n"/>
      <c r="U1924" s="3" t="n"/>
      <c r="V1924" s="3" t="n"/>
    </row>
    <row r="1925">
      <c r="A1925" s="3" t="n"/>
      <c r="B1925" s="3" t="n"/>
      <c r="C1925" s="3" t="n"/>
      <c r="D1925" s="4" t="n"/>
      <c r="E1925" s="3" t="n"/>
      <c r="F1925" s="3" t="n"/>
      <c r="G1925" s="3" t="n"/>
      <c r="H1925" s="3" t="n"/>
      <c r="I1925" s="3" t="n"/>
      <c r="J1925" s="3" t="n"/>
      <c r="K1925" s="3" t="n"/>
      <c r="L1925" s="3" t="n"/>
      <c r="M1925" s="3" t="n"/>
      <c r="N1925" s="3" t="n"/>
      <c r="O1925" s="3" t="n"/>
      <c r="P1925" s="3" t="n"/>
      <c r="Q1925" s="3" t="n"/>
      <c r="R1925" s="5">
        <f>IF(Q1925&lt;&gt;"是","排除",IF(OR(L1925="",M1925=""),"",IF(OR(L1925="未知",M1925="未知"),"未知",IF(AND(L1925="真",M1925="真"),"TP",IF(AND(L1925="真",M1925="假"),"FP",IF(AND(L1925="假",M1925="真"),"FN","TN"))))))</f>
        <v/>
      </c>
      <c r="S1925" s="3" t="n"/>
      <c r="T1925" s="3" t="n"/>
      <c r="U1925" s="3" t="n"/>
      <c r="V1925" s="3" t="n"/>
    </row>
    <row r="1926">
      <c r="A1926" s="3" t="n"/>
      <c r="B1926" s="3" t="n"/>
      <c r="C1926" s="3" t="n"/>
      <c r="D1926" s="4" t="n"/>
      <c r="E1926" s="3" t="n"/>
      <c r="F1926" s="3" t="n"/>
      <c r="G1926" s="3" t="n"/>
      <c r="H1926" s="3" t="n"/>
      <c r="I1926" s="3" t="n"/>
      <c r="J1926" s="3" t="n"/>
      <c r="K1926" s="3" t="n"/>
      <c r="L1926" s="3" t="n"/>
      <c r="M1926" s="3" t="n"/>
      <c r="N1926" s="3" t="n"/>
      <c r="O1926" s="3" t="n"/>
      <c r="P1926" s="3" t="n"/>
      <c r="Q1926" s="3" t="n"/>
      <c r="R1926" s="5">
        <f>IF(Q1926&lt;&gt;"是","排除",IF(OR(L1926="",M1926=""),"",IF(OR(L1926="未知",M1926="未知"),"未知",IF(AND(L1926="真",M1926="真"),"TP",IF(AND(L1926="真",M1926="假"),"FP",IF(AND(L1926="假",M1926="真"),"FN","TN"))))))</f>
        <v/>
      </c>
      <c r="S1926" s="3" t="n"/>
      <c r="T1926" s="3" t="n"/>
      <c r="U1926" s="3" t="n"/>
      <c r="V1926" s="3" t="n"/>
    </row>
    <row r="1927">
      <c r="A1927" s="3" t="n"/>
      <c r="B1927" s="3" t="n"/>
      <c r="C1927" s="3" t="n"/>
      <c r="D1927" s="4" t="n"/>
      <c r="E1927" s="3" t="n"/>
      <c r="F1927" s="3" t="n"/>
      <c r="G1927" s="3" t="n"/>
      <c r="H1927" s="3" t="n"/>
      <c r="I1927" s="3" t="n"/>
      <c r="J1927" s="3" t="n"/>
      <c r="K1927" s="3" t="n"/>
      <c r="L1927" s="3" t="n"/>
      <c r="M1927" s="3" t="n"/>
      <c r="N1927" s="3" t="n"/>
      <c r="O1927" s="3" t="n"/>
      <c r="P1927" s="3" t="n"/>
      <c r="Q1927" s="3" t="n"/>
      <c r="R1927" s="5">
        <f>IF(Q1927&lt;&gt;"是","排除",IF(OR(L1927="",M1927=""),"",IF(OR(L1927="未知",M1927="未知"),"未知",IF(AND(L1927="真",M1927="真"),"TP",IF(AND(L1927="真",M1927="假"),"FP",IF(AND(L1927="假",M1927="真"),"FN","TN"))))))</f>
        <v/>
      </c>
      <c r="S1927" s="3" t="n"/>
      <c r="T1927" s="3" t="n"/>
      <c r="U1927" s="3" t="n"/>
      <c r="V1927" s="3" t="n"/>
    </row>
    <row r="1928">
      <c r="A1928" s="3" t="n"/>
      <c r="B1928" s="3" t="n"/>
      <c r="C1928" s="3" t="n"/>
      <c r="D1928" s="4" t="n"/>
      <c r="E1928" s="3" t="n"/>
      <c r="F1928" s="3" t="n"/>
      <c r="G1928" s="3" t="n"/>
      <c r="H1928" s="3" t="n"/>
      <c r="I1928" s="3" t="n"/>
      <c r="J1928" s="3" t="n"/>
      <c r="K1928" s="3" t="n"/>
      <c r="L1928" s="3" t="n"/>
      <c r="M1928" s="3" t="n"/>
      <c r="N1928" s="3" t="n"/>
      <c r="O1928" s="3" t="n"/>
      <c r="P1928" s="3" t="n"/>
      <c r="Q1928" s="3" t="n"/>
      <c r="R1928" s="5">
        <f>IF(Q1928&lt;&gt;"是","排除",IF(OR(L1928="",M1928=""),"",IF(OR(L1928="未知",M1928="未知"),"未知",IF(AND(L1928="真",M1928="真"),"TP",IF(AND(L1928="真",M1928="假"),"FP",IF(AND(L1928="假",M1928="真"),"FN","TN"))))))</f>
        <v/>
      </c>
      <c r="S1928" s="3" t="n"/>
      <c r="T1928" s="3" t="n"/>
      <c r="U1928" s="3" t="n"/>
      <c r="V1928" s="3" t="n"/>
    </row>
    <row r="1929">
      <c r="A1929" s="3" t="n"/>
      <c r="B1929" s="3" t="n"/>
      <c r="C1929" s="3" t="n"/>
      <c r="D1929" s="4" t="n"/>
      <c r="E1929" s="3" t="n"/>
      <c r="F1929" s="3" t="n"/>
      <c r="G1929" s="3" t="n"/>
      <c r="H1929" s="3" t="n"/>
      <c r="I1929" s="3" t="n"/>
      <c r="J1929" s="3" t="n"/>
      <c r="K1929" s="3" t="n"/>
      <c r="L1929" s="3" t="n"/>
      <c r="M1929" s="3" t="n"/>
      <c r="N1929" s="3" t="n"/>
      <c r="O1929" s="3" t="n"/>
      <c r="P1929" s="3" t="n"/>
      <c r="Q1929" s="3" t="n"/>
      <c r="R1929" s="5">
        <f>IF(Q1929&lt;&gt;"是","排除",IF(OR(L1929="",M1929=""),"",IF(OR(L1929="未知",M1929="未知"),"未知",IF(AND(L1929="真",M1929="真"),"TP",IF(AND(L1929="真",M1929="假"),"FP",IF(AND(L1929="假",M1929="真"),"FN","TN"))))))</f>
        <v/>
      </c>
      <c r="S1929" s="3" t="n"/>
      <c r="T1929" s="3" t="n"/>
      <c r="U1929" s="3" t="n"/>
      <c r="V1929" s="3" t="n"/>
    </row>
    <row r="1930">
      <c r="A1930" s="3" t="n"/>
      <c r="B1930" s="3" t="n"/>
      <c r="C1930" s="3" t="n"/>
      <c r="D1930" s="4" t="n"/>
      <c r="E1930" s="3" t="n"/>
      <c r="F1930" s="3" t="n"/>
      <c r="G1930" s="3" t="n"/>
      <c r="H1930" s="3" t="n"/>
      <c r="I1930" s="3" t="n"/>
      <c r="J1930" s="3" t="n"/>
      <c r="K1930" s="3" t="n"/>
      <c r="L1930" s="3" t="n"/>
      <c r="M1930" s="3" t="n"/>
      <c r="N1930" s="3" t="n"/>
      <c r="O1930" s="3" t="n"/>
      <c r="P1930" s="3" t="n"/>
      <c r="Q1930" s="3" t="n"/>
      <c r="R1930" s="5">
        <f>IF(Q1930&lt;&gt;"是","排除",IF(OR(L1930="",M1930=""),"",IF(OR(L1930="未知",M1930="未知"),"未知",IF(AND(L1930="真",M1930="真"),"TP",IF(AND(L1930="真",M1930="假"),"FP",IF(AND(L1930="假",M1930="真"),"FN","TN"))))))</f>
        <v/>
      </c>
      <c r="S1930" s="3" t="n"/>
      <c r="T1930" s="3" t="n"/>
      <c r="U1930" s="3" t="n"/>
      <c r="V1930" s="3" t="n"/>
    </row>
    <row r="1931">
      <c r="A1931" s="3" t="n"/>
      <c r="B1931" s="3" t="n"/>
      <c r="C1931" s="3" t="n"/>
      <c r="D1931" s="4" t="n"/>
      <c r="E1931" s="3" t="n"/>
      <c r="F1931" s="3" t="n"/>
      <c r="G1931" s="3" t="n"/>
      <c r="H1931" s="3" t="n"/>
      <c r="I1931" s="3" t="n"/>
      <c r="J1931" s="3" t="n"/>
      <c r="K1931" s="3" t="n"/>
      <c r="L1931" s="3" t="n"/>
      <c r="M1931" s="3" t="n"/>
      <c r="N1931" s="3" t="n"/>
      <c r="O1931" s="3" t="n"/>
      <c r="P1931" s="3" t="n"/>
      <c r="Q1931" s="3" t="n"/>
      <c r="R1931" s="5">
        <f>IF(Q1931&lt;&gt;"是","排除",IF(OR(L1931="",M1931=""),"",IF(OR(L1931="未知",M1931="未知"),"未知",IF(AND(L1931="真",M1931="真"),"TP",IF(AND(L1931="真",M1931="假"),"FP",IF(AND(L1931="假",M1931="真"),"FN","TN"))))))</f>
        <v/>
      </c>
      <c r="S1931" s="3" t="n"/>
      <c r="T1931" s="3" t="n"/>
      <c r="U1931" s="3" t="n"/>
      <c r="V1931" s="3" t="n"/>
    </row>
    <row r="1932">
      <c r="A1932" s="3" t="n"/>
      <c r="B1932" s="3" t="n"/>
      <c r="C1932" s="3" t="n"/>
      <c r="D1932" s="4" t="n"/>
      <c r="E1932" s="3" t="n"/>
      <c r="F1932" s="3" t="n"/>
      <c r="G1932" s="3" t="n"/>
      <c r="H1932" s="3" t="n"/>
      <c r="I1932" s="3" t="n"/>
      <c r="J1932" s="3" t="n"/>
      <c r="K1932" s="3" t="n"/>
      <c r="L1932" s="3" t="n"/>
      <c r="M1932" s="3" t="n"/>
      <c r="N1932" s="3" t="n"/>
      <c r="O1932" s="3" t="n"/>
      <c r="P1932" s="3" t="n"/>
      <c r="Q1932" s="3" t="n"/>
      <c r="R1932" s="5">
        <f>IF(Q1932&lt;&gt;"是","排除",IF(OR(L1932="",M1932=""),"",IF(OR(L1932="未知",M1932="未知"),"未知",IF(AND(L1932="真",M1932="真"),"TP",IF(AND(L1932="真",M1932="假"),"FP",IF(AND(L1932="假",M1932="真"),"FN","TN"))))))</f>
        <v/>
      </c>
      <c r="S1932" s="3" t="n"/>
      <c r="T1932" s="3" t="n"/>
      <c r="U1932" s="3" t="n"/>
      <c r="V1932" s="3" t="n"/>
    </row>
    <row r="1933">
      <c r="A1933" s="3" t="n"/>
      <c r="B1933" s="3" t="n"/>
      <c r="C1933" s="3" t="n"/>
      <c r="D1933" s="4" t="n"/>
      <c r="E1933" s="3" t="n"/>
      <c r="F1933" s="3" t="n"/>
      <c r="G1933" s="3" t="n"/>
      <c r="H1933" s="3" t="n"/>
      <c r="I1933" s="3" t="n"/>
      <c r="J1933" s="3" t="n"/>
      <c r="K1933" s="3" t="n"/>
      <c r="L1933" s="3" t="n"/>
      <c r="M1933" s="3" t="n"/>
      <c r="N1933" s="3" t="n"/>
      <c r="O1933" s="3" t="n"/>
      <c r="P1933" s="3" t="n"/>
      <c r="Q1933" s="3" t="n"/>
      <c r="R1933" s="5">
        <f>IF(Q1933&lt;&gt;"是","排除",IF(OR(L1933="",M1933=""),"",IF(OR(L1933="未知",M1933="未知"),"未知",IF(AND(L1933="真",M1933="真"),"TP",IF(AND(L1933="真",M1933="假"),"FP",IF(AND(L1933="假",M1933="真"),"FN","TN"))))))</f>
        <v/>
      </c>
      <c r="S1933" s="3" t="n"/>
      <c r="T1933" s="3" t="n"/>
      <c r="U1933" s="3" t="n"/>
      <c r="V1933" s="3" t="n"/>
    </row>
    <row r="1934">
      <c r="A1934" s="3" t="n"/>
      <c r="B1934" s="3" t="n"/>
      <c r="C1934" s="3" t="n"/>
      <c r="D1934" s="4" t="n"/>
      <c r="E1934" s="3" t="n"/>
      <c r="F1934" s="3" t="n"/>
      <c r="G1934" s="3" t="n"/>
      <c r="H1934" s="3" t="n"/>
      <c r="I1934" s="3" t="n"/>
      <c r="J1934" s="3" t="n"/>
      <c r="K1934" s="3" t="n"/>
      <c r="L1934" s="3" t="n"/>
      <c r="M1934" s="3" t="n"/>
      <c r="N1934" s="3" t="n"/>
      <c r="O1934" s="3" t="n"/>
      <c r="P1934" s="3" t="n"/>
      <c r="Q1934" s="3" t="n"/>
      <c r="R1934" s="5">
        <f>IF(Q1934&lt;&gt;"是","排除",IF(OR(L1934="",M1934=""),"",IF(OR(L1934="未知",M1934="未知"),"未知",IF(AND(L1934="真",M1934="真"),"TP",IF(AND(L1934="真",M1934="假"),"FP",IF(AND(L1934="假",M1934="真"),"FN","TN"))))))</f>
        <v/>
      </c>
      <c r="S1934" s="3" t="n"/>
      <c r="T1934" s="3" t="n"/>
      <c r="U1934" s="3" t="n"/>
      <c r="V1934" s="3" t="n"/>
    </row>
    <row r="1935">
      <c r="A1935" s="3" t="n"/>
      <c r="B1935" s="3" t="n"/>
      <c r="C1935" s="3" t="n"/>
      <c r="D1935" s="4" t="n"/>
      <c r="E1935" s="3" t="n"/>
      <c r="F1935" s="3" t="n"/>
      <c r="G1935" s="3" t="n"/>
      <c r="H1935" s="3" t="n"/>
      <c r="I1935" s="3" t="n"/>
      <c r="J1935" s="3" t="n"/>
      <c r="K1935" s="3" t="n"/>
      <c r="L1935" s="3" t="n"/>
      <c r="M1935" s="3" t="n"/>
      <c r="N1935" s="3" t="n"/>
      <c r="O1935" s="3" t="n"/>
      <c r="P1935" s="3" t="n"/>
      <c r="Q1935" s="3" t="n"/>
      <c r="R1935" s="5">
        <f>IF(Q1935&lt;&gt;"是","排除",IF(OR(L1935="",M1935=""),"",IF(OR(L1935="未知",M1935="未知"),"未知",IF(AND(L1935="真",M1935="真"),"TP",IF(AND(L1935="真",M1935="假"),"FP",IF(AND(L1935="假",M1935="真"),"FN","TN"))))))</f>
        <v/>
      </c>
      <c r="S1935" s="3" t="n"/>
      <c r="T1935" s="3" t="n"/>
      <c r="U1935" s="3" t="n"/>
      <c r="V1935" s="3" t="n"/>
    </row>
    <row r="1936">
      <c r="A1936" s="3" t="n"/>
      <c r="B1936" s="3" t="n"/>
      <c r="C1936" s="3" t="n"/>
      <c r="D1936" s="4" t="n"/>
      <c r="E1936" s="3" t="n"/>
      <c r="F1936" s="3" t="n"/>
      <c r="G1936" s="3" t="n"/>
      <c r="H1936" s="3" t="n"/>
      <c r="I1936" s="3" t="n"/>
      <c r="J1936" s="3" t="n"/>
      <c r="K1936" s="3" t="n"/>
      <c r="L1936" s="3" t="n"/>
      <c r="M1936" s="3" t="n"/>
      <c r="N1936" s="3" t="n"/>
      <c r="O1936" s="3" t="n"/>
      <c r="P1936" s="3" t="n"/>
      <c r="Q1936" s="3" t="n"/>
      <c r="R1936" s="5">
        <f>IF(Q1936&lt;&gt;"是","排除",IF(OR(L1936="",M1936=""),"",IF(OR(L1936="未知",M1936="未知"),"未知",IF(AND(L1936="真",M1936="真"),"TP",IF(AND(L1936="真",M1936="假"),"FP",IF(AND(L1936="假",M1936="真"),"FN","TN"))))))</f>
        <v/>
      </c>
      <c r="S1936" s="3" t="n"/>
      <c r="T1936" s="3" t="n"/>
      <c r="U1936" s="3" t="n"/>
      <c r="V1936" s="3" t="n"/>
    </row>
    <row r="1937">
      <c r="A1937" s="3" t="n"/>
      <c r="B1937" s="3" t="n"/>
      <c r="C1937" s="3" t="n"/>
      <c r="D1937" s="4" t="n"/>
      <c r="E1937" s="3" t="n"/>
      <c r="F1937" s="3" t="n"/>
      <c r="G1937" s="3" t="n"/>
      <c r="H1937" s="3" t="n"/>
      <c r="I1937" s="3" t="n"/>
      <c r="J1937" s="3" t="n"/>
      <c r="K1937" s="3" t="n"/>
      <c r="L1937" s="3" t="n"/>
      <c r="M1937" s="3" t="n"/>
      <c r="N1937" s="3" t="n"/>
      <c r="O1937" s="3" t="n"/>
      <c r="P1937" s="3" t="n"/>
      <c r="Q1937" s="3" t="n"/>
      <c r="R1937" s="5">
        <f>IF(Q1937&lt;&gt;"是","排除",IF(OR(L1937="",M1937=""),"",IF(OR(L1937="未知",M1937="未知"),"未知",IF(AND(L1937="真",M1937="真"),"TP",IF(AND(L1937="真",M1937="假"),"FP",IF(AND(L1937="假",M1937="真"),"FN","TN"))))))</f>
        <v/>
      </c>
      <c r="S1937" s="3" t="n"/>
      <c r="T1937" s="3" t="n"/>
      <c r="U1937" s="3" t="n"/>
      <c r="V1937" s="3" t="n"/>
    </row>
    <row r="1938">
      <c r="A1938" s="3" t="n"/>
      <c r="B1938" s="3" t="n"/>
      <c r="C1938" s="3" t="n"/>
      <c r="D1938" s="4" t="n"/>
      <c r="E1938" s="3" t="n"/>
      <c r="F1938" s="3" t="n"/>
      <c r="G1938" s="3" t="n"/>
      <c r="H1938" s="3" t="n"/>
      <c r="I1938" s="3" t="n"/>
      <c r="J1938" s="3" t="n"/>
      <c r="K1938" s="3" t="n"/>
      <c r="L1938" s="3" t="n"/>
      <c r="M1938" s="3" t="n"/>
      <c r="N1938" s="3" t="n"/>
      <c r="O1938" s="3" t="n"/>
      <c r="P1938" s="3" t="n"/>
      <c r="Q1938" s="3" t="n"/>
      <c r="R1938" s="5">
        <f>IF(Q1938&lt;&gt;"是","排除",IF(OR(L1938="",M1938=""),"",IF(OR(L1938="未知",M1938="未知"),"未知",IF(AND(L1938="真",M1938="真"),"TP",IF(AND(L1938="真",M1938="假"),"FP",IF(AND(L1938="假",M1938="真"),"FN","TN"))))))</f>
        <v/>
      </c>
      <c r="S1938" s="3" t="n"/>
      <c r="T1938" s="3" t="n"/>
      <c r="U1938" s="3" t="n"/>
      <c r="V1938" s="3" t="n"/>
    </row>
    <row r="1939">
      <c r="A1939" s="3" t="n"/>
      <c r="B1939" s="3" t="n"/>
      <c r="C1939" s="3" t="n"/>
      <c r="D1939" s="4" t="n"/>
      <c r="E1939" s="3" t="n"/>
      <c r="F1939" s="3" t="n"/>
      <c r="G1939" s="3" t="n"/>
      <c r="H1939" s="3" t="n"/>
      <c r="I1939" s="3" t="n"/>
      <c r="J1939" s="3" t="n"/>
      <c r="K1939" s="3" t="n"/>
      <c r="L1939" s="3" t="n"/>
      <c r="M1939" s="3" t="n"/>
      <c r="N1939" s="3" t="n"/>
      <c r="O1939" s="3" t="n"/>
      <c r="P1939" s="3" t="n"/>
      <c r="Q1939" s="3" t="n"/>
      <c r="R1939" s="5">
        <f>IF(Q1939&lt;&gt;"是","排除",IF(OR(L1939="",M1939=""),"",IF(OR(L1939="未知",M1939="未知"),"未知",IF(AND(L1939="真",M1939="真"),"TP",IF(AND(L1939="真",M1939="假"),"FP",IF(AND(L1939="假",M1939="真"),"FN","TN"))))))</f>
        <v/>
      </c>
      <c r="S1939" s="3" t="n"/>
      <c r="T1939" s="3" t="n"/>
      <c r="U1939" s="3" t="n"/>
      <c r="V1939" s="3" t="n"/>
    </row>
    <row r="1940">
      <c r="A1940" s="3" t="n"/>
      <c r="B1940" s="3" t="n"/>
      <c r="C1940" s="3" t="n"/>
      <c r="D1940" s="4" t="n"/>
      <c r="E1940" s="3" t="n"/>
      <c r="F1940" s="3" t="n"/>
      <c r="G1940" s="3" t="n"/>
      <c r="H1940" s="3" t="n"/>
      <c r="I1940" s="3" t="n"/>
      <c r="J1940" s="3" t="n"/>
      <c r="K1940" s="3" t="n"/>
      <c r="L1940" s="3" t="n"/>
      <c r="M1940" s="3" t="n"/>
      <c r="N1940" s="3" t="n"/>
      <c r="O1940" s="3" t="n"/>
      <c r="P1940" s="3" t="n"/>
      <c r="Q1940" s="3" t="n"/>
      <c r="R1940" s="5">
        <f>IF(Q1940&lt;&gt;"是","排除",IF(OR(L1940="",M1940=""),"",IF(OR(L1940="未知",M1940="未知"),"未知",IF(AND(L1940="真",M1940="真"),"TP",IF(AND(L1940="真",M1940="假"),"FP",IF(AND(L1940="假",M1940="真"),"FN","TN"))))))</f>
        <v/>
      </c>
      <c r="S1940" s="3" t="n"/>
      <c r="T1940" s="3" t="n"/>
      <c r="U1940" s="3" t="n"/>
      <c r="V1940" s="3" t="n"/>
    </row>
    <row r="1941">
      <c r="A1941" s="3" t="n"/>
      <c r="B1941" s="3" t="n"/>
      <c r="C1941" s="3" t="n"/>
      <c r="D1941" s="4" t="n"/>
      <c r="E1941" s="3" t="n"/>
      <c r="F1941" s="3" t="n"/>
      <c r="G1941" s="3" t="n"/>
      <c r="H1941" s="3" t="n"/>
      <c r="I1941" s="3" t="n"/>
      <c r="J1941" s="3" t="n"/>
      <c r="K1941" s="3" t="n"/>
      <c r="L1941" s="3" t="n"/>
      <c r="M1941" s="3" t="n"/>
      <c r="N1941" s="3" t="n"/>
      <c r="O1941" s="3" t="n"/>
      <c r="P1941" s="3" t="n"/>
      <c r="Q1941" s="3" t="n"/>
      <c r="R1941" s="5">
        <f>IF(Q1941&lt;&gt;"是","排除",IF(OR(L1941="",M1941=""),"",IF(OR(L1941="未知",M1941="未知"),"未知",IF(AND(L1941="真",M1941="真"),"TP",IF(AND(L1941="真",M1941="假"),"FP",IF(AND(L1941="假",M1941="真"),"FN","TN"))))))</f>
        <v/>
      </c>
      <c r="S1941" s="3" t="n"/>
      <c r="T1941" s="3" t="n"/>
      <c r="U1941" s="3" t="n"/>
      <c r="V1941" s="3" t="n"/>
    </row>
    <row r="1942">
      <c r="A1942" s="3" t="n"/>
      <c r="B1942" s="3" t="n"/>
      <c r="C1942" s="3" t="n"/>
      <c r="D1942" s="4" t="n"/>
      <c r="E1942" s="3" t="n"/>
      <c r="F1942" s="3" t="n"/>
      <c r="G1942" s="3" t="n"/>
      <c r="H1942" s="3" t="n"/>
      <c r="I1942" s="3" t="n"/>
      <c r="J1942" s="3" t="n"/>
      <c r="K1942" s="3" t="n"/>
      <c r="L1942" s="3" t="n"/>
      <c r="M1942" s="3" t="n"/>
      <c r="N1942" s="3" t="n"/>
      <c r="O1942" s="3" t="n"/>
      <c r="P1942" s="3" t="n"/>
      <c r="Q1942" s="3" t="n"/>
      <c r="R1942" s="5">
        <f>IF(Q1942&lt;&gt;"是","排除",IF(OR(L1942="",M1942=""),"",IF(OR(L1942="未知",M1942="未知"),"未知",IF(AND(L1942="真",M1942="真"),"TP",IF(AND(L1942="真",M1942="假"),"FP",IF(AND(L1942="假",M1942="真"),"FN","TN"))))))</f>
        <v/>
      </c>
      <c r="S1942" s="3" t="n"/>
      <c r="T1942" s="3" t="n"/>
      <c r="U1942" s="3" t="n"/>
      <c r="V1942" s="3" t="n"/>
    </row>
    <row r="1943">
      <c r="A1943" s="3" t="n"/>
      <c r="B1943" s="3" t="n"/>
      <c r="C1943" s="3" t="n"/>
      <c r="D1943" s="4" t="n"/>
      <c r="E1943" s="3" t="n"/>
      <c r="F1943" s="3" t="n"/>
      <c r="G1943" s="3" t="n"/>
      <c r="H1943" s="3" t="n"/>
      <c r="I1943" s="3" t="n"/>
      <c r="J1943" s="3" t="n"/>
      <c r="K1943" s="3" t="n"/>
      <c r="L1943" s="3" t="n"/>
      <c r="M1943" s="3" t="n"/>
      <c r="N1943" s="3" t="n"/>
      <c r="O1943" s="3" t="n"/>
      <c r="P1943" s="3" t="n"/>
      <c r="Q1943" s="3" t="n"/>
      <c r="R1943" s="5">
        <f>IF(Q1943&lt;&gt;"是","排除",IF(OR(L1943="",M1943=""),"",IF(OR(L1943="未知",M1943="未知"),"未知",IF(AND(L1943="真",M1943="真"),"TP",IF(AND(L1943="真",M1943="假"),"FP",IF(AND(L1943="假",M1943="真"),"FN","TN"))))))</f>
        <v/>
      </c>
      <c r="S1943" s="3" t="n"/>
      <c r="T1943" s="3" t="n"/>
      <c r="U1943" s="3" t="n"/>
      <c r="V1943" s="3" t="n"/>
    </row>
    <row r="1944">
      <c r="A1944" s="3" t="n"/>
      <c r="B1944" s="3" t="n"/>
      <c r="C1944" s="3" t="n"/>
      <c r="D1944" s="4" t="n"/>
      <c r="E1944" s="3" t="n"/>
      <c r="F1944" s="3" t="n"/>
      <c r="G1944" s="3" t="n"/>
      <c r="H1944" s="3" t="n"/>
      <c r="I1944" s="3" t="n"/>
      <c r="J1944" s="3" t="n"/>
      <c r="K1944" s="3" t="n"/>
      <c r="L1944" s="3" t="n"/>
      <c r="M1944" s="3" t="n"/>
      <c r="N1944" s="3" t="n"/>
      <c r="O1944" s="3" t="n"/>
      <c r="P1944" s="3" t="n"/>
      <c r="Q1944" s="3" t="n"/>
      <c r="R1944" s="5">
        <f>IF(Q1944&lt;&gt;"是","排除",IF(OR(L1944="",M1944=""),"",IF(OR(L1944="未知",M1944="未知"),"未知",IF(AND(L1944="真",M1944="真"),"TP",IF(AND(L1944="真",M1944="假"),"FP",IF(AND(L1944="假",M1944="真"),"FN","TN"))))))</f>
        <v/>
      </c>
      <c r="S1944" s="3" t="n"/>
      <c r="T1944" s="3" t="n"/>
      <c r="U1944" s="3" t="n"/>
      <c r="V1944" s="3" t="n"/>
    </row>
    <row r="1945">
      <c r="A1945" s="3" t="n"/>
      <c r="B1945" s="3" t="n"/>
      <c r="C1945" s="3" t="n"/>
      <c r="D1945" s="4" t="n"/>
      <c r="E1945" s="3" t="n"/>
      <c r="F1945" s="3" t="n"/>
      <c r="G1945" s="3" t="n"/>
      <c r="H1945" s="3" t="n"/>
      <c r="I1945" s="3" t="n"/>
      <c r="J1945" s="3" t="n"/>
      <c r="K1945" s="3" t="n"/>
      <c r="L1945" s="3" t="n"/>
      <c r="M1945" s="3" t="n"/>
      <c r="N1945" s="3" t="n"/>
      <c r="O1945" s="3" t="n"/>
      <c r="P1945" s="3" t="n"/>
      <c r="Q1945" s="3" t="n"/>
      <c r="R1945" s="5">
        <f>IF(Q1945&lt;&gt;"是","排除",IF(OR(L1945="",M1945=""),"",IF(OR(L1945="未知",M1945="未知"),"未知",IF(AND(L1945="真",M1945="真"),"TP",IF(AND(L1945="真",M1945="假"),"FP",IF(AND(L1945="假",M1945="真"),"FN","TN"))))))</f>
        <v/>
      </c>
      <c r="S1945" s="3" t="n"/>
      <c r="T1945" s="3" t="n"/>
      <c r="U1945" s="3" t="n"/>
      <c r="V1945" s="3" t="n"/>
    </row>
    <row r="1946">
      <c r="A1946" s="3" t="n"/>
      <c r="B1946" s="3" t="n"/>
      <c r="C1946" s="3" t="n"/>
      <c r="D1946" s="4" t="n"/>
      <c r="E1946" s="3" t="n"/>
      <c r="F1946" s="3" t="n"/>
      <c r="G1946" s="3" t="n"/>
      <c r="H1946" s="3" t="n"/>
      <c r="I1946" s="3" t="n"/>
      <c r="J1946" s="3" t="n"/>
      <c r="K1946" s="3" t="n"/>
      <c r="L1946" s="3" t="n"/>
      <c r="M1946" s="3" t="n"/>
      <c r="N1946" s="3" t="n"/>
      <c r="O1946" s="3" t="n"/>
      <c r="P1946" s="3" t="n"/>
      <c r="Q1946" s="3" t="n"/>
      <c r="R1946" s="5">
        <f>IF(Q1946&lt;&gt;"是","排除",IF(OR(L1946="",M1946=""),"",IF(OR(L1946="未知",M1946="未知"),"未知",IF(AND(L1946="真",M1946="真"),"TP",IF(AND(L1946="真",M1946="假"),"FP",IF(AND(L1946="假",M1946="真"),"FN","TN"))))))</f>
        <v/>
      </c>
      <c r="S1946" s="3" t="n"/>
      <c r="T1946" s="3" t="n"/>
      <c r="U1946" s="3" t="n"/>
      <c r="V1946" s="3" t="n"/>
    </row>
    <row r="1947">
      <c r="A1947" s="3" t="n"/>
      <c r="B1947" s="3" t="n"/>
      <c r="C1947" s="3" t="n"/>
      <c r="D1947" s="4" t="n"/>
      <c r="E1947" s="3" t="n"/>
      <c r="F1947" s="3" t="n"/>
      <c r="G1947" s="3" t="n"/>
      <c r="H1947" s="3" t="n"/>
      <c r="I1947" s="3" t="n"/>
      <c r="J1947" s="3" t="n"/>
      <c r="K1947" s="3" t="n"/>
      <c r="L1947" s="3" t="n"/>
      <c r="M1947" s="3" t="n"/>
      <c r="N1947" s="3" t="n"/>
      <c r="O1947" s="3" t="n"/>
      <c r="P1947" s="3" t="n"/>
      <c r="Q1947" s="3" t="n"/>
      <c r="R1947" s="5">
        <f>IF(Q1947&lt;&gt;"是","排除",IF(OR(L1947="",M1947=""),"",IF(OR(L1947="未知",M1947="未知"),"未知",IF(AND(L1947="真",M1947="真"),"TP",IF(AND(L1947="真",M1947="假"),"FP",IF(AND(L1947="假",M1947="真"),"FN","TN"))))))</f>
        <v/>
      </c>
      <c r="S1947" s="3" t="n"/>
      <c r="T1947" s="3" t="n"/>
      <c r="U1947" s="3" t="n"/>
      <c r="V1947" s="3" t="n"/>
    </row>
    <row r="1948">
      <c r="A1948" s="3" t="n"/>
      <c r="B1948" s="3" t="n"/>
      <c r="C1948" s="3" t="n"/>
      <c r="D1948" s="4" t="n"/>
      <c r="E1948" s="3" t="n"/>
      <c r="F1948" s="3" t="n"/>
      <c r="G1948" s="3" t="n"/>
      <c r="H1948" s="3" t="n"/>
      <c r="I1948" s="3" t="n"/>
      <c r="J1948" s="3" t="n"/>
      <c r="K1948" s="3" t="n"/>
      <c r="L1948" s="3" t="n"/>
      <c r="M1948" s="3" t="n"/>
      <c r="N1948" s="3" t="n"/>
      <c r="O1948" s="3" t="n"/>
      <c r="P1948" s="3" t="n"/>
      <c r="Q1948" s="3" t="n"/>
      <c r="R1948" s="5">
        <f>IF(Q1948&lt;&gt;"是","排除",IF(OR(L1948="",M1948=""),"",IF(OR(L1948="未知",M1948="未知"),"未知",IF(AND(L1948="真",M1948="真"),"TP",IF(AND(L1948="真",M1948="假"),"FP",IF(AND(L1948="假",M1948="真"),"FN","TN"))))))</f>
        <v/>
      </c>
      <c r="S1948" s="3" t="n"/>
      <c r="T1948" s="3" t="n"/>
      <c r="U1948" s="3" t="n"/>
      <c r="V1948" s="3" t="n"/>
    </row>
    <row r="1949">
      <c r="A1949" s="3" t="n"/>
      <c r="B1949" s="3" t="n"/>
      <c r="C1949" s="3" t="n"/>
      <c r="D1949" s="4" t="n"/>
      <c r="E1949" s="3" t="n"/>
      <c r="F1949" s="3" t="n"/>
      <c r="G1949" s="3" t="n"/>
      <c r="H1949" s="3" t="n"/>
      <c r="I1949" s="3" t="n"/>
      <c r="J1949" s="3" t="n"/>
      <c r="K1949" s="3" t="n"/>
      <c r="L1949" s="3" t="n"/>
      <c r="M1949" s="3" t="n"/>
      <c r="N1949" s="3" t="n"/>
      <c r="O1949" s="3" t="n"/>
      <c r="P1949" s="3" t="n"/>
      <c r="Q1949" s="3" t="n"/>
      <c r="R1949" s="5">
        <f>IF(Q1949&lt;&gt;"是","排除",IF(OR(L1949="",M1949=""),"",IF(OR(L1949="未知",M1949="未知"),"未知",IF(AND(L1949="真",M1949="真"),"TP",IF(AND(L1949="真",M1949="假"),"FP",IF(AND(L1949="假",M1949="真"),"FN","TN"))))))</f>
        <v/>
      </c>
      <c r="S1949" s="3" t="n"/>
      <c r="T1949" s="3" t="n"/>
      <c r="U1949" s="3" t="n"/>
      <c r="V1949" s="3" t="n"/>
    </row>
    <row r="1950">
      <c r="A1950" s="3" t="n"/>
      <c r="B1950" s="3" t="n"/>
      <c r="C1950" s="3" t="n"/>
      <c r="D1950" s="4" t="n"/>
      <c r="E1950" s="3" t="n"/>
      <c r="F1950" s="3" t="n"/>
      <c r="G1950" s="3" t="n"/>
      <c r="H1950" s="3" t="n"/>
      <c r="I1950" s="3" t="n"/>
      <c r="J1950" s="3" t="n"/>
      <c r="K1950" s="3" t="n"/>
      <c r="L1950" s="3" t="n"/>
      <c r="M1950" s="3" t="n"/>
      <c r="N1950" s="3" t="n"/>
      <c r="O1950" s="3" t="n"/>
      <c r="P1950" s="3" t="n"/>
      <c r="Q1950" s="3" t="n"/>
      <c r="R1950" s="5">
        <f>IF(Q1950&lt;&gt;"是","排除",IF(OR(L1950="",M1950=""),"",IF(OR(L1950="未知",M1950="未知"),"未知",IF(AND(L1950="真",M1950="真"),"TP",IF(AND(L1950="真",M1950="假"),"FP",IF(AND(L1950="假",M1950="真"),"FN","TN"))))))</f>
        <v/>
      </c>
      <c r="S1950" s="3" t="n"/>
      <c r="T1950" s="3" t="n"/>
      <c r="U1950" s="3" t="n"/>
      <c r="V1950" s="3" t="n"/>
    </row>
    <row r="1951">
      <c r="A1951" s="3" t="n"/>
      <c r="B1951" s="3" t="n"/>
      <c r="C1951" s="3" t="n"/>
      <c r="D1951" s="4" t="n"/>
      <c r="E1951" s="3" t="n"/>
      <c r="F1951" s="3" t="n"/>
      <c r="G1951" s="3" t="n"/>
      <c r="H1951" s="3" t="n"/>
      <c r="I1951" s="3" t="n"/>
      <c r="J1951" s="3" t="n"/>
      <c r="K1951" s="3" t="n"/>
      <c r="L1951" s="3" t="n"/>
      <c r="M1951" s="3" t="n"/>
      <c r="N1951" s="3" t="n"/>
      <c r="O1951" s="3" t="n"/>
      <c r="P1951" s="3" t="n"/>
      <c r="Q1951" s="3" t="n"/>
      <c r="R1951" s="5">
        <f>IF(Q1951&lt;&gt;"是","排除",IF(OR(L1951="",M1951=""),"",IF(OR(L1951="未知",M1951="未知"),"未知",IF(AND(L1951="真",M1951="真"),"TP",IF(AND(L1951="真",M1951="假"),"FP",IF(AND(L1951="假",M1951="真"),"FN","TN"))))))</f>
        <v/>
      </c>
      <c r="S1951" s="3" t="n"/>
      <c r="T1951" s="3" t="n"/>
      <c r="U1951" s="3" t="n"/>
      <c r="V1951" s="3" t="n"/>
    </row>
    <row r="1952">
      <c r="A1952" s="3" t="n"/>
      <c r="B1952" s="3" t="n"/>
      <c r="C1952" s="3" t="n"/>
      <c r="D1952" s="4" t="n"/>
      <c r="E1952" s="3" t="n"/>
      <c r="F1952" s="3" t="n"/>
      <c r="G1952" s="3" t="n"/>
      <c r="H1952" s="3" t="n"/>
      <c r="I1952" s="3" t="n"/>
      <c r="J1952" s="3" t="n"/>
      <c r="K1952" s="3" t="n"/>
      <c r="L1952" s="3" t="n"/>
      <c r="M1952" s="3" t="n"/>
      <c r="N1952" s="3" t="n"/>
      <c r="O1952" s="3" t="n"/>
      <c r="P1952" s="3" t="n"/>
      <c r="Q1952" s="3" t="n"/>
      <c r="R1952" s="5">
        <f>IF(Q1952&lt;&gt;"是","排除",IF(OR(L1952="",M1952=""),"",IF(OR(L1952="未知",M1952="未知"),"未知",IF(AND(L1952="真",M1952="真"),"TP",IF(AND(L1952="真",M1952="假"),"FP",IF(AND(L1952="假",M1952="真"),"FN","TN"))))))</f>
        <v/>
      </c>
      <c r="S1952" s="3" t="n"/>
      <c r="T1952" s="3" t="n"/>
      <c r="U1952" s="3" t="n"/>
      <c r="V1952" s="3" t="n"/>
    </row>
    <row r="1953">
      <c r="A1953" s="3" t="n"/>
      <c r="B1953" s="3" t="n"/>
      <c r="C1953" s="3" t="n"/>
      <c r="D1953" s="4" t="n"/>
      <c r="E1953" s="3" t="n"/>
      <c r="F1953" s="3" t="n"/>
      <c r="G1953" s="3" t="n"/>
      <c r="H1953" s="3" t="n"/>
      <c r="I1953" s="3" t="n"/>
      <c r="J1953" s="3" t="n"/>
      <c r="K1953" s="3" t="n"/>
      <c r="L1953" s="3" t="n"/>
      <c r="M1953" s="3" t="n"/>
      <c r="N1953" s="3" t="n"/>
      <c r="O1953" s="3" t="n"/>
      <c r="P1953" s="3" t="n"/>
      <c r="Q1953" s="3" t="n"/>
      <c r="R1953" s="5">
        <f>IF(Q1953&lt;&gt;"是","排除",IF(OR(L1953="",M1953=""),"",IF(OR(L1953="未知",M1953="未知"),"未知",IF(AND(L1953="真",M1953="真"),"TP",IF(AND(L1953="真",M1953="假"),"FP",IF(AND(L1953="假",M1953="真"),"FN","TN"))))))</f>
        <v/>
      </c>
      <c r="S1953" s="3" t="n"/>
      <c r="T1953" s="3" t="n"/>
      <c r="U1953" s="3" t="n"/>
      <c r="V1953" s="3" t="n"/>
    </row>
    <row r="1954">
      <c r="A1954" s="3" t="n"/>
      <c r="B1954" s="3" t="n"/>
      <c r="C1954" s="3" t="n"/>
      <c r="D1954" s="4" t="n"/>
      <c r="E1954" s="3" t="n"/>
      <c r="F1954" s="3" t="n"/>
      <c r="G1954" s="3" t="n"/>
      <c r="H1954" s="3" t="n"/>
      <c r="I1954" s="3" t="n"/>
      <c r="J1954" s="3" t="n"/>
      <c r="K1954" s="3" t="n"/>
      <c r="L1954" s="3" t="n"/>
      <c r="M1954" s="3" t="n"/>
      <c r="N1954" s="3" t="n"/>
      <c r="O1954" s="3" t="n"/>
      <c r="P1954" s="3" t="n"/>
      <c r="Q1954" s="3" t="n"/>
      <c r="R1954" s="5">
        <f>IF(Q1954&lt;&gt;"是","排除",IF(OR(L1954="",M1954=""),"",IF(OR(L1954="未知",M1954="未知"),"未知",IF(AND(L1954="真",M1954="真"),"TP",IF(AND(L1954="真",M1954="假"),"FP",IF(AND(L1954="假",M1954="真"),"FN","TN"))))))</f>
        <v/>
      </c>
      <c r="S1954" s="3" t="n"/>
      <c r="T1954" s="3" t="n"/>
      <c r="U1954" s="3" t="n"/>
      <c r="V1954" s="3" t="n"/>
    </row>
    <row r="1955">
      <c r="A1955" s="3" t="n"/>
      <c r="B1955" s="3" t="n"/>
      <c r="C1955" s="3" t="n"/>
      <c r="D1955" s="4" t="n"/>
      <c r="E1955" s="3" t="n"/>
      <c r="F1955" s="3" t="n"/>
      <c r="G1955" s="3" t="n"/>
      <c r="H1955" s="3" t="n"/>
      <c r="I1955" s="3" t="n"/>
      <c r="J1955" s="3" t="n"/>
      <c r="K1955" s="3" t="n"/>
      <c r="L1955" s="3" t="n"/>
      <c r="M1955" s="3" t="n"/>
      <c r="N1955" s="3" t="n"/>
      <c r="O1955" s="3" t="n"/>
      <c r="P1955" s="3" t="n"/>
      <c r="Q1955" s="3" t="n"/>
      <c r="R1955" s="5">
        <f>IF(Q1955&lt;&gt;"是","排除",IF(OR(L1955="",M1955=""),"",IF(OR(L1955="未知",M1955="未知"),"未知",IF(AND(L1955="真",M1955="真"),"TP",IF(AND(L1955="真",M1955="假"),"FP",IF(AND(L1955="假",M1955="真"),"FN","TN"))))))</f>
        <v/>
      </c>
      <c r="S1955" s="3" t="n"/>
      <c r="T1955" s="3" t="n"/>
      <c r="U1955" s="3" t="n"/>
      <c r="V1955" s="3" t="n"/>
    </row>
    <row r="1956">
      <c r="A1956" s="3" t="n"/>
      <c r="B1956" s="3" t="n"/>
      <c r="C1956" s="3" t="n"/>
      <c r="D1956" s="4" t="n"/>
      <c r="E1956" s="3" t="n"/>
      <c r="F1956" s="3" t="n"/>
      <c r="G1956" s="3" t="n"/>
      <c r="H1956" s="3" t="n"/>
      <c r="I1956" s="3" t="n"/>
      <c r="J1956" s="3" t="n"/>
      <c r="K1956" s="3" t="n"/>
      <c r="L1956" s="3" t="n"/>
      <c r="M1956" s="3" t="n"/>
      <c r="N1956" s="3" t="n"/>
      <c r="O1956" s="3" t="n"/>
      <c r="P1956" s="3" t="n"/>
      <c r="Q1956" s="3" t="n"/>
      <c r="R1956" s="5">
        <f>IF(Q1956&lt;&gt;"是","排除",IF(OR(L1956="",M1956=""),"",IF(OR(L1956="未知",M1956="未知"),"未知",IF(AND(L1956="真",M1956="真"),"TP",IF(AND(L1956="真",M1956="假"),"FP",IF(AND(L1956="假",M1956="真"),"FN","TN"))))))</f>
        <v/>
      </c>
      <c r="S1956" s="3" t="n"/>
      <c r="T1956" s="3" t="n"/>
      <c r="U1956" s="3" t="n"/>
      <c r="V1956" s="3" t="n"/>
    </row>
    <row r="1957">
      <c r="A1957" s="3" t="n"/>
      <c r="B1957" s="3" t="n"/>
      <c r="C1957" s="3" t="n"/>
      <c r="D1957" s="4" t="n"/>
      <c r="E1957" s="3" t="n"/>
      <c r="F1957" s="3" t="n"/>
      <c r="G1957" s="3" t="n"/>
      <c r="H1957" s="3" t="n"/>
      <c r="I1957" s="3" t="n"/>
      <c r="J1957" s="3" t="n"/>
      <c r="K1957" s="3" t="n"/>
      <c r="L1957" s="3" t="n"/>
      <c r="M1957" s="3" t="n"/>
      <c r="N1957" s="3" t="n"/>
      <c r="O1957" s="3" t="n"/>
      <c r="P1957" s="3" t="n"/>
      <c r="Q1957" s="3" t="n"/>
      <c r="R1957" s="5">
        <f>IF(Q1957&lt;&gt;"是","排除",IF(OR(L1957="",M1957=""),"",IF(OR(L1957="未知",M1957="未知"),"未知",IF(AND(L1957="真",M1957="真"),"TP",IF(AND(L1957="真",M1957="假"),"FP",IF(AND(L1957="假",M1957="真"),"FN","TN"))))))</f>
        <v/>
      </c>
      <c r="S1957" s="3" t="n"/>
      <c r="T1957" s="3" t="n"/>
      <c r="U1957" s="3" t="n"/>
      <c r="V1957" s="3" t="n"/>
    </row>
    <row r="1958">
      <c r="A1958" s="3" t="n"/>
      <c r="B1958" s="3" t="n"/>
      <c r="C1958" s="3" t="n"/>
      <c r="D1958" s="4" t="n"/>
      <c r="E1958" s="3" t="n"/>
      <c r="F1958" s="3" t="n"/>
      <c r="G1958" s="3" t="n"/>
      <c r="H1958" s="3" t="n"/>
      <c r="I1958" s="3" t="n"/>
      <c r="J1958" s="3" t="n"/>
      <c r="K1958" s="3" t="n"/>
      <c r="L1958" s="3" t="n"/>
      <c r="M1958" s="3" t="n"/>
      <c r="N1958" s="3" t="n"/>
      <c r="O1958" s="3" t="n"/>
      <c r="P1958" s="3" t="n"/>
      <c r="Q1958" s="3" t="n"/>
      <c r="R1958" s="5">
        <f>IF(Q1958&lt;&gt;"是","排除",IF(OR(L1958="",M1958=""),"",IF(OR(L1958="未知",M1958="未知"),"未知",IF(AND(L1958="真",M1958="真"),"TP",IF(AND(L1958="真",M1958="假"),"FP",IF(AND(L1958="假",M1958="真"),"FN","TN"))))))</f>
        <v/>
      </c>
      <c r="S1958" s="3" t="n"/>
      <c r="T1958" s="3" t="n"/>
      <c r="U1958" s="3" t="n"/>
      <c r="V1958" s="3" t="n"/>
    </row>
    <row r="1959">
      <c r="A1959" s="3" t="n"/>
      <c r="B1959" s="3" t="n"/>
      <c r="C1959" s="3" t="n"/>
      <c r="D1959" s="4" t="n"/>
      <c r="E1959" s="3" t="n"/>
      <c r="F1959" s="3" t="n"/>
      <c r="G1959" s="3" t="n"/>
      <c r="H1959" s="3" t="n"/>
      <c r="I1959" s="3" t="n"/>
      <c r="J1959" s="3" t="n"/>
      <c r="K1959" s="3" t="n"/>
      <c r="L1959" s="3" t="n"/>
      <c r="M1959" s="3" t="n"/>
      <c r="N1959" s="3" t="n"/>
      <c r="O1959" s="3" t="n"/>
      <c r="P1959" s="3" t="n"/>
      <c r="Q1959" s="3" t="n"/>
      <c r="R1959" s="5">
        <f>IF(Q1959&lt;&gt;"是","排除",IF(OR(L1959="",M1959=""),"",IF(OR(L1959="未知",M1959="未知"),"未知",IF(AND(L1959="真",M1959="真"),"TP",IF(AND(L1959="真",M1959="假"),"FP",IF(AND(L1959="假",M1959="真"),"FN","TN"))))))</f>
        <v/>
      </c>
      <c r="S1959" s="3" t="n"/>
      <c r="T1959" s="3" t="n"/>
      <c r="U1959" s="3" t="n"/>
      <c r="V1959" s="3" t="n"/>
    </row>
    <row r="1960">
      <c r="A1960" s="3" t="n"/>
      <c r="B1960" s="3" t="n"/>
      <c r="C1960" s="3" t="n"/>
      <c r="D1960" s="4" t="n"/>
      <c r="E1960" s="3" t="n"/>
      <c r="F1960" s="3" t="n"/>
      <c r="G1960" s="3" t="n"/>
      <c r="H1960" s="3" t="n"/>
      <c r="I1960" s="3" t="n"/>
      <c r="J1960" s="3" t="n"/>
      <c r="K1960" s="3" t="n"/>
      <c r="L1960" s="3" t="n"/>
      <c r="M1960" s="3" t="n"/>
      <c r="N1960" s="3" t="n"/>
      <c r="O1960" s="3" t="n"/>
      <c r="P1960" s="3" t="n"/>
      <c r="Q1960" s="3" t="n"/>
      <c r="R1960" s="5">
        <f>IF(Q1960&lt;&gt;"是","排除",IF(OR(L1960="",M1960=""),"",IF(OR(L1960="未知",M1960="未知"),"未知",IF(AND(L1960="真",M1960="真"),"TP",IF(AND(L1960="真",M1960="假"),"FP",IF(AND(L1960="假",M1960="真"),"FN","TN"))))))</f>
        <v/>
      </c>
      <c r="S1960" s="3" t="n"/>
      <c r="T1960" s="3" t="n"/>
      <c r="U1960" s="3" t="n"/>
      <c r="V1960" s="3" t="n"/>
    </row>
    <row r="1961">
      <c r="A1961" s="3" t="n"/>
      <c r="B1961" s="3" t="n"/>
      <c r="C1961" s="3" t="n"/>
      <c r="D1961" s="4" t="n"/>
      <c r="E1961" s="3" t="n"/>
      <c r="F1961" s="3" t="n"/>
      <c r="G1961" s="3" t="n"/>
      <c r="H1961" s="3" t="n"/>
      <c r="I1961" s="3" t="n"/>
      <c r="J1961" s="3" t="n"/>
      <c r="K1961" s="3" t="n"/>
      <c r="L1961" s="3" t="n"/>
      <c r="M1961" s="3" t="n"/>
      <c r="N1961" s="3" t="n"/>
      <c r="O1961" s="3" t="n"/>
      <c r="P1961" s="3" t="n"/>
      <c r="Q1961" s="3" t="n"/>
      <c r="R1961" s="5">
        <f>IF(Q1961&lt;&gt;"是","排除",IF(OR(L1961="",M1961=""),"",IF(OR(L1961="未知",M1961="未知"),"未知",IF(AND(L1961="真",M1961="真"),"TP",IF(AND(L1961="真",M1961="假"),"FP",IF(AND(L1961="假",M1961="真"),"FN","TN"))))))</f>
        <v/>
      </c>
      <c r="S1961" s="3" t="n"/>
      <c r="T1961" s="3" t="n"/>
      <c r="U1961" s="3" t="n"/>
      <c r="V1961" s="3" t="n"/>
    </row>
    <row r="1962">
      <c r="A1962" s="3" t="n"/>
      <c r="B1962" s="3" t="n"/>
      <c r="C1962" s="3" t="n"/>
      <c r="D1962" s="4" t="n"/>
      <c r="E1962" s="3" t="n"/>
      <c r="F1962" s="3" t="n"/>
      <c r="G1962" s="3" t="n"/>
      <c r="H1962" s="3" t="n"/>
      <c r="I1962" s="3" t="n"/>
      <c r="J1962" s="3" t="n"/>
      <c r="K1962" s="3" t="n"/>
      <c r="L1962" s="3" t="n"/>
      <c r="M1962" s="3" t="n"/>
      <c r="N1962" s="3" t="n"/>
      <c r="O1962" s="3" t="n"/>
      <c r="P1962" s="3" t="n"/>
      <c r="Q1962" s="3" t="n"/>
      <c r="R1962" s="5">
        <f>IF(Q1962&lt;&gt;"是","排除",IF(OR(L1962="",M1962=""),"",IF(OR(L1962="未知",M1962="未知"),"未知",IF(AND(L1962="真",M1962="真"),"TP",IF(AND(L1962="真",M1962="假"),"FP",IF(AND(L1962="假",M1962="真"),"FN","TN"))))))</f>
        <v/>
      </c>
      <c r="S1962" s="3" t="n"/>
      <c r="T1962" s="3" t="n"/>
      <c r="U1962" s="3" t="n"/>
      <c r="V1962" s="3" t="n"/>
    </row>
    <row r="1963">
      <c r="A1963" s="3" t="n"/>
      <c r="B1963" s="3" t="n"/>
      <c r="C1963" s="3" t="n"/>
      <c r="D1963" s="4" t="n"/>
      <c r="E1963" s="3" t="n"/>
      <c r="F1963" s="3" t="n"/>
      <c r="G1963" s="3" t="n"/>
      <c r="H1963" s="3" t="n"/>
      <c r="I1963" s="3" t="n"/>
      <c r="J1963" s="3" t="n"/>
      <c r="K1963" s="3" t="n"/>
      <c r="L1963" s="3" t="n"/>
      <c r="M1963" s="3" t="n"/>
      <c r="N1963" s="3" t="n"/>
      <c r="O1963" s="3" t="n"/>
      <c r="P1963" s="3" t="n"/>
      <c r="Q1963" s="3" t="n"/>
      <c r="R1963" s="5">
        <f>IF(Q1963&lt;&gt;"是","排除",IF(OR(L1963="",M1963=""),"",IF(OR(L1963="未知",M1963="未知"),"未知",IF(AND(L1963="真",M1963="真"),"TP",IF(AND(L1963="真",M1963="假"),"FP",IF(AND(L1963="假",M1963="真"),"FN","TN"))))))</f>
        <v/>
      </c>
      <c r="S1963" s="3" t="n"/>
      <c r="T1963" s="3" t="n"/>
      <c r="U1963" s="3" t="n"/>
      <c r="V1963" s="3" t="n"/>
    </row>
    <row r="1964">
      <c r="A1964" s="3" t="n"/>
      <c r="B1964" s="3" t="n"/>
      <c r="C1964" s="3" t="n"/>
      <c r="D1964" s="4" t="n"/>
      <c r="E1964" s="3" t="n"/>
      <c r="F1964" s="3" t="n"/>
      <c r="G1964" s="3" t="n"/>
      <c r="H1964" s="3" t="n"/>
      <c r="I1964" s="3" t="n"/>
      <c r="J1964" s="3" t="n"/>
      <c r="K1964" s="3" t="n"/>
      <c r="L1964" s="3" t="n"/>
      <c r="M1964" s="3" t="n"/>
      <c r="N1964" s="3" t="n"/>
      <c r="O1964" s="3" t="n"/>
      <c r="P1964" s="3" t="n"/>
      <c r="Q1964" s="3" t="n"/>
      <c r="R1964" s="5">
        <f>IF(Q1964&lt;&gt;"是","排除",IF(OR(L1964="",M1964=""),"",IF(OR(L1964="未知",M1964="未知"),"未知",IF(AND(L1964="真",M1964="真"),"TP",IF(AND(L1964="真",M1964="假"),"FP",IF(AND(L1964="假",M1964="真"),"FN","TN"))))))</f>
        <v/>
      </c>
      <c r="S1964" s="3" t="n"/>
      <c r="T1964" s="3" t="n"/>
      <c r="U1964" s="3" t="n"/>
      <c r="V1964" s="3" t="n"/>
    </row>
    <row r="1965">
      <c r="A1965" s="3" t="n"/>
      <c r="B1965" s="3" t="n"/>
      <c r="C1965" s="3" t="n"/>
      <c r="D1965" s="4" t="n"/>
      <c r="E1965" s="3" t="n"/>
      <c r="F1965" s="3" t="n"/>
      <c r="G1965" s="3" t="n"/>
      <c r="H1965" s="3" t="n"/>
      <c r="I1965" s="3" t="n"/>
      <c r="J1965" s="3" t="n"/>
      <c r="K1965" s="3" t="n"/>
      <c r="L1965" s="3" t="n"/>
      <c r="M1965" s="3" t="n"/>
      <c r="N1965" s="3" t="n"/>
      <c r="O1965" s="3" t="n"/>
      <c r="P1965" s="3" t="n"/>
      <c r="Q1965" s="3" t="n"/>
      <c r="R1965" s="5">
        <f>IF(Q1965&lt;&gt;"是","排除",IF(OR(L1965="",M1965=""),"",IF(OR(L1965="未知",M1965="未知"),"未知",IF(AND(L1965="真",M1965="真"),"TP",IF(AND(L1965="真",M1965="假"),"FP",IF(AND(L1965="假",M1965="真"),"FN","TN"))))))</f>
        <v/>
      </c>
      <c r="S1965" s="3" t="n"/>
      <c r="T1965" s="3" t="n"/>
      <c r="U1965" s="3" t="n"/>
      <c r="V1965" s="3" t="n"/>
    </row>
    <row r="1966">
      <c r="A1966" s="3" t="n"/>
      <c r="B1966" s="3" t="n"/>
      <c r="C1966" s="3" t="n"/>
      <c r="D1966" s="4" t="n"/>
      <c r="E1966" s="3" t="n"/>
      <c r="F1966" s="3" t="n"/>
      <c r="G1966" s="3" t="n"/>
      <c r="H1966" s="3" t="n"/>
      <c r="I1966" s="3" t="n"/>
      <c r="J1966" s="3" t="n"/>
      <c r="K1966" s="3" t="n"/>
      <c r="L1966" s="3" t="n"/>
      <c r="M1966" s="3" t="n"/>
      <c r="N1966" s="3" t="n"/>
      <c r="O1966" s="3" t="n"/>
      <c r="P1966" s="3" t="n"/>
      <c r="Q1966" s="3" t="n"/>
      <c r="R1966" s="5">
        <f>IF(Q1966&lt;&gt;"是","排除",IF(OR(L1966="",M1966=""),"",IF(OR(L1966="未知",M1966="未知"),"未知",IF(AND(L1966="真",M1966="真"),"TP",IF(AND(L1966="真",M1966="假"),"FP",IF(AND(L1966="假",M1966="真"),"FN","TN"))))))</f>
        <v/>
      </c>
      <c r="S1966" s="3" t="n"/>
      <c r="T1966" s="3" t="n"/>
      <c r="U1966" s="3" t="n"/>
      <c r="V1966" s="3" t="n"/>
    </row>
    <row r="1967">
      <c r="A1967" s="3" t="n"/>
      <c r="B1967" s="3" t="n"/>
      <c r="C1967" s="3" t="n"/>
      <c r="D1967" s="4" t="n"/>
      <c r="E1967" s="3" t="n"/>
      <c r="F1967" s="3" t="n"/>
      <c r="G1967" s="3" t="n"/>
      <c r="H1967" s="3" t="n"/>
      <c r="I1967" s="3" t="n"/>
      <c r="J1967" s="3" t="n"/>
      <c r="K1967" s="3" t="n"/>
      <c r="L1967" s="3" t="n"/>
      <c r="M1967" s="3" t="n"/>
      <c r="N1967" s="3" t="n"/>
      <c r="O1967" s="3" t="n"/>
      <c r="P1967" s="3" t="n"/>
      <c r="Q1967" s="3" t="n"/>
      <c r="R1967" s="5">
        <f>IF(Q1967&lt;&gt;"是","排除",IF(OR(L1967="",M1967=""),"",IF(OR(L1967="未知",M1967="未知"),"未知",IF(AND(L1967="真",M1967="真"),"TP",IF(AND(L1967="真",M1967="假"),"FP",IF(AND(L1967="假",M1967="真"),"FN","TN"))))))</f>
        <v/>
      </c>
      <c r="S1967" s="3" t="n"/>
      <c r="T1967" s="3" t="n"/>
      <c r="U1967" s="3" t="n"/>
      <c r="V1967" s="3" t="n"/>
    </row>
    <row r="1968">
      <c r="A1968" s="3" t="n"/>
      <c r="B1968" s="3" t="n"/>
      <c r="C1968" s="3" t="n"/>
      <c r="D1968" s="4" t="n"/>
      <c r="E1968" s="3" t="n"/>
      <c r="F1968" s="3" t="n"/>
      <c r="G1968" s="3" t="n"/>
      <c r="H1968" s="3" t="n"/>
      <c r="I1968" s="3" t="n"/>
      <c r="J1968" s="3" t="n"/>
      <c r="K1968" s="3" t="n"/>
      <c r="L1968" s="3" t="n"/>
      <c r="M1968" s="3" t="n"/>
      <c r="N1968" s="3" t="n"/>
      <c r="O1968" s="3" t="n"/>
      <c r="P1968" s="3" t="n"/>
      <c r="Q1968" s="3" t="n"/>
      <c r="R1968" s="5">
        <f>IF(Q1968&lt;&gt;"是","排除",IF(OR(L1968="",M1968=""),"",IF(OR(L1968="未知",M1968="未知"),"未知",IF(AND(L1968="真",M1968="真"),"TP",IF(AND(L1968="真",M1968="假"),"FP",IF(AND(L1968="假",M1968="真"),"FN","TN"))))))</f>
        <v/>
      </c>
      <c r="S1968" s="3" t="n"/>
      <c r="T1968" s="3" t="n"/>
      <c r="U1968" s="3" t="n"/>
      <c r="V1968" s="3" t="n"/>
    </row>
    <row r="1969">
      <c r="A1969" s="3" t="n"/>
      <c r="B1969" s="3" t="n"/>
      <c r="C1969" s="3" t="n"/>
      <c r="D1969" s="4" t="n"/>
      <c r="E1969" s="3" t="n"/>
      <c r="F1969" s="3" t="n"/>
      <c r="G1969" s="3" t="n"/>
      <c r="H1969" s="3" t="n"/>
      <c r="I1969" s="3" t="n"/>
      <c r="J1969" s="3" t="n"/>
      <c r="K1969" s="3" t="n"/>
      <c r="L1969" s="3" t="n"/>
      <c r="M1969" s="3" t="n"/>
      <c r="N1969" s="3" t="n"/>
      <c r="O1969" s="3" t="n"/>
      <c r="P1969" s="3" t="n"/>
      <c r="Q1969" s="3" t="n"/>
      <c r="R1969" s="5">
        <f>IF(Q1969&lt;&gt;"是","排除",IF(OR(L1969="",M1969=""),"",IF(OR(L1969="未知",M1969="未知"),"未知",IF(AND(L1969="真",M1969="真"),"TP",IF(AND(L1969="真",M1969="假"),"FP",IF(AND(L1969="假",M1969="真"),"FN","TN"))))))</f>
        <v/>
      </c>
      <c r="S1969" s="3" t="n"/>
      <c r="T1969" s="3" t="n"/>
      <c r="U1969" s="3" t="n"/>
      <c r="V1969" s="3" t="n"/>
    </row>
    <row r="1970">
      <c r="A1970" s="3" t="n"/>
      <c r="B1970" s="3" t="n"/>
      <c r="C1970" s="3" t="n"/>
      <c r="D1970" s="4" t="n"/>
      <c r="E1970" s="3" t="n"/>
      <c r="F1970" s="3" t="n"/>
      <c r="G1970" s="3" t="n"/>
      <c r="H1970" s="3" t="n"/>
      <c r="I1970" s="3" t="n"/>
      <c r="J1970" s="3" t="n"/>
      <c r="K1970" s="3" t="n"/>
      <c r="L1970" s="3" t="n"/>
      <c r="M1970" s="3" t="n"/>
      <c r="N1970" s="3" t="n"/>
      <c r="O1970" s="3" t="n"/>
      <c r="P1970" s="3" t="n"/>
      <c r="Q1970" s="3" t="n"/>
      <c r="R1970" s="5">
        <f>IF(Q1970&lt;&gt;"是","排除",IF(OR(L1970="",M1970=""),"",IF(OR(L1970="未知",M1970="未知"),"未知",IF(AND(L1970="真",M1970="真"),"TP",IF(AND(L1970="真",M1970="假"),"FP",IF(AND(L1970="假",M1970="真"),"FN","TN"))))))</f>
        <v/>
      </c>
      <c r="S1970" s="3" t="n"/>
      <c r="T1970" s="3" t="n"/>
      <c r="U1970" s="3" t="n"/>
      <c r="V1970" s="3" t="n"/>
    </row>
    <row r="1971">
      <c r="A1971" s="3" t="n"/>
      <c r="B1971" s="3" t="n"/>
      <c r="C1971" s="3" t="n"/>
      <c r="D1971" s="4" t="n"/>
      <c r="E1971" s="3" t="n"/>
      <c r="F1971" s="3" t="n"/>
      <c r="G1971" s="3" t="n"/>
      <c r="H1971" s="3" t="n"/>
      <c r="I1971" s="3" t="n"/>
      <c r="J1971" s="3" t="n"/>
      <c r="K1971" s="3" t="n"/>
      <c r="L1971" s="3" t="n"/>
      <c r="M1971" s="3" t="n"/>
      <c r="N1971" s="3" t="n"/>
      <c r="O1971" s="3" t="n"/>
      <c r="P1971" s="3" t="n"/>
      <c r="Q1971" s="3" t="n"/>
      <c r="R1971" s="5">
        <f>IF(Q1971&lt;&gt;"是","排除",IF(OR(L1971="",M1971=""),"",IF(OR(L1971="未知",M1971="未知"),"未知",IF(AND(L1971="真",M1971="真"),"TP",IF(AND(L1971="真",M1971="假"),"FP",IF(AND(L1971="假",M1971="真"),"FN","TN"))))))</f>
        <v/>
      </c>
      <c r="S1971" s="3" t="n"/>
      <c r="T1971" s="3" t="n"/>
      <c r="U1971" s="3" t="n"/>
      <c r="V1971" s="3" t="n"/>
    </row>
    <row r="1972">
      <c r="A1972" s="3" t="n"/>
      <c r="B1972" s="3" t="n"/>
      <c r="C1972" s="3" t="n"/>
      <c r="D1972" s="4" t="n"/>
      <c r="E1972" s="3" t="n"/>
      <c r="F1972" s="3" t="n"/>
      <c r="G1972" s="3" t="n"/>
      <c r="H1972" s="3" t="n"/>
      <c r="I1972" s="3" t="n"/>
      <c r="J1972" s="3" t="n"/>
      <c r="K1972" s="3" t="n"/>
      <c r="L1972" s="3" t="n"/>
      <c r="M1972" s="3" t="n"/>
      <c r="N1972" s="3" t="n"/>
      <c r="O1972" s="3" t="n"/>
      <c r="P1972" s="3" t="n"/>
      <c r="Q1972" s="3" t="n"/>
      <c r="R1972" s="5">
        <f>IF(Q1972&lt;&gt;"是","排除",IF(OR(L1972="",M1972=""),"",IF(OR(L1972="未知",M1972="未知"),"未知",IF(AND(L1972="真",M1972="真"),"TP",IF(AND(L1972="真",M1972="假"),"FP",IF(AND(L1972="假",M1972="真"),"FN","TN"))))))</f>
        <v/>
      </c>
      <c r="S1972" s="3" t="n"/>
      <c r="T1972" s="3" t="n"/>
      <c r="U1972" s="3" t="n"/>
      <c r="V1972" s="3" t="n"/>
    </row>
    <row r="1973">
      <c r="A1973" s="3" t="n"/>
      <c r="B1973" s="3" t="n"/>
      <c r="C1973" s="3" t="n"/>
      <c r="D1973" s="4" t="n"/>
      <c r="E1973" s="3" t="n"/>
      <c r="F1973" s="3" t="n"/>
      <c r="G1973" s="3" t="n"/>
      <c r="H1973" s="3" t="n"/>
      <c r="I1973" s="3" t="n"/>
      <c r="J1973" s="3" t="n"/>
      <c r="K1973" s="3" t="n"/>
      <c r="L1973" s="3" t="n"/>
      <c r="M1973" s="3" t="n"/>
      <c r="N1973" s="3" t="n"/>
      <c r="O1973" s="3" t="n"/>
      <c r="P1973" s="3" t="n"/>
      <c r="Q1973" s="3" t="n"/>
      <c r="R1973" s="5">
        <f>IF(Q1973&lt;&gt;"是","排除",IF(OR(L1973="",M1973=""),"",IF(OR(L1973="未知",M1973="未知"),"未知",IF(AND(L1973="真",M1973="真"),"TP",IF(AND(L1973="真",M1973="假"),"FP",IF(AND(L1973="假",M1973="真"),"FN","TN"))))))</f>
        <v/>
      </c>
      <c r="S1973" s="3" t="n"/>
      <c r="T1973" s="3" t="n"/>
      <c r="U1973" s="3" t="n"/>
      <c r="V1973" s="3" t="n"/>
    </row>
    <row r="1974">
      <c r="A1974" s="3" t="n"/>
      <c r="B1974" s="3" t="n"/>
      <c r="C1974" s="3" t="n"/>
      <c r="D1974" s="4" t="n"/>
      <c r="E1974" s="3" t="n"/>
      <c r="F1974" s="3" t="n"/>
      <c r="G1974" s="3" t="n"/>
      <c r="H1974" s="3" t="n"/>
      <c r="I1974" s="3" t="n"/>
      <c r="J1974" s="3" t="n"/>
      <c r="K1974" s="3" t="n"/>
      <c r="L1974" s="3" t="n"/>
      <c r="M1974" s="3" t="n"/>
      <c r="N1974" s="3" t="n"/>
      <c r="O1974" s="3" t="n"/>
      <c r="P1974" s="3" t="n"/>
      <c r="Q1974" s="3" t="n"/>
      <c r="R1974" s="5">
        <f>IF(Q1974&lt;&gt;"是","排除",IF(OR(L1974="",M1974=""),"",IF(OR(L1974="未知",M1974="未知"),"未知",IF(AND(L1974="真",M1974="真"),"TP",IF(AND(L1974="真",M1974="假"),"FP",IF(AND(L1974="假",M1974="真"),"FN","TN"))))))</f>
        <v/>
      </c>
      <c r="S1974" s="3" t="n"/>
      <c r="T1974" s="3" t="n"/>
      <c r="U1974" s="3" t="n"/>
      <c r="V1974" s="3" t="n"/>
    </row>
    <row r="1975">
      <c r="A1975" s="3" t="n"/>
      <c r="B1975" s="3" t="n"/>
      <c r="C1975" s="3" t="n"/>
      <c r="D1975" s="4" t="n"/>
      <c r="E1975" s="3" t="n"/>
      <c r="F1975" s="3" t="n"/>
      <c r="G1975" s="3" t="n"/>
      <c r="H1975" s="3" t="n"/>
      <c r="I1975" s="3" t="n"/>
      <c r="J1975" s="3" t="n"/>
      <c r="K1975" s="3" t="n"/>
      <c r="L1975" s="3" t="n"/>
      <c r="M1975" s="3" t="n"/>
      <c r="N1975" s="3" t="n"/>
      <c r="O1975" s="3" t="n"/>
      <c r="P1975" s="3" t="n"/>
      <c r="Q1975" s="3" t="n"/>
      <c r="R1975" s="5">
        <f>IF(Q1975&lt;&gt;"是","排除",IF(OR(L1975="",M1975=""),"",IF(OR(L1975="未知",M1975="未知"),"未知",IF(AND(L1975="真",M1975="真"),"TP",IF(AND(L1975="真",M1975="假"),"FP",IF(AND(L1975="假",M1975="真"),"FN","TN"))))))</f>
        <v/>
      </c>
      <c r="S1975" s="3" t="n"/>
      <c r="T1975" s="3" t="n"/>
      <c r="U1975" s="3" t="n"/>
      <c r="V1975" s="3" t="n"/>
    </row>
    <row r="1976">
      <c r="A1976" s="3" t="n"/>
      <c r="B1976" s="3" t="n"/>
      <c r="C1976" s="3" t="n"/>
      <c r="D1976" s="4" t="n"/>
      <c r="E1976" s="3" t="n"/>
      <c r="F1976" s="3" t="n"/>
      <c r="G1976" s="3" t="n"/>
      <c r="H1976" s="3" t="n"/>
      <c r="I1976" s="3" t="n"/>
      <c r="J1976" s="3" t="n"/>
      <c r="K1976" s="3" t="n"/>
      <c r="L1976" s="3" t="n"/>
      <c r="M1976" s="3" t="n"/>
      <c r="N1976" s="3" t="n"/>
      <c r="O1976" s="3" t="n"/>
      <c r="P1976" s="3" t="n"/>
      <c r="Q1976" s="3" t="n"/>
      <c r="R1976" s="5">
        <f>IF(Q1976&lt;&gt;"是","排除",IF(OR(L1976="",M1976=""),"",IF(OR(L1976="未知",M1976="未知"),"未知",IF(AND(L1976="真",M1976="真"),"TP",IF(AND(L1976="真",M1976="假"),"FP",IF(AND(L1976="假",M1976="真"),"FN","TN"))))))</f>
        <v/>
      </c>
      <c r="S1976" s="3" t="n"/>
      <c r="T1976" s="3" t="n"/>
      <c r="U1976" s="3" t="n"/>
      <c r="V1976" s="3" t="n"/>
    </row>
    <row r="1977">
      <c r="A1977" s="3" t="n"/>
      <c r="B1977" s="3" t="n"/>
      <c r="C1977" s="3" t="n"/>
      <c r="D1977" s="4" t="n"/>
      <c r="E1977" s="3" t="n"/>
      <c r="F1977" s="3" t="n"/>
      <c r="G1977" s="3" t="n"/>
      <c r="H1977" s="3" t="n"/>
      <c r="I1977" s="3" t="n"/>
      <c r="J1977" s="3" t="n"/>
      <c r="K1977" s="3" t="n"/>
      <c r="L1977" s="3" t="n"/>
      <c r="M1977" s="3" t="n"/>
      <c r="N1977" s="3" t="n"/>
      <c r="O1977" s="3" t="n"/>
      <c r="P1977" s="3" t="n"/>
      <c r="Q1977" s="3" t="n"/>
      <c r="R1977" s="5">
        <f>IF(Q1977&lt;&gt;"是","排除",IF(OR(L1977="",M1977=""),"",IF(OR(L1977="未知",M1977="未知"),"未知",IF(AND(L1977="真",M1977="真"),"TP",IF(AND(L1977="真",M1977="假"),"FP",IF(AND(L1977="假",M1977="真"),"FN","TN"))))))</f>
        <v/>
      </c>
      <c r="S1977" s="3" t="n"/>
      <c r="T1977" s="3" t="n"/>
      <c r="U1977" s="3" t="n"/>
      <c r="V1977" s="3" t="n"/>
    </row>
    <row r="1978">
      <c r="A1978" s="3" t="n"/>
      <c r="B1978" s="3" t="n"/>
      <c r="C1978" s="3" t="n"/>
      <c r="D1978" s="4" t="n"/>
      <c r="E1978" s="3" t="n"/>
      <c r="F1978" s="3" t="n"/>
      <c r="G1978" s="3" t="n"/>
      <c r="H1978" s="3" t="n"/>
      <c r="I1978" s="3" t="n"/>
      <c r="J1978" s="3" t="n"/>
      <c r="K1978" s="3" t="n"/>
      <c r="L1978" s="3" t="n"/>
      <c r="M1978" s="3" t="n"/>
      <c r="N1978" s="3" t="n"/>
      <c r="O1978" s="3" t="n"/>
      <c r="P1978" s="3" t="n"/>
      <c r="Q1978" s="3" t="n"/>
      <c r="R1978" s="5">
        <f>IF(Q1978&lt;&gt;"是","排除",IF(OR(L1978="",M1978=""),"",IF(OR(L1978="未知",M1978="未知"),"未知",IF(AND(L1978="真",M1978="真"),"TP",IF(AND(L1978="真",M1978="假"),"FP",IF(AND(L1978="假",M1978="真"),"FN","TN"))))))</f>
        <v/>
      </c>
      <c r="S1978" s="3" t="n"/>
      <c r="T1978" s="3" t="n"/>
      <c r="U1978" s="3" t="n"/>
      <c r="V1978" s="3" t="n"/>
    </row>
    <row r="1979">
      <c r="A1979" s="3" t="n"/>
      <c r="B1979" s="3" t="n"/>
      <c r="C1979" s="3" t="n"/>
      <c r="D1979" s="4" t="n"/>
      <c r="E1979" s="3" t="n"/>
      <c r="F1979" s="3" t="n"/>
      <c r="G1979" s="3" t="n"/>
      <c r="H1979" s="3" t="n"/>
      <c r="I1979" s="3" t="n"/>
      <c r="J1979" s="3" t="n"/>
      <c r="K1979" s="3" t="n"/>
      <c r="L1979" s="3" t="n"/>
      <c r="M1979" s="3" t="n"/>
      <c r="N1979" s="3" t="n"/>
      <c r="O1979" s="3" t="n"/>
      <c r="P1979" s="3" t="n"/>
      <c r="Q1979" s="3" t="n"/>
      <c r="R1979" s="5">
        <f>IF(Q1979&lt;&gt;"是","排除",IF(OR(L1979="",M1979=""),"",IF(OR(L1979="未知",M1979="未知"),"未知",IF(AND(L1979="真",M1979="真"),"TP",IF(AND(L1979="真",M1979="假"),"FP",IF(AND(L1979="假",M1979="真"),"FN","TN"))))))</f>
        <v/>
      </c>
      <c r="S1979" s="3" t="n"/>
      <c r="T1979" s="3" t="n"/>
      <c r="U1979" s="3" t="n"/>
      <c r="V1979" s="3" t="n"/>
    </row>
    <row r="1980">
      <c r="A1980" s="3" t="n"/>
      <c r="B1980" s="3" t="n"/>
      <c r="C1980" s="3" t="n"/>
      <c r="D1980" s="4" t="n"/>
      <c r="E1980" s="3" t="n"/>
      <c r="F1980" s="3" t="n"/>
      <c r="G1980" s="3" t="n"/>
      <c r="H1980" s="3" t="n"/>
      <c r="I1980" s="3" t="n"/>
      <c r="J1980" s="3" t="n"/>
      <c r="K1980" s="3" t="n"/>
      <c r="L1980" s="3" t="n"/>
      <c r="M1980" s="3" t="n"/>
      <c r="N1980" s="3" t="n"/>
      <c r="O1980" s="3" t="n"/>
      <c r="P1980" s="3" t="n"/>
      <c r="Q1980" s="3" t="n"/>
      <c r="R1980" s="5">
        <f>IF(Q1980&lt;&gt;"是","排除",IF(OR(L1980="",M1980=""),"",IF(OR(L1980="未知",M1980="未知"),"未知",IF(AND(L1980="真",M1980="真"),"TP",IF(AND(L1980="真",M1980="假"),"FP",IF(AND(L1980="假",M1980="真"),"FN","TN"))))))</f>
        <v/>
      </c>
      <c r="S1980" s="3" t="n"/>
      <c r="T1980" s="3" t="n"/>
      <c r="U1980" s="3" t="n"/>
      <c r="V1980" s="3" t="n"/>
    </row>
    <row r="1981">
      <c r="A1981" s="3" t="n"/>
      <c r="B1981" s="3" t="n"/>
      <c r="C1981" s="3" t="n"/>
      <c r="D1981" s="4" t="n"/>
      <c r="E1981" s="3" t="n"/>
      <c r="F1981" s="3" t="n"/>
      <c r="G1981" s="3" t="n"/>
      <c r="H1981" s="3" t="n"/>
      <c r="I1981" s="3" t="n"/>
      <c r="J1981" s="3" t="n"/>
      <c r="K1981" s="3" t="n"/>
      <c r="L1981" s="3" t="n"/>
      <c r="M1981" s="3" t="n"/>
      <c r="N1981" s="3" t="n"/>
      <c r="O1981" s="3" t="n"/>
      <c r="P1981" s="3" t="n"/>
      <c r="Q1981" s="3" t="n"/>
      <c r="R1981" s="5">
        <f>IF(Q1981&lt;&gt;"是","排除",IF(OR(L1981="",M1981=""),"",IF(OR(L1981="未知",M1981="未知"),"未知",IF(AND(L1981="真",M1981="真"),"TP",IF(AND(L1981="真",M1981="假"),"FP",IF(AND(L1981="假",M1981="真"),"FN","TN"))))))</f>
        <v/>
      </c>
      <c r="S1981" s="3" t="n"/>
      <c r="T1981" s="3" t="n"/>
      <c r="U1981" s="3" t="n"/>
      <c r="V1981" s="3" t="n"/>
    </row>
    <row r="1982">
      <c r="A1982" s="3" t="n"/>
      <c r="B1982" s="3" t="n"/>
      <c r="C1982" s="3" t="n"/>
      <c r="D1982" s="4" t="n"/>
      <c r="E1982" s="3" t="n"/>
      <c r="F1982" s="3" t="n"/>
      <c r="G1982" s="3" t="n"/>
      <c r="H1982" s="3" t="n"/>
      <c r="I1982" s="3" t="n"/>
      <c r="J1982" s="3" t="n"/>
      <c r="K1982" s="3" t="n"/>
      <c r="L1982" s="3" t="n"/>
      <c r="M1982" s="3" t="n"/>
      <c r="N1982" s="3" t="n"/>
      <c r="O1982" s="3" t="n"/>
      <c r="P1982" s="3" t="n"/>
      <c r="Q1982" s="3" t="n"/>
      <c r="R1982" s="5">
        <f>IF(Q1982&lt;&gt;"是","排除",IF(OR(L1982="",M1982=""),"",IF(OR(L1982="未知",M1982="未知"),"未知",IF(AND(L1982="真",M1982="真"),"TP",IF(AND(L1982="真",M1982="假"),"FP",IF(AND(L1982="假",M1982="真"),"FN","TN"))))))</f>
        <v/>
      </c>
      <c r="S1982" s="3" t="n"/>
      <c r="T1982" s="3" t="n"/>
      <c r="U1982" s="3" t="n"/>
      <c r="V1982" s="3" t="n"/>
    </row>
    <row r="1983">
      <c r="A1983" s="3" t="n"/>
      <c r="B1983" s="3" t="n"/>
      <c r="C1983" s="3" t="n"/>
      <c r="D1983" s="4" t="n"/>
      <c r="E1983" s="3" t="n"/>
      <c r="F1983" s="3" t="n"/>
      <c r="G1983" s="3" t="n"/>
      <c r="H1983" s="3" t="n"/>
      <c r="I1983" s="3" t="n"/>
      <c r="J1983" s="3" t="n"/>
      <c r="K1983" s="3" t="n"/>
      <c r="L1983" s="3" t="n"/>
      <c r="M1983" s="3" t="n"/>
      <c r="N1983" s="3" t="n"/>
      <c r="O1983" s="3" t="n"/>
      <c r="P1983" s="3" t="n"/>
      <c r="Q1983" s="3" t="n"/>
      <c r="R1983" s="5">
        <f>IF(Q1983&lt;&gt;"是","排除",IF(OR(L1983="",M1983=""),"",IF(OR(L1983="未知",M1983="未知"),"未知",IF(AND(L1983="真",M1983="真"),"TP",IF(AND(L1983="真",M1983="假"),"FP",IF(AND(L1983="假",M1983="真"),"FN","TN"))))))</f>
        <v/>
      </c>
      <c r="S1983" s="3" t="n"/>
      <c r="T1983" s="3" t="n"/>
      <c r="U1983" s="3" t="n"/>
      <c r="V1983" s="3" t="n"/>
    </row>
    <row r="1984">
      <c r="A1984" s="3" t="n"/>
      <c r="B1984" s="3" t="n"/>
      <c r="C1984" s="3" t="n"/>
      <c r="D1984" s="4" t="n"/>
      <c r="E1984" s="3" t="n"/>
      <c r="F1984" s="3" t="n"/>
      <c r="G1984" s="3" t="n"/>
      <c r="H1984" s="3" t="n"/>
      <c r="I1984" s="3" t="n"/>
      <c r="J1984" s="3" t="n"/>
      <c r="K1984" s="3" t="n"/>
      <c r="L1984" s="3" t="n"/>
      <c r="M1984" s="3" t="n"/>
      <c r="N1984" s="3" t="n"/>
      <c r="O1984" s="3" t="n"/>
      <c r="P1984" s="3" t="n"/>
      <c r="Q1984" s="3" t="n"/>
      <c r="R1984" s="5">
        <f>IF(Q1984&lt;&gt;"是","排除",IF(OR(L1984="",M1984=""),"",IF(OR(L1984="未知",M1984="未知"),"未知",IF(AND(L1984="真",M1984="真"),"TP",IF(AND(L1984="真",M1984="假"),"FP",IF(AND(L1984="假",M1984="真"),"FN","TN"))))))</f>
        <v/>
      </c>
      <c r="S1984" s="3" t="n"/>
      <c r="T1984" s="3" t="n"/>
      <c r="U1984" s="3" t="n"/>
      <c r="V1984" s="3" t="n"/>
    </row>
    <row r="1985">
      <c r="A1985" s="3" t="n"/>
      <c r="B1985" s="3" t="n"/>
      <c r="C1985" s="3" t="n"/>
      <c r="D1985" s="4" t="n"/>
      <c r="E1985" s="3" t="n"/>
      <c r="F1985" s="3" t="n"/>
      <c r="G1985" s="3" t="n"/>
      <c r="H1985" s="3" t="n"/>
      <c r="I1985" s="3" t="n"/>
      <c r="J1985" s="3" t="n"/>
      <c r="K1985" s="3" t="n"/>
      <c r="L1985" s="3" t="n"/>
      <c r="M1985" s="3" t="n"/>
      <c r="N1985" s="3" t="n"/>
      <c r="O1985" s="3" t="n"/>
      <c r="P1985" s="3" t="n"/>
      <c r="Q1985" s="3" t="n"/>
      <c r="R1985" s="5">
        <f>IF(Q1985&lt;&gt;"是","排除",IF(OR(L1985="",M1985=""),"",IF(OR(L1985="未知",M1985="未知"),"未知",IF(AND(L1985="真",M1985="真"),"TP",IF(AND(L1985="真",M1985="假"),"FP",IF(AND(L1985="假",M1985="真"),"FN","TN"))))))</f>
        <v/>
      </c>
      <c r="S1985" s="3" t="n"/>
      <c r="T1985" s="3" t="n"/>
      <c r="U1985" s="3" t="n"/>
      <c r="V1985" s="3" t="n"/>
    </row>
    <row r="1986">
      <c r="A1986" s="3" t="n"/>
      <c r="B1986" s="3" t="n"/>
      <c r="C1986" s="3" t="n"/>
      <c r="D1986" s="4" t="n"/>
      <c r="E1986" s="3" t="n"/>
      <c r="F1986" s="3" t="n"/>
      <c r="G1986" s="3" t="n"/>
      <c r="H1986" s="3" t="n"/>
      <c r="I1986" s="3" t="n"/>
      <c r="J1986" s="3" t="n"/>
      <c r="K1986" s="3" t="n"/>
      <c r="L1986" s="3" t="n"/>
      <c r="M1986" s="3" t="n"/>
      <c r="N1986" s="3" t="n"/>
      <c r="O1986" s="3" t="n"/>
      <c r="P1986" s="3" t="n"/>
      <c r="Q1986" s="3" t="n"/>
      <c r="R1986" s="5">
        <f>IF(Q1986&lt;&gt;"是","排除",IF(OR(L1986="",M1986=""),"",IF(OR(L1986="未知",M1986="未知"),"未知",IF(AND(L1986="真",M1986="真"),"TP",IF(AND(L1986="真",M1986="假"),"FP",IF(AND(L1986="假",M1986="真"),"FN","TN"))))))</f>
        <v/>
      </c>
      <c r="S1986" s="3" t="n"/>
      <c r="T1986" s="3" t="n"/>
      <c r="U1986" s="3" t="n"/>
      <c r="V1986" s="3" t="n"/>
    </row>
    <row r="1987">
      <c r="A1987" s="3" t="n"/>
      <c r="B1987" s="3" t="n"/>
      <c r="C1987" s="3" t="n"/>
      <c r="D1987" s="4" t="n"/>
      <c r="E1987" s="3" t="n"/>
      <c r="F1987" s="3" t="n"/>
      <c r="G1987" s="3" t="n"/>
      <c r="H1987" s="3" t="n"/>
      <c r="I1987" s="3" t="n"/>
      <c r="J1987" s="3" t="n"/>
      <c r="K1987" s="3" t="n"/>
      <c r="L1987" s="3" t="n"/>
      <c r="M1987" s="3" t="n"/>
      <c r="N1987" s="3" t="n"/>
      <c r="O1987" s="3" t="n"/>
      <c r="P1987" s="3" t="n"/>
      <c r="Q1987" s="3" t="n"/>
      <c r="R1987" s="5">
        <f>IF(Q1987&lt;&gt;"是","排除",IF(OR(L1987="",M1987=""),"",IF(OR(L1987="未知",M1987="未知"),"未知",IF(AND(L1987="真",M1987="真"),"TP",IF(AND(L1987="真",M1987="假"),"FP",IF(AND(L1987="假",M1987="真"),"FN","TN"))))))</f>
        <v/>
      </c>
      <c r="S1987" s="3" t="n"/>
      <c r="T1987" s="3" t="n"/>
      <c r="U1987" s="3" t="n"/>
      <c r="V1987" s="3" t="n"/>
    </row>
    <row r="1988">
      <c r="A1988" s="3" t="n"/>
      <c r="B1988" s="3" t="n"/>
      <c r="C1988" s="3" t="n"/>
      <c r="D1988" s="4" t="n"/>
      <c r="E1988" s="3" t="n"/>
      <c r="F1988" s="3" t="n"/>
      <c r="G1988" s="3" t="n"/>
      <c r="H1988" s="3" t="n"/>
      <c r="I1988" s="3" t="n"/>
      <c r="J1988" s="3" t="n"/>
      <c r="K1988" s="3" t="n"/>
      <c r="L1988" s="3" t="n"/>
      <c r="M1988" s="3" t="n"/>
      <c r="N1988" s="3" t="n"/>
      <c r="O1988" s="3" t="n"/>
      <c r="P1988" s="3" t="n"/>
      <c r="Q1988" s="3" t="n"/>
      <c r="R1988" s="5">
        <f>IF(Q1988&lt;&gt;"是","排除",IF(OR(L1988="",M1988=""),"",IF(OR(L1988="未知",M1988="未知"),"未知",IF(AND(L1988="真",M1988="真"),"TP",IF(AND(L1988="真",M1988="假"),"FP",IF(AND(L1988="假",M1988="真"),"FN","TN"))))))</f>
        <v/>
      </c>
      <c r="S1988" s="3" t="n"/>
      <c r="T1988" s="3" t="n"/>
      <c r="U1988" s="3" t="n"/>
      <c r="V1988" s="3" t="n"/>
    </row>
    <row r="1989">
      <c r="A1989" s="3" t="n"/>
      <c r="B1989" s="3" t="n"/>
      <c r="C1989" s="3" t="n"/>
      <c r="D1989" s="4" t="n"/>
      <c r="E1989" s="3" t="n"/>
      <c r="F1989" s="3" t="n"/>
      <c r="G1989" s="3" t="n"/>
      <c r="H1989" s="3" t="n"/>
      <c r="I1989" s="3" t="n"/>
      <c r="J1989" s="3" t="n"/>
      <c r="K1989" s="3" t="n"/>
      <c r="L1989" s="3" t="n"/>
      <c r="M1989" s="3" t="n"/>
      <c r="N1989" s="3" t="n"/>
      <c r="O1989" s="3" t="n"/>
      <c r="P1989" s="3" t="n"/>
      <c r="Q1989" s="3" t="n"/>
      <c r="R1989" s="5">
        <f>IF(Q1989&lt;&gt;"是","排除",IF(OR(L1989="",M1989=""),"",IF(OR(L1989="未知",M1989="未知"),"未知",IF(AND(L1989="真",M1989="真"),"TP",IF(AND(L1989="真",M1989="假"),"FP",IF(AND(L1989="假",M1989="真"),"FN","TN"))))))</f>
        <v/>
      </c>
      <c r="S1989" s="3" t="n"/>
      <c r="T1989" s="3" t="n"/>
      <c r="U1989" s="3" t="n"/>
      <c r="V1989" s="3" t="n"/>
    </row>
    <row r="1990">
      <c r="A1990" s="3" t="n"/>
      <c r="B1990" s="3" t="n"/>
      <c r="C1990" s="3" t="n"/>
      <c r="D1990" s="4" t="n"/>
      <c r="E1990" s="3" t="n"/>
      <c r="F1990" s="3" t="n"/>
      <c r="G1990" s="3" t="n"/>
      <c r="H1990" s="3" t="n"/>
      <c r="I1990" s="3" t="n"/>
      <c r="J1990" s="3" t="n"/>
      <c r="K1990" s="3" t="n"/>
      <c r="L1990" s="3" t="n"/>
      <c r="M1990" s="3" t="n"/>
      <c r="N1990" s="3" t="n"/>
      <c r="O1990" s="3" t="n"/>
      <c r="P1990" s="3" t="n"/>
      <c r="Q1990" s="3" t="n"/>
      <c r="R1990" s="5">
        <f>IF(Q1990&lt;&gt;"是","排除",IF(OR(L1990="",M1990=""),"",IF(OR(L1990="未知",M1990="未知"),"未知",IF(AND(L1990="真",M1990="真"),"TP",IF(AND(L1990="真",M1990="假"),"FP",IF(AND(L1990="假",M1990="真"),"FN","TN"))))))</f>
        <v/>
      </c>
      <c r="S1990" s="3" t="n"/>
      <c r="T1990" s="3" t="n"/>
      <c r="U1990" s="3" t="n"/>
      <c r="V1990" s="3" t="n"/>
    </row>
    <row r="1991">
      <c r="A1991" s="3" t="n"/>
      <c r="B1991" s="3" t="n"/>
      <c r="C1991" s="3" t="n"/>
      <c r="D1991" s="4" t="n"/>
      <c r="E1991" s="3" t="n"/>
      <c r="F1991" s="3" t="n"/>
      <c r="G1991" s="3" t="n"/>
      <c r="H1991" s="3" t="n"/>
      <c r="I1991" s="3" t="n"/>
      <c r="J1991" s="3" t="n"/>
      <c r="K1991" s="3" t="n"/>
      <c r="L1991" s="3" t="n"/>
      <c r="M1991" s="3" t="n"/>
      <c r="N1991" s="3" t="n"/>
      <c r="O1991" s="3" t="n"/>
      <c r="P1991" s="3" t="n"/>
      <c r="Q1991" s="3" t="n"/>
      <c r="R1991" s="5">
        <f>IF(Q1991&lt;&gt;"是","排除",IF(OR(L1991="",M1991=""),"",IF(OR(L1991="未知",M1991="未知"),"未知",IF(AND(L1991="真",M1991="真"),"TP",IF(AND(L1991="真",M1991="假"),"FP",IF(AND(L1991="假",M1991="真"),"FN","TN"))))))</f>
        <v/>
      </c>
      <c r="S1991" s="3" t="n"/>
      <c r="T1991" s="3" t="n"/>
      <c r="U1991" s="3" t="n"/>
      <c r="V1991" s="3" t="n"/>
    </row>
    <row r="1992">
      <c r="A1992" s="3" t="n"/>
      <c r="B1992" s="3" t="n"/>
      <c r="C1992" s="3" t="n"/>
      <c r="D1992" s="4" t="n"/>
      <c r="E1992" s="3" t="n"/>
      <c r="F1992" s="3" t="n"/>
      <c r="G1992" s="3" t="n"/>
      <c r="H1992" s="3" t="n"/>
      <c r="I1992" s="3" t="n"/>
      <c r="J1992" s="3" t="n"/>
      <c r="K1992" s="3" t="n"/>
      <c r="L1992" s="3" t="n"/>
      <c r="M1992" s="3" t="n"/>
      <c r="N1992" s="3" t="n"/>
      <c r="O1992" s="3" t="n"/>
      <c r="P1992" s="3" t="n"/>
      <c r="Q1992" s="3" t="n"/>
      <c r="R1992" s="5">
        <f>IF(Q1992&lt;&gt;"是","排除",IF(OR(L1992="",M1992=""),"",IF(OR(L1992="未知",M1992="未知"),"未知",IF(AND(L1992="真",M1992="真"),"TP",IF(AND(L1992="真",M1992="假"),"FP",IF(AND(L1992="假",M1992="真"),"FN","TN"))))))</f>
        <v/>
      </c>
      <c r="S1992" s="3" t="n"/>
      <c r="T1992" s="3" t="n"/>
      <c r="U1992" s="3" t="n"/>
      <c r="V1992" s="3" t="n"/>
    </row>
    <row r="1993">
      <c r="A1993" s="3" t="n"/>
      <c r="B1993" s="3" t="n"/>
      <c r="C1993" s="3" t="n"/>
      <c r="D1993" s="4" t="n"/>
      <c r="E1993" s="3" t="n"/>
      <c r="F1993" s="3" t="n"/>
      <c r="G1993" s="3" t="n"/>
      <c r="H1993" s="3" t="n"/>
      <c r="I1993" s="3" t="n"/>
      <c r="J1993" s="3" t="n"/>
      <c r="K1993" s="3" t="n"/>
      <c r="L1993" s="3" t="n"/>
      <c r="M1993" s="3" t="n"/>
      <c r="N1993" s="3" t="n"/>
      <c r="O1993" s="3" t="n"/>
      <c r="P1993" s="3" t="n"/>
      <c r="Q1993" s="3" t="n"/>
      <c r="R1993" s="5">
        <f>IF(Q1993&lt;&gt;"是","排除",IF(OR(L1993="",M1993=""),"",IF(OR(L1993="未知",M1993="未知"),"未知",IF(AND(L1993="真",M1993="真"),"TP",IF(AND(L1993="真",M1993="假"),"FP",IF(AND(L1993="假",M1993="真"),"FN","TN"))))))</f>
        <v/>
      </c>
      <c r="S1993" s="3" t="n"/>
      <c r="T1993" s="3" t="n"/>
      <c r="U1993" s="3" t="n"/>
      <c r="V1993" s="3" t="n"/>
    </row>
    <row r="1994">
      <c r="A1994" s="3" t="n"/>
      <c r="B1994" s="3" t="n"/>
      <c r="C1994" s="3" t="n"/>
      <c r="D1994" s="4" t="n"/>
      <c r="E1994" s="3" t="n"/>
      <c r="F1994" s="3" t="n"/>
      <c r="G1994" s="3" t="n"/>
      <c r="H1994" s="3" t="n"/>
      <c r="I1994" s="3" t="n"/>
      <c r="J1994" s="3" t="n"/>
      <c r="K1994" s="3" t="n"/>
      <c r="L1994" s="3" t="n"/>
      <c r="M1994" s="3" t="n"/>
      <c r="N1994" s="3" t="n"/>
      <c r="O1994" s="3" t="n"/>
      <c r="P1994" s="3" t="n"/>
      <c r="Q1994" s="3" t="n"/>
      <c r="R1994" s="5">
        <f>IF(Q1994&lt;&gt;"是","排除",IF(OR(L1994="",M1994=""),"",IF(OR(L1994="未知",M1994="未知"),"未知",IF(AND(L1994="真",M1994="真"),"TP",IF(AND(L1994="真",M1994="假"),"FP",IF(AND(L1994="假",M1994="真"),"FN","TN"))))))</f>
        <v/>
      </c>
      <c r="S1994" s="3" t="n"/>
      <c r="T1994" s="3" t="n"/>
      <c r="U1994" s="3" t="n"/>
      <c r="V1994" s="3" t="n"/>
    </row>
    <row r="1995">
      <c r="A1995" s="3" t="n"/>
      <c r="B1995" s="3" t="n"/>
      <c r="C1995" s="3" t="n"/>
      <c r="D1995" s="4" t="n"/>
      <c r="E1995" s="3" t="n"/>
      <c r="F1995" s="3" t="n"/>
      <c r="G1995" s="3" t="n"/>
      <c r="H1995" s="3" t="n"/>
      <c r="I1995" s="3" t="n"/>
      <c r="J1995" s="3" t="n"/>
      <c r="K1995" s="3" t="n"/>
      <c r="L1995" s="3" t="n"/>
      <c r="M1995" s="3" t="n"/>
      <c r="N1995" s="3" t="n"/>
      <c r="O1995" s="3" t="n"/>
      <c r="P1995" s="3" t="n"/>
      <c r="Q1995" s="3" t="n"/>
      <c r="R1995" s="5">
        <f>IF(Q1995&lt;&gt;"是","排除",IF(OR(L1995="",M1995=""),"",IF(OR(L1995="未知",M1995="未知"),"未知",IF(AND(L1995="真",M1995="真"),"TP",IF(AND(L1995="真",M1995="假"),"FP",IF(AND(L1995="假",M1995="真"),"FN","TN"))))))</f>
        <v/>
      </c>
      <c r="S1995" s="3" t="n"/>
      <c r="T1995" s="3" t="n"/>
      <c r="U1995" s="3" t="n"/>
      <c r="V1995" s="3" t="n"/>
    </row>
    <row r="1996">
      <c r="A1996" s="3" t="n"/>
      <c r="B1996" s="3" t="n"/>
      <c r="C1996" s="3" t="n"/>
      <c r="D1996" s="4" t="n"/>
      <c r="E1996" s="3" t="n"/>
      <c r="F1996" s="3" t="n"/>
      <c r="G1996" s="3" t="n"/>
      <c r="H1996" s="3" t="n"/>
      <c r="I1996" s="3" t="n"/>
      <c r="J1996" s="3" t="n"/>
      <c r="K1996" s="3" t="n"/>
      <c r="L1996" s="3" t="n"/>
      <c r="M1996" s="3" t="n"/>
      <c r="N1996" s="3" t="n"/>
      <c r="O1996" s="3" t="n"/>
      <c r="P1996" s="3" t="n"/>
      <c r="Q1996" s="3" t="n"/>
      <c r="R1996" s="5">
        <f>IF(Q1996&lt;&gt;"是","排除",IF(OR(L1996="",M1996=""),"",IF(OR(L1996="未知",M1996="未知"),"未知",IF(AND(L1996="真",M1996="真"),"TP",IF(AND(L1996="真",M1996="假"),"FP",IF(AND(L1996="假",M1996="真"),"FN","TN"))))))</f>
        <v/>
      </c>
      <c r="S1996" s="3" t="n"/>
      <c r="T1996" s="3" t="n"/>
      <c r="U1996" s="3" t="n"/>
      <c r="V1996" s="3" t="n"/>
    </row>
    <row r="1997">
      <c r="A1997" s="3" t="n"/>
      <c r="B1997" s="3" t="n"/>
      <c r="C1997" s="3" t="n"/>
      <c r="D1997" s="4" t="n"/>
      <c r="E1997" s="3" t="n"/>
      <c r="F1997" s="3" t="n"/>
      <c r="G1997" s="3" t="n"/>
      <c r="H1997" s="3" t="n"/>
      <c r="I1997" s="3" t="n"/>
      <c r="J1997" s="3" t="n"/>
      <c r="K1997" s="3" t="n"/>
      <c r="L1997" s="3" t="n"/>
      <c r="M1997" s="3" t="n"/>
      <c r="N1997" s="3" t="n"/>
      <c r="O1997" s="3" t="n"/>
      <c r="P1997" s="3" t="n"/>
      <c r="Q1997" s="3" t="n"/>
      <c r="R1997" s="5">
        <f>IF(Q1997&lt;&gt;"是","排除",IF(OR(L1997="",M1997=""),"",IF(OR(L1997="未知",M1997="未知"),"未知",IF(AND(L1997="真",M1997="真"),"TP",IF(AND(L1997="真",M1997="假"),"FP",IF(AND(L1997="假",M1997="真"),"FN","TN"))))))</f>
        <v/>
      </c>
      <c r="S1997" s="3" t="n"/>
      <c r="T1997" s="3" t="n"/>
      <c r="U1997" s="3" t="n"/>
      <c r="V1997" s="3" t="n"/>
    </row>
    <row r="1998">
      <c r="A1998" s="3" t="n"/>
      <c r="B1998" s="3" t="n"/>
      <c r="C1998" s="3" t="n"/>
      <c r="D1998" s="4" t="n"/>
      <c r="E1998" s="3" t="n"/>
      <c r="F1998" s="3" t="n"/>
      <c r="G1998" s="3" t="n"/>
      <c r="H1998" s="3" t="n"/>
      <c r="I1998" s="3" t="n"/>
      <c r="J1998" s="3" t="n"/>
      <c r="K1998" s="3" t="n"/>
      <c r="L1998" s="3" t="n"/>
      <c r="M1998" s="3" t="n"/>
      <c r="N1998" s="3" t="n"/>
      <c r="O1998" s="3" t="n"/>
      <c r="P1998" s="3" t="n"/>
      <c r="Q1998" s="3" t="n"/>
      <c r="R1998" s="5">
        <f>IF(Q1998&lt;&gt;"是","排除",IF(OR(L1998="",M1998=""),"",IF(OR(L1998="未知",M1998="未知"),"未知",IF(AND(L1998="真",M1998="真"),"TP",IF(AND(L1998="真",M1998="假"),"FP",IF(AND(L1998="假",M1998="真"),"FN","TN"))))))</f>
        <v/>
      </c>
      <c r="S1998" s="3" t="n"/>
      <c r="T1998" s="3" t="n"/>
      <c r="U1998" s="3" t="n"/>
      <c r="V1998" s="3" t="n"/>
    </row>
    <row r="1999">
      <c r="A1999" s="3" t="n"/>
      <c r="B1999" s="3" t="n"/>
      <c r="C1999" s="3" t="n"/>
      <c r="D1999" s="4" t="n"/>
      <c r="E1999" s="3" t="n"/>
      <c r="F1999" s="3" t="n"/>
      <c r="G1999" s="3" t="n"/>
      <c r="H1999" s="3" t="n"/>
      <c r="I1999" s="3" t="n"/>
      <c r="J1999" s="3" t="n"/>
      <c r="K1999" s="3" t="n"/>
      <c r="L1999" s="3" t="n"/>
      <c r="M1999" s="3" t="n"/>
      <c r="N1999" s="3" t="n"/>
      <c r="O1999" s="3" t="n"/>
      <c r="P1999" s="3" t="n"/>
      <c r="Q1999" s="3" t="n"/>
      <c r="R1999" s="5">
        <f>IF(Q1999&lt;&gt;"是","排除",IF(OR(L1999="",M1999=""),"",IF(OR(L1999="未知",M1999="未知"),"未知",IF(AND(L1999="真",M1999="真"),"TP",IF(AND(L1999="真",M1999="假"),"FP",IF(AND(L1999="假",M1999="真"),"FN","TN"))))))</f>
        <v/>
      </c>
      <c r="S1999" s="3" t="n"/>
      <c r="T1999" s="3" t="n"/>
      <c r="U1999" s="3" t="n"/>
      <c r="V1999" s="3" t="n"/>
    </row>
    <row r="2000">
      <c r="A2000" s="3" t="n"/>
      <c r="B2000" s="3" t="n"/>
      <c r="C2000" s="3" t="n"/>
      <c r="D2000" s="4" t="n"/>
      <c r="E2000" s="3" t="n"/>
      <c r="F2000" s="3" t="n"/>
      <c r="G2000" s="3" t="n"/>
      <c r="H2000" s="3" t="n"/>
      <c r="I2000" s="3" t="n"/>
      <c r="J2000" s="3" t="n"/>
      <c r="K2000" s="3" t="n"/>
      <c r="L2000" s="3" t="n"/>
      <c r="M2000" s="3" t="n"/>
      <c r="N2000" s="3" t="n"/>
      <c r="O2000" s="3" t="n"/>
      <c r="P2000" s="3" t="n"/>
      <c r="Q2000" s="3" t="n"/>
      <c r="R2000" s="5">
        <f>IF(Q2000&lt;&gt;"是","排除",IF(OR(L2000="",M2000=""),"",IF(OR(L2000="未知",M2000="未知"),"未知",IF(AND(L2000="真",M2000="真"),"TP",IF(AND(L2000="真",M2000="假"),"FP",IF(AND(L2000="假",M2000="真"),"FN","TN"))))))</f>
        <v/>
      </c>
      <c r="S2000" s="3" t="n"/>
      <c r="T2000" s="3" t="n"/>
      <c r="U2000" s="3" t="n"/>
      <c r="V2000" s="3" t="n"/>
    </row>
    <row r="2001">
      <c r="A2001" s="3" t="n"/>
      <c r="B2001" s="3" t="n"/>
      <c r="C2001" s="3" t="n"/>
      <c r="D2001" s="4" t="n"/>
      <c r="E2001" s="3" t="n"/>
      <c r="F2001" s="3" t="n"/>
      <c r="G2001" s="3" t="n"/>
      <c r="H2001" s="3" t="n"/>
      <c r="I2001" s="3" t="n"/>
      <c r="J2001" s="3" t="n"/>
      <c r="K2001" s="3" t="n"/>
      <c r="L2001" s="3" t="n"/>
      <c r="M2001" s="3" t="n"/>
      <c r="N2001" s="3" t="n"/>
      <c r="O2001" s="3" t="n"/>
      <c r="P2001" s="3" t="n"/>
      <c r="Q2001" s="3" t="n"/>
      <c r="R2001" s="5">
        <f>IF(Q2001&lt;&gt;"是","排除",IF(OR(L2001="",M2001=""),"",IF(OR(L2001="未知",M2001="未知"),"未知",IF(AND(L2001="真",M2001="真"),"TP",IF(AND(L2001="真",M2001="假"),"FP",IF(AND(L2001="假",M2001="真"),"FN","TN"))))))</f>
        <v/>
      </c>
      <c r="S2001" s="3" t="n"/>
      <c r="T2001" s="3" t="n"/>
      <c r="U2001" s="3" t="n"/>
      <c r="V2001" s="3" t="n"/>
    </row>
  </sheetData>
  <autoFilter ref="A1:V2001"/>
  <conditionalFormatting sqref="R2:R2001">
    <cfRule type="expression" priority="1" dxfId="0">
      <formula>R2="未知"</formula>
    </cfRule>
    <cfRule type="expression" priority="2" dxfId="1">
      <formula>R2="排除"</formula>
    </cfRule>
  </conditionalFormatting>
  <dataValidations count="5">
    <dataValidation sqref="I2:I2001" showDropDown="0" showInputMessage="1" showErrorMessage="1" allowBlank="1" errorTitle="无效值" error="请从下拉列表选择，不要自行创造近义值。" promptTitle="填写提示" prompt="选择材料的结构化来源类别。" type="list">
      <formula1>=SourceTypes</formula1>
    </dataValidation>
    <dataValidation sqref="J2:J2001" showDropDown="0" showInputMessage="1" showErrorMessage="1" allowBlank="1" errorTitle="无效值" error="请从下拉列表选择，不要自行创造近义值。" promptTitle="填写提示" prompt="角色只用于分层，不能直接变成可信度。" type="list">
      <formula1>=SourceRoles</formula1>
    </dataValidation>
    <dataValidation sqref="L2:M2001" showDropDown="0" showInputMessage="1" showErrorMessage="1" allowBlank="1" errorTitle="无效值" error="请从下拉列表选择，不要自行创造近义值。" promptTitle="填写提示" prompt="未知不得填成假。" type="list">
      <formula1>=TruthLabels</formula1>
    </dataValidation>
    <dataValidation sqref="P2:P2001" showDropDown="0" showInputMessage="1" showErrorMessage="1" allowBlank="1" errorTitle="无效值" error="请从下拉列表选择，不要自行创造近义值。" promptTitle="填写提示" prompt="有分歧时必须保留并裁决。" type="list">
      <formula1>=ReviewStatuses</formula1>
    </dataValidation>
    <dataValidation sqref="Q2:Q2001" showDropDown="0" showInputMessage="1" showErrorMessage="1" allowBlank="1" errorTitle="无效值" error="请从下拉列表选择，不要自行创造近义值。" promptTitle="填写提示" prompt="只有完成独立核验且不重复的记录才纳入。" type="list">
      <formula1>=YesNoValues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AA84F"/>
    <outlinePr summaryBelow="1" summaryRight="1"/>
    <pageSetUpPr/>
  </sheetPr>
  <dimension ref="A1:S2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2" customWidth="1" min="2" max="2"/>
    <col width="31" customWidth="1" min="3" max="3"/>
    <col width="12" customWidth="1" min="4" max="4"/>
    <col width="12" customWidth="1" min="5" max="5"/>
    <col width="38" customWidth="1" min="6" max="6"/>
    <col width="38" customWidth="1" min="7" max="7"/>
    <col width="38" customWidth="1" min="8" max="8"/>
    <col width="25" customWidth="1" min="9" max="9"/>
    <col width="12" customWidth="1" min="10" max="10"/>
    <col width="12" customWidth="1" min="11" max="11"/>
    <col width="35" customWidth="1" min="12" max="12"/>
    <col width="35" customWidth="1" min="13" max="13"/>
    <col width="38" customWidth="1" min="14" max="14"/>
    <col width="38" customWidth="1" min="15" max="15"/>
    <col width="38" customWidth="1" min="16" max="16"/>
    <col width="38" customWidth="1" min="17" max="17"/>
    <col width="12" customWidth="1" min="18" max="18"/>
    <col width="12" customWidth="1" min="19" max="19"/>
  </cols>
  <sheetData>
    <row r="1" ht="34" customHeight="1">
      <c r="A1" s="1" t="inlineStr">
        <is>
          <t>模型ID</t>
        </is>
      </c>
      <c r="B1" s="1" t="inlineStr">
        <is>
          <t>模型版本</t>
        </is>
      </c>
      <c r="C1" s="1" t="inlineStr">
        <is>
          <t>根节点</t>
        </is>
      </c>
      <c r="D1" s="1" t="inlineStr">
        <is>
          <t>数据批次</t>
        </is>
      </c>
      <c r="E1" s="1" t="inlineStr">
        <is>
          <t>当前prior</t>
        </is>
      </c>
      <c r="F1" s="1" t="inlineStr">
        <is>
          <t>真数</t>
        </is>
      </c>
      <c r="G1" s="1" t="inlineStr">
        <is>
          <t>假数</t>
        </is>
      </c>
      <c r="H1" s="1" t="inlineStr">
        <is>
          <t>未知数</t>
        </is>
      </c>
      <c r="I1" s="1" t="inlineStr">
        <is>
          <t>有效样本数</t>
        </is>
      </c>
      <c r="J1" s="1" t="inlineStr">
        <is>
          <t>先验Alpha</t>
        </is>
      </c>
      <c r="K1" s="1" t="inlineStr">
        <is>
          <t>先验Beta</t>
        </is>
      </c>
      <c r="L1" s="1" t="inlineStr">
        <is>
          <t>后验Alpha</t>
        </is>
      </c>
      <c r="M1" s="1" t="inlineStr">
        <is>
          <t>后验Beta</t>
        </is>
      </c>
      <c r="N1" s="1" t="inlineStr">
        <is>
          <t>后验均值</t>
        </is>
      </c>
      <c r="O1" s="1" t="inlineStr">
        <is>
          <t>95%下限</t>
        </is>
      </c>
      <c r="P1" s="1" t="inlineStr">
        <is>
          <t>95%上限</t>
        </is>
      </c>
      <c r="Q1" s="1" t="inlineStr">
        <is>
          <t>样本提示</t>
        </is>
      </c>
      <c r="R1" s="1" t="inlineStr">
        <is>
          <t>候选决策</t>
        </is>
      </c>
      <c r="S1" s="1" t="inlineStr">
        <is>
          <t>备注</t>
        </is>
      </c>
    </row>
    <row r="2">
      <c r="A2" s="2" t="inlineStr">
        <is>
          <t>conduct_result</t>
        </is>
      </c>
      <c r="B2" s="2" t="inlineStr">
        <is>
          <t>1</t>
        </is>
      </c>
      <c r="C2" s="2" t="inlineStr">
        <is>
          <t>conduct</t>
        </is>
      </c>
      <c r="D2" s="3" t="inlineStr"/>
      <c r="E2" s="6" t="n">
        <v>0.15</v>
      </c>
      <c r="F2" s="5">
        <f>IF($D2="","",COUNTIFS('原子事实记录'!$C$2:$C$2001,$D2,'原子事实记录'!$E$2:$E$2001,$A2,'原子事实记录'!$F$2:$F$2001,$B2,'原子事实记录'!$G$2:$G$2001,$C2,'原子事实记录'!$Q$2:$Q$2001,"是",'原子事实记录'!$M$2:$M$2001,"真"))</f>
        <v/>
      </c>
      <c r="G2" s="5">
        <f>IF($D2="","",COUNTIFS('原子事实记录'!$C$2:$C$2001,$D2,'原子事实记录'!$E$2:$E$2001,$A2,'原子事实记录'!$F$2:$F$2001,$B2,'原子事实记录'!$G$2:$G$2001,$C2,'原子事实记录'!$Q$2:$Q$2001,"是",'原子事实记录'!$M$2:$M$2001,"假"))</f>
        <v/>
      </c>
      <c r="H2" s="5">
        <f>IF($D2="","",COUNTIFS('原子事实记录'!$C$2:$C$2001,$D2,'原子事实记录'!$E$2:$E$2001,$A2,'原子事实记录'!$F$2:$F$2001,$B2,'原子事实记录'!$G$2:$G$2001,$C2,'原子事实记录'!$Q$2:$Q$2001,"是",'原子事实记录'!$M$2:$M$2001,"未知"))</f>
        <v/>
      </c>
      <c r="I2" s="5">
        <f>IF($D2="","",F2+G2)</f>
        <v/>
      </c>
      <c r="J2" s="3" t="n">
        <v>1</v>
      </c>
      <c r="K2" s="3" t="n">
        <v>1</v>
      </c>
      <c r="L2" s="5">
        <f>IF(OR(J2="",F2=""),"",J2+F2)</f>
        <v/>
      </c>
      <c r="M2" s="5">
        <f>IF(OR(K2="",G2=""),"",K2+G2)</f>
        <v/>
      </c>
      <c r="N2" s="7">
        <f>IF(OR(L2="",M2=""),"",L2/(L2+M2))</f>
        <v/>
      </c>
      <c r="O2" s="7">
        <f>IF(N2="","",BETA.INV(0.025,L2,M2))</f>
        <v/>
      </c>
      <c r="P2" s="7">
        <f>IF(N2="","",BETA.INV(0.975,L2,M2))</f>
        <v/>
      </c>
      <c r="Q2" s="5">
        <f>IF(D2="","先填数据批次",IF(I2&lt;30,"样本太少：仅描述",IF(MIN(F2,G2)&lt;10,"类别失衡：不可发布",IF(I2&lt;100,"试点：需独立验证","可进入独立验证"))))</f>
        <v/>
      </c>
      <c r="R2" s="3" t="inlineStr">
        <is>
          <t>不采用</t>
        </is>
      </c>
      <c r="S2" s="3" t="inlineStr"/>
    </row>
    <row r="3">
      <c r="A3" s="2" t="inlineStr">
        <is>
          <t>conduct_result</t>
        </is>
      </c>
      <c r="B3" s="2" t="inlineStr">
        <is>
          <t>1</t>
        </is>
      </c>
      <c r="C3" s="2" t="inlineStr">
        <is>
          <t>result_exists</t>
        </is>
      </c>
      <c r="D3" s="3" t="inlineStr"/>
      <c r="E3" s="6" t="n">
        <v>0.15</v>
      </c>
      <c r="F3" s="5">
        <f>IF($D3="","",COUNTIFS('原子事实记录'!$C$2:$C$2001,$D3,'原子事实记录'!$E$2:$E$2001,$A3,'原子事实记录'!$F$2:$F$2001,$B3,'原子事实记录'!$G$2:$G$2001,$C3,'原子事实记录'!$Q$2:$Q$2001,"是",'原子事实记录'!$M$2:$M$2001,"真"))</f>
        <v/>
      </c>
      <c r="G3" s="5">
        <f>IF($D3="","",COUNTIFS('原子事实记录'!$C$2:$C$2001,$D3,'原子事实记录'!$E$2:$E$2001,$A3,'原子事实记录'!$F$2:$F$2001,$B3,'原子事实记录'!$G$2:$G$2001,$C3,'原子事实记录'!$Q$2:$Q$2001,"是",'原子事实记录'!$M$2:$M$2001,"假"))</f>
        <v/>
      </c>
      <c r="H3" s="5">
        <f>IF($D3="","",COUNTIFS('原子事实记录'!$C$2:$C$2001,$D3,'原子事实记录'!$E$2:$E$2001,$A3,'原子事实记录'!$F$2:$F$2001,$B3,'原子事实记录'!$G$2:$G$2001,$C3,'原子事实记录'!$Q$2:$Q$2001,"是",'原子事实记录'!$M$2:$M$2001,"未知"))</f>
        <v/>
      </c>
      <c r="I3" s="5">
        <f>IF($D3="","",F3+G3)</f>
        <v/>
      </c>
      <c r="J3" s="3" t="n">
        <v>1</v>
      </c>
      <c r="K3" s="3" t="n">
        <v>1</v>
      </c>
      <c r="L3" s="5">
        <f>IF(OR(J3="",F3=""),"",J3+F3)</f>
        <v/>
      </c>
      <c r="M3" s="5">
        <f>IF(OR(K3="",G3=""),"",K3+G3)</f>
        <v/>
      </c>
      <c r="N3" s="7">
        <f>IF(OR(L3="",M3=""),"",L3/(L3+M3))</f>
        <v/>
      </c>
      <c r="O3" s="7">
        <f>IF(N3="","",BETA.INV(0.025,L3,M3))</f>
        <v/>
      </c>
      <c r="P3" s="7">
        <f>IF(N3="","",BETA.INV(0.975,L3,M3))</f>
        <v/>
      </c>
      <c r="Q3" s="5">
        <f>IF(D3="","先填数据批次",IF(I3&lt;30,"样本太少：仅描述",IF(MIN(F3,G3)&lt;10,"类别失衡：不可发布",IF(I3&lt;100,"试点：需独立验证","可进入独立验证"))))</f>
        <v/>
      </c>
      <c r="R3" s="3" t="inlineStr">
        <is>
          <t>不采用</t>
        </is>
      </c>
      <c r="S3" s="3" t="inlineStr"/>
    </row>
    <row r="4">
      <c r="A4" s="2" t="inlineStr">
        <is>
          <t>conduct_result</t>
        </is>
      </c>
      <c r="B4" s="2" t="inlineStr">
        <is>
          <t>1</t>
        </is>
      </c>
      <c r="C4" s="2" t="inlineStr">
        <is>
          <t>mechanism_consistency</t>
        </is>
      </c>
      <c r="D4" s="3" t="inlineStr"/>
      <c r="E4" s="6" t="n">
        <v>0.3</v>
      </c>
      <c r="F4" s="5">
        <f>IF($D4="","",COUNTIFS('原子事实记录'!$C$2:$C$2001,$D4,'原子事实记录'!$E$2:$E$2001,$A4,'原子事实记录'!$F$2:$F$2001,$B4,'原子事实记录'!$G$2:$G$2001,$C4,'原子事实记录'!$Q$2:$Q$2001,"是",'原子事实记录'!$M$2:$M$2001,"真"))</f>
        <v/>
      </c>
      <c r="G4" s="5">
        <f>IF($D4="","",COUNTIFS('原子事实记录'!$C$2:$C$2001,$D4,'原子事实记录'!$E$2:$E$2001,$A4,'原子事实记录'!$F$2:$F$2001,$B4,'原子事实记录'!$G$2:$G$2001,$C4,'原子事实记录'!$Q$2:$Q$2001,"是",'原子事实记录'!$M$2:$M$2001,"假"))</f>
        <v/>
      </c>
      <c r="H4" s="5">
        <f>IF($D4="","",COUNTIFS('原子事实记录'!$C$2:$C$2001,$D4,'原子事实记录'!$E$2:$E$2001,$A4,'原子事实记录'!$F$2:$F$2001,$B4,'原子事实记录'!$G$2:$G$2001,$C4,'原子事实记录'!$Q$2:$Q$2001,"是",'原子事实记录'!$M$2:$M$2001,"未知"))</f>
        <v/>
      </c>
      <c r="I4" s="5">
        <f>IF($D4="","",F4+G4)</f>
        <v/>
      </c>
      <c r="J4" s="3" t="n">
        <v>1</v>
      </c>
      <c r="K4" s="3" t="n">
        <v>1</v>
      </c>
      <c r="L4" s="5">
        <f>IF(OR(J4="",F4=""),"",J4+F4)</f>
        <v/>
      </c>
      <c r="M4" s="5">
        <f>IF(OR(K4="",G4=""),"",K4+G4)</f>
        <v/>
      </c>
      <c r="N4" s="7">
        <f>IF(OR(L4="",M4=""),"",L4/(L4+M4))</f>
        <v/>
      </c>
      <c r="O4" s="7">
        <f>IF(N4="","",BETA.INV(0.025,L4,M4))</f>
        <v/>
      </c>
      <c r="P4" s="7">
        <f>IF(N4="","",BETA.INV(0.975,L4,M4))</f>
        <v/>
      </c>
      <c r="Q4" s="5">
        <f>IF(D4="","先填数据批次",IF(I4&lt;30,"样本太少：仅描述",IF(MIN(F4,G4)&lt;10,"类别失衡：不可发布",IF(I4&lt;100,"试点：需独立验证","可进入独立验证"))))</f>
        <v/>
      </c>
      <c r="R4" s="3" t="inlineStr">
        <is>
          <t>不采用</t>
        </is>
      </c>
      <c r="S4" s="3" t="inlineStr"/>
    </row>
    <row r="5">
      <c r="A5" s="2" t="inlineStr">
        <is>
          <t>conduct_result</t>
        </is>
      </c>
      <c r="B5" s="2" t="inlineStr">
        <is>
          <t>1</t>
        </is>
      </c>
      <c r="C5" s="2" t="inlineStr">
        <is>
          <t>temporal_consistency</t>
        </is>
      </c>
      <c r="D5" s="3" t="inlineStr"/>
      <c r="E5" s="6" t="n">
        <v>0.3</v>
      </c>
      <c r="F5" s="5">
        <f>IF($D5="","",COUNTIFS('原子事实记录'!$C$2:$C$2001,$D5,'原子事实记录'!$E$2:$E$2001,$A5,'原子事实记录'!$F$2:$F$2001,$B5,'原子事实记录'!$G$2:$G$2001,$C5,'原子事实记录'!$Q$2:$Q$2001,"是",'原子事实记录'!$M$2:$M$2001,"真"))</f>
        <v/>
      </c>
      <c r="G5" s="5">
        <f>IF($D5="","",COUNTIFS('原子事实记录'!$C$2:$C$2001,$D5,'原子事实记录'!$E$2:$E$2001,$A5,'原子事实记录'!$F$2:$F$2001,$B5,'原子事实记录'!$G$2:$G$2001,$C5,'原子事实记录'!$Q$2:$Q$2001,"是",'原子事实记录'!$M$2:$M$2001,"假"))</f>
        <v/>
      </c>
      <c r="H5" s="5">
        <f>IF($D5="","",COUNTIFS('原子事实记录'!$C$2:$C$2001,$D5,'原子事实记录'!$E$2:$E$2001,$A5,'原子事实记录'!$F$2:$F$2001,$B5,'原子事实记录'!$G$2:$G$2001,$C5,'原子事实记录'!$Q$2:$Q$2001,"是",'原子事实记录'!$M$2:$M$2001,"未知"))</f>
        <v/>
      </c>
      <c r="I5" s="5">
        <f>IF($D5="","",F5+G5)</f>
        <v/>
      </c>
      <c r="J5" s="3" t="n">
        <v>1</v>
      </c>
      <c r="K5" s="3" t="n">
        <v>1</v>
      </c>
      <c r="L5" s="5">
        <f>IF(OR(J5="",F5=""),"",J5+F5)</f>
        <v/>
      </c>
      <c r="M5" s="5">
        <f>IF(OR(K5="",G5=""),"",K5+G5)</f>
        <v/>
      </c>
      <c r="N5" s="7">
        <f>IF(OR(L5="",M5=""),"",L5/(L5+M5))</f>
        <v/>
      </c>
      <c r="O5" s="7">
        <f>IF(N5="","",BETA.INV(0.025,L5,M5))</f>
        <v/>
      </c>
      <c r="P5" s="7">
        <f>IF(N5="","",BETA.INV(0.975,L5,M5))</f>
        <v/>
      </c>
      <c r="Q5" s="5">
        <f>IF(D5="","先填数据批次",IF(I5&lt;30,"样本太少：仅描述",IF(MIN(F5,G5)&lt;10,"类别失衡：不可发布",IF(I5&lt;100,"试点：需独立验证","可进入独立验证"))))</f>
        <v/>
      </c>
      <c r="R5" s="3" t="inlineStr">
        <is>
          <t>不采用</t>
        </is>
      </c>
      <c r="S5" s="3" t="inlineStr"/>
    </row>
    <row r="6">
      <c r="A6" s="2" t="inlineStr">
        <is>
          <t>conduct_result</t>
        </is>
      </c>
      <c r="B6" s="2" t="inlineStr">
        <is>
          <t>1</t>
        </is>
      </c>
      <c r="C6" s="2" t="inlineStr">
        <is>
          <t>alternative_cause</t>
        </is>
      </c>
      <c r="D6" s="3" t="inlineStr"/>
      <c r="E6" s="6" t="n">
        <v>0.2</v>
      </c>
      <c r="F6" s="5">
        <f>IF($D6="","",COUNTIFS('原子事实记录'!$C$2:$C$2001,$D6,'原子事实记录'!$E$2:$E$2001,$A6,'原子事实记录'!$F$2:$F$2001,$B6,'原子事实记录'!$G$2:$G$2001,$C6,'原子事实记录'!$Q$2:$Q$2001,"是",'原子事实记录'!$M$2:$M$2001,"真"))</f>
        <v/>
      </c>
      <c r="G6" s="5">
        <f>IF($D6="","",COUNTIFS('原子事实记录'!$C$2:$C$2001,$D6,'原子事实记录'!$E$2:$E$2001,$A6,'原子事实记录'!$F$2:$F$2001,$B6,'原子事实记录'!$G$2:$G$2001,$C6,'原子事实记录'!$Q$2:$Q$2001,"是",'原子事实记录'!$M$2:$M$2001,"假"))</f>
        <v/>
      </c>
      <c r="H6" s="5">
        <f>IF($D6="","",COUNTIFS('原子事实记录'!$C$2:$C$2001,$D6,'原子事实记录'!$E$2:$E$2001,$A6,'原子事实记录'!$F$2:$F$2001,$B6,'原子事实记录'!$G$2:$G$2001,$C6,'原子事实记录'!$Q$2:$Q$2001,"是",'原子事实记录'!$M$2:$M$2001,"未知"))</f>
        <v/>
      </c>
      <c r="I6" s="5">
        <f>IF($D6="","",F6+G6)</f>
        <v/>
      </c>
      <c r="J6" s="3" t="n">
        <v>1</v>
      </c>
      <c r="K6" s="3" t="n">
        <v>1</v>
      </c>
      <c r="L6" s="5">
        <f>IF(OR(J6="",F6=""),"",J6+F6)</f>
        <v/>
      </c>
      <c r="M6" s="5">
        <f>IF(OR(K6="",G6=""),"",K6+G6)</f>
        <v/>
      </c>
      <c r="N6" s="7">
        <f>IF(OR(L6="",M6=""),"",L6/(L6+M6))</f>
        <v/>
      </c>
      <c r="O6" s="7">
        <f>IF(N6="","",BETA.INV(0.025,L6,M6))</f>
        <v/>
      </c>
      <c r="P6" s="7">
        <f>IF(N6="","",BETA.INV(0.975,L6,M6))</f>
        <v/>
      </c>
      <c r="Q6" s="5">
        <f>IF(D6="","先填数据批次",IF(I6&lt;30,"样本太少：仅描述",IF(MIN(F6,G6)&lt;10,"类别失衡：不可发布",IF(I6&lt;100,"试点：需独立验证","可进入独立验证"))))</f>
        <v/>
      </c>
      <c r="R6" s="3" t="inlineStr">
        <is>
          <t>不采用</t>
        </is>
      </c>
      <c r="S6" s="3" t="inlineStr"/>
    </row>
    <row r="7">
      <c r="A7" s="2" t="inlineStr">
        <is>
          <t>deception_disposition</t>
        </is>
      </c>
      <c r="B7" s="2" t="inlineStr">
        <is>
          <t>1.0.0</t>
        </is>
      </c>
      <c r="C7" s="2" t="inlineStr">
        <is>
          <t>deceptive_representation</t>
        </is>
      </c>
      <c r="D7" s="3" t="inlineStr"/>
      <c r="E7" s="6" t="n">
        <v>0.2</v>
      </c>
      <c r="F7" s="5">
        <f>IF($D7="","",COUNTIFS('原子事实记录'!$C$2:$C$2001,$D7,'原子事实记录'!$E$2:$E$2001,$A7,'原子事实记录'!$F$2:$F$2001,$B7,'原子事实记录'!$G$2:$G$2001,$C7,'原子事实记录'!$Q$2:$Q$2001,"是",'原子事实记录'!$M$2:$M$2001,"真"))</f>
        <v/>
      </c>
      <c r="G7" s="5">
        <f>IF($D7="","",COUNTIFS('原子事实记录'!$C$2:$C$2001,$D7,'原子事实记录'!$E$2:$E$2001,$A7,'原子事实记录'!$F$2:$F$2001,$B7,'原子事实记录'!$G$2:$G$2001,$C7,'原子事实记录'!$Q$2:$Q$2001,"是",'原子事实记录'!$M$2:$M$2001,"假"))</f>
        <v/>
      </c>
      <c r="H7" s="5">
        <f>IF($D7="","",COUNTIFS('原子事实记录'!$C$2:$C$2001,$D7,'原子事实记录'!$E$2:$E$2001,$A7,'原子事实记录'!$F$2:$F$2001,$B7,'原子事实记录'!$G$2:$G$2001,$C7,'原子事实记录'!$Q$2:$Q$2001,"是",'原子事实记录'!$M$2:$M$2001,"未知"))</f>
        <v/>
      </c>
      <c r="I7" s="5">
        <f>IF($D7="","",F7+G7)</f>
        <v/>
      </c>
      <c r="J7" s="3" t="n">
        <v>1</v>
      </c>
      <c r="K7" s="3" t="n">
        <v>1</v>
      </c>
      <c r="L7" s="5">
        <f>IF(OR(J7="",F7=""),"",J7+F7)</f>
        <v/>
      </c>
      <c r="M7" s="5">
        <f>IF(OR(K7="",G7=""),"",K7+G7)</f>
        <v/>
      </c>
      <c r="N7" s="7">
        <f>IF(OR(L7="",M7=""),"",L7/(L7+M7))</f>
        <v/>
      </c>
      <c r="O7" s="7">
        <f>IF(N7="","",BETA.INV(0.025,L7,M7))</f>
        <v/>
      </c>
      <c r="P7" s="7">
        <f>IF(N7="","",BETA.INV(0.975,L7,M7))</f>
        <v/>
      </c>
      <c r="Q7" s="5">
        <f>IF(D7="","先填数据批次",IF(I7&lt;30,"样本太少：仅描述",IF(MIN(F7,G7)&lt;10,"类别失衡：不可发布",IF(I7&lt;100,"试点：需独立验证","可进入独立验证"))))</f>
        <v/>
      </c>
      <c r="R7" s="3" t="inlineStr">
        <is>
          <t>不采用</t>
        </is>
      </c>
      <c r="S7" s="3" t="inlineStr"/>
    </row>
    <row r="8">
      <c r="A8" s="2" t="inlineStr">
        <is>
          <t>deception_disposition</t>
        </is>
      </c>
      <c r="B8" s="2" t="inlineStr">
        <is>
          <t>1.0.0</t>
        </is>
      </c>
      <c r="C8" s="2" t="inlineStr">
        <is>
          <t>mistaken_belief</t>
        </is>
      </c>
      <c r="D8" s="3" t="inlineStr"/>
      <c r="E8" s="6" t="n">
        <v>0.2</v>
      </c>
      <c r="F8" s="5">
        <f>IF($D8="","",COUNTIFS('原子事实记录'!$C$2:$C$2001,$D8,'原子事实记录'!$E$2:$E$2001,$A8,'原子事实记录'!$F$2:$F$2001,$B8,'原子事实记录'!$G$2:$G$2001,$C8,'原子事实记录'!$Q$2:$Q$2001,"是",'原子事实记录'!$M$2:$M$2001,"真"))</f>
        <v/>
      </c>
      <c r="G8" s="5">
        <f>IF($D8="","",COUNTIFS('原子事实记录'!$C$2:$C$2001,$D8,'原子事实记录'!$E$2:$E$2001,$A8,'原子事实记录'!$F$2:$F$2001,$B8,'原子事实记录'!$G$2:$G$2001,$C8,'原子事实记录'!$Q$2:$Q$2001,"是",'原子事实记录'!$M$2:$M$2001,"假"))</f>
        <v/>
      </c>
      <c r="H8" s="5">
        <f>IF($D8="","",COUNTIFS('原子事实记录'!$C$2:$C$2001,$D8,'原子事实记录'!$E$2:$E$2001,$A8,'原子事实记录'!$F$2:$F$2001,$B8,'原子事实记录'!$G$2:$G$2001,$C8,'原子事实记录'!$Q$2:$Q$2001,"是",'原子事实记录'!$M$2:$M$2001,"未知"))</f>
        <v/>
      </c>
      <c r="I8" s="5">
        <f>IF($D8="","",F8+G8)</f>
        <v/>
      </c>
      <c r="J8" s="3" t="n">
        <v>1</v>
      </c>
      <c r="K8" s="3" t="n">
        <v>1</v>
      </c>
      <c r="L8" s="5">
        <f>IF(OR(J8="",F8=""),"",J8+F8)</f>
        <v/>
      </c>
      <c r="M8" s="5">
        <f>IF(OR(K8="",G8=""),"",K8+G8)</f>
        <v/>
      </c>
      <c r="N8" s="7">
        <f>IF(OR(L8="",M8=""),"",L8/(L8+M8))</f>
        <v/>
      </c>
      <c r="O8" s="7">
        <f>IF(N8="","",BETA.INV(0.025,L8,M8))</f>
        <v/>
      </c>
      <c r="P8" s="7">
        <f>IF(N8="","",BETA.INV(0.975,L8,M8))</f>
        <v/>
      </c>
      <c r="Q8" s="5">
        <f>IF(D8="","先填数据批次",IF(I8&lt;30,"样本太少：仅描述",IF(MIN(F8,G8)&lt;10,"类别失衡：不可发布",IF(I8&lt;100,"试点：需独立验证","可进入独立验证"))))</f>
        <v/>
      </c>
      <c r="R8" s="3" t="inlineStr">
        <is>
          <t>不采用</t>
        </is>
      </c>
      <c r="S8" s="3" t="inlineStr"/>
    </row>
    <row r="9">
      <c r="A9" s="2" t="inlineStr">
        <is>
          <t>deception_disposition</t>
        </is>
      </c>
      <c r="B9" s="2" t="inlineStr">
        <is>
          <t>1.0.0</t>
        </is>
      </c>
      <c r="C9" s="2" t="inlineStr">
        <is>
          <t>property_disposition</t>
        </is>
      </c>
      <c r="D9" s="3" t="inlineStr"/>
      <c r="E9" s="6" t="n">
        <v>0.2</v>
      </c>
      <c r="F9" s="5">
        <f>IF($D9="","",COUNTIFS('原子事实记录'!$C$2:$C$2001,$D9,'原子事实记录'!$E$2:$E$2001,$A9,'原子事实记录'!$F$2:$F$2001,$B9,'原子事实记录'!$G$2:$G$2001,$C9,'原子事实记录'!$Q$2:$Q$2001,"是",'原子事实记录'!$M$2:$M$2001,"真"))</f>
        <v/>
      </c>
      <c r="G9" s="5">
        <f>IF($D9="","",COUNTIFS('原子事实记录'!$C$2:$C$2001,$D9,'原子事实记录'!$E$2:$E$2001,$A9,'原子事实记录'!$F$2:$F$2001,$B9,'原子事实记录'!$G$2:$G$2001,$C9,'原子事实记录'!$Q$2:$Q$2001,"是",'原子事实记录'!$M$2:$M$2001,"假"))</f>
        <v/>
      </c>
      <c r="H9" s="5">
        <f>IF($D9="","",COUNTIFS('原子事实记录'!$C$2:$C$2001,$D9,'原子事实记录'!$E$2:$E$2001,$A9,'原子事实记录'!$F$2:$F$2001,$B9,'原子事实记录'!$G$2:$G$2001,$C9,'原子事实记录'!$Q$2:$Q$2001,"是",'原子事实记录'!$M$2:$M$2001,"未知"))</f>
        <v/>
      </c>
      <c r="I9" s="5">
        <f>IF($D9="","",F9+G9)</f>
        <v/>
      </c>
      <c r="J9" s="3" t="n">
        <v>1</v>
      </c>
      <c r="K9" s="3" t="n">
        <v>1</v>
      </c>
      <c r="L9" s="5">
        <f>IF(OR(J9="",F9=""),"",J9+F9)</f>
        <v/>
      </c>
      <c r="M9" s="5">
        <f>IF(OR(K9="",G9=""),"",K9+G9)</f>
        <v/>
      </c>
      <c r="N9" s="7">
        <f>IF(OR(L9="",M9=""),"",L9/(L9+M9))</f>
        <v/>
      </c>
      <c r="O9" s="7">
        <f>IF(N9="","",BETA.INV(0.025,L9,M9))</f>
        <v/>
      </c>
      <c r="P9" s="7">
        <f>IF(N9="","",BETA.INV(0.975,L9,M9))</f>
        <v/>
      </c>
      <c r="Q9" s="5">
        <f>IF(D9="","先填数据批次",IF(I9&lt;30,"样本太少：仅描述",IF(MIN(F9,G9)&lt;10,"类别失衡：不可发布",IF(I9&lt;100,"试点：需独立验证","可进入独立验证"))))</f>
        <v/>
      </c>
      <c r="R9" s="3" t="inlineStr">
        <is>
          <t>不采用</t>
        </is>
      </c>
      <c r="S9" s="3" t="inlineStr"/>
    </row>
    <row r="10">
      <c r="A10" s="2" t="inlineStr">
        <is>
          <t>deception_disposition</t>
        </is>
      </c>
      <c r="B10" s="2" t="inlineStr">
        <is>
          <t>1.0.0</t>
        </is>
      </c>
      <c r="C10" s="2" t="inlineStr">
        <is>
          <t>property_loss</t>
        </is>
      </c>
      <c r="D10" s="3" t="inlineStr"/>
      <c r="E10" s="6" t="n">
        <v>0.2</v>
      </c>
      <c r="F10" s="5">
        <f>IF($D10="","",COUNTIFS('原子事实记录'!$C$2:$C$2001,$D10,'原子事实记录'!$E$2:$E$2001,$A10,'原子事实记录'!$F$2:$F$2001,$B10,'原子事实记录'!$G$2:$G$2001,$C10,'原子事实记录'!$Q$2:$Q$2001,"是",'原子事实记录'!$M$2:$M$2001,"真"))</f>
        <v/>
      </c>
      <c r="G10" s="5">
        <f>IF($D10="","",COUNTIFS('原子事实记录'!$C$2:$C$2001,$D10,'原子事实记录'!$E$2:$E$2001,$A10,'原子事实记录'!$F$2:$F$2001,$B10,'原子事实记录'!$G$2:$G$2001,$C10,'原子事实记录'!$Q$2:$Q$2001,"是",'原子事实记录'!$M$2:$M$2001,"假"))</f>
        <v/>
      </c>
      <c r="H10" s="5">
        <f>IF($D10="","",COUNTIFS('原子事实记录'!$C$2:$C$2001,$D10,'原子事实记录'!$E$2:$E$2001,$A10,'原子事实记录'!$F$2:$F$2001,$B10,'原子事实记录'!$G$2:$G$2001,$C10,'原子事实记录'!$Q$2:$Q$2001,"是",'原子事实记录'!$M$2:$M$2001,"未知"))</f>
        <v/>
      </c>
      <c r="I10" s="5">
        <f>IF($D10="","",F10+G10)</f>
        <v/>
      </c>
      <c r="J10" s="3" t="n">
        <v>1</v>
      </c>
      <c r="K10" s="3" t="n">
        <v>1</v>
      </c>
      <c r="L10" s="5">
        <f>IF(OR(J10="",F10=""),"",J10+F10)</f>
        <v/>
      </c>
      <c r="M10" s="5">
        <f>IF(OR(K10="",G10=""),"",K10+G10)</f>
        <v/>
      </c>
      <c r="N10" s="7">
        <f>IF(OR(L10="",M10=""),"",L10/(L10+M10))</f>
        <v/>
      </c>
      <c r="O10" s="7">
        <f>IF(N10="","",BETA.INV(0.025,L10,M10))</f>
        <v/>
      </c>
      <c r="P10" s="7">
        <f>IF(N10="","",BETA.INV(0.975,L10,M10))</f>
        <v/>
      </c>
      <c r="Q10" s="5">
        <f>IF(D10="","先填数据批次",IF(I10&lt;30,"样本太少：仅描述",IF(MIN(F10,G10)&lt;10,"类别失衡：不可发布",IF(I10&lt;100,"试点：需独立验证","可进入独立验证"))))</f>
        <v/>
      </c>
      <c r="R10" s="3" t="inlineStr">
        <is>
          <t>不采用</t>
        </is>
      </c>
      <c r="S10" s="3" t="inlineStr"/>
    </row>
    <row r="11">
      <c r="A11" s="2" t="inlineStr">
        <is>
          <t>deception_disposition</t>
        </is>
      </c>
      <c r="B11" s="2" t="inlineStr">
        <is>
          <t>1.0.0</t>
        </is>
      </c>
      <c r="C11" s="2" t="inlineStr">
        <is>
          <t>alternative_explanation</t>
        </is>
      </c>
      <c r="D11" s="3" t="inlineStr"/>
      <c r="E11" s="6" t="n">
        <v>0.2</v>
      </c>
      <c r="F11" s="5">
        <f>IF($D11="","",COUNTIFS('原子事实记录'!$C$2:$C$2001,$D11,'原子事实记录'!$E$2:$E$2001,$A11,'原子事实记录'!$F$2:$F$2001,$B11,'原子事实记录'!$G$2:$G$2001,$C11,'原子事实记录'!$Q$2:$Q$2001,"是",'原子事实记录'!$M$2:$M$2001,"真"))</f>
        <v/>
      </c>
      <c r="G11" s="5">
        <f>IF($D11="","",COUNTIFS('原子事实记录'!$C$2:$C$2001,$D11,'原子事实记录'!$E$2:$E$2001,$A11,'原子事实记录'!$F$2:$F$2001,$B11,'原子事实记录'!$G$2:$G$2001,$C11,'原子事实记录'!$Q$2:$Q$2001,"是",'原子事实记录'!$M$2:$M$2001,"假"))</f>
        <v/>
      </c>
      <c r="H11" s="5">
        <f>IF($D11="","",COUNTIFS('原子事实记录'!$C$2:$C$2001,$D11,'原子事实记录'!$E$2:$E$2001,$A11,'原子事实记录'!$F$2:$F$2001,$B11,'原子事实记录'!$G$2:$G$2001,$C11,'原子事实记录'!$Q$2:$Q$2001,"是",'原子事实记录'!$M$2:$M$2001,"未知"))</f>
        <v/>
      </c>
      <c r="I11" s="5">
        <f>IF($D11="","",F11+G11)</f>
        <v/>
      </c>
      <c r="J11" s="3" t="n">
        <v>1</v>
      </c>
      <c r="K11" s="3" t="n">
        <v>1</v>
      </c>
      <c r="L11" s="5">
        <f>IF(OR(J11="",F11=""),"",J11+F11)</f>
        <v/>
      </c>
      <c r="M11" s="5">
        <f>IF(OR(K11="",G11=""),"",K11+G11)</f>
        <v/>
      </c>
      <c r="N11" s="7">
        <f>IF(OR(L11="",M11=""),"",L11/(L11+M11))</f>
        <v/>
      </c>
      <c r="O11" s="7">
        <f>IF(N11="","",BETA.INV(0.025,L11,M11))</f>
        <v/>
      </c>
      <c r="P11" s="7">
        <f>IF(N11="","",BETA.INV(0.975,L11,M11))</f>
        <v/>
      </c>
      <c r="Q11" s="5">
        <f>IF(D11="","先填数据批次",IF(I11&lt;30,"样本太少：仅描述",IF(MIN(F11,G11)&lt;10,"类别失衡：不可发布",IF(I11&lt;100,"试点：需独立验证","可进入独立验证"))))</f>
        <v/>
      </c>
      <c r="R11" s="3" t="inlineStr">
        <is>
          <t>不采用</t>
        </is>
      </c>
      <c r="S11" s="3" t="inlineStr"/>
    </row>
    <row r="12">
      <c r="A12" s="2" t="inlineStr">
        <is>
          <t>property_taking</t>
        </is>
      </c>
      <c r="B12" s="2" t="inlineStr">
        <is>
          <t>1</t>
        </is>
      </c>
      <c r="C12" s="2" t="inlineStr">
        <is>
          <t>prior_possession</t>
        </is>
      </c>
      <c r="D12" s="3" t="inlineStr"/>
      <c r="E12" s="6" t="n">
        <v>0.2</v>
      </c>
      <c r="F12" s="5">
        <f>IF($D12="","",COUNTIFS('原子事实记录'!$C$2:$C$2001,$D12,'原子事实记录'!$E$2:$E$2001,$A12,'原子事实记录'!$F$2:$F$2001,$B12,'原子事实记录'!$G$2:$G$2001,$C12,'原子事实记录'!$Q$2:$Q$2001,"是",'原子事实记录'!$M$2:$M$2001,"真"))</f>
        <v/>
      </c>
      <c r="G12" s="5">
        <f>IF($D12="","",COUNTIFS('原子事实记录'!$C$2:$C$2001,$D12,'原子事实记录'!$E$2:$E$2001,$A12,'原子事实记录'!$F$2:$F$2001,$B12,'原子事实记录'!$G$2:$G$2001,$C12,'原子事实记录'!$Q$2:$Q$2001,"是",'原子事实记录'!$M$2:$M$2001,"假"))</f>
        <v/>
      </c>
      <c r="H12" s="5">
        <f>IF($D12="","",COUNTIFS('原子事实记录'!$C$2:$C$2001,$D12,'原子事实记录'!$E$2:$E$2001,$A12,'原子事实记录'!$F$2:$F$2001,$B12,'原子事实记录'!$G$2:$G$2001,$C12,'原子事实记录'!$Q$2:$Q$2001,"是",'原子事实记录'!$M$2:$M$2001,"未知"))</f>
        <v/>
      </c>
      <c r="I12" s="5">
        <f>IF($D12="","",F12+G12)</f>
        <v/>
      </c>
      <c r="J12" s="3" t="n">
        <v>1</v>
      </c>
      <c r="K12" s="3" t="n">
        <v>1</v>
      </c>
      <c r="L12" s="5">
        <f>IF(OR(J12="",F12=""),"",J12+F12)</f>
        <v/>
      </c>
      <c r="M12" s="5">
        <f>IF(OR(K12="",G12=""),"",K12+G12)</f>
        <v/>
      </c>
      <c r="N12" s="7">
        <f>IF(OR(L12="",M12=""),"",L12/(L12+M12))</f>
        <v/>
      </c>
      <c r="O12" s="7">
        <f>IF(N12="","",BETA.INV(0.025,L12,M12))</f>
        <v/>
      </c>
      <c r="P12" s="7">
        <f>IF(N12="","",BETA.INV(0.975,L12,M12))</f>
        <v/>
      </c>
      <c r="Q12" s="5">
        <f>IF(D12="","先填数据批次",IF(I12&lt;30,"样本太少：仅描述",IF(MIN(F12,G12)&lt;10,"类别失衡：不可发布",IF(I12&lt;100,"试点：需独立验证","可进入独立验证"))))</f>
        <v/>
      </c>
      <c r="R12" s="3" t="inlineStr">
        <is>
          <t>不采用</t>
        </is>
      </c>
      <c r="S12" s="3" t="inlineStr"/>
    </row>
    <row r="13">
      <c r="A13" s="2" t="inlineStr">
        <is>
          <t>property_taking</t>
        </is>
      </c>
      <c r="B13" s="2" t="inlineStr">
        <is>
          <t>1</t>
        </is>
      </c>
      <c r="C13" s="2" t="inlineStr">
        <is>
          <t>taking_action</t>
        </is>
      </c>
      <c r="D13" s="3" t="inlineStr"/>
      <c r="E13" s="6" t="n">
        <v>0.1</v>
      </c>
      <c r="F13" s="5">
        <f>IF($D13="","",COUNTIFS('原子事实记录'!$C$2:$C$2001,$D13,'原子事实记录'!$E$2:$E$2001,$A13,'原子事实记录'!$F$2:$F$2001,$B13,'原子事实记录'!$G$2:$G$2001,$C13,'原子事实记录'!$Q$2:$Q$2001,"是",'原子事实记录'!$M$2:$M$2001,"真"))</f>
        <v/>
      </c>
      <c r="G13" s="5">
        <f>IF($D13="","",COUNTIFS('原子事实记录'!$C$2:$C$2001,$D13,'原子事实记录'!$E$2:$E$2001,$A13,'原子事实记录'!$F$2:$F$2001,$B13,'原子事实记录'!$G$2:$G$2001,$C13,'原子事实记录'!$Q$2:$Q$2001,"是",'原子事实记录'!$M$2:$M$2001,"假"))</f>
        <v/>
      </c>
      <c r="H13" s="5">
        <f>IF($D13="","",COUNTIFS('原子事实记录'!$C$2:$C$2001,$D13,'原子事实记录'!$E$2:$E$2001,$A13,'原子事实记录'!$F$2:$F$2001,$B13,'原子事实记录'!$G$2:$G$2001,$C13,'原子事实记录'!$Q$2:$Q$2001,"是",'原子事实记录'!$M$2:$M$2001,"未知"))</f>
        <v/>
      </c>
      <c r="I13" s="5">
        <f>IF($D13="","",F13+G13)</f>
        <v/>
      </c>
      <c r="J13" s="3" t="n">
        <v>1</v>
      </c>
      <c r="K13" s="3" t="n">
        <v>1</v>
      </c>
      <c r="L13" s="5">
        <f>IF(OR(J13="",F13=""),"",J13+F13)</f>
        <v/>
      </c>
      <c r="M13" s="5">
        <f>IF(OR(K13="",G13=""),"",K13+G13)</f>
        <v/>
      </c>
      <c r="N13" s="7">
        <f>IF(OR(L13="",M13=""),"",L13/(L13+M13))</f>
        <v/>
      </c>
      <c r="O13" s="7">
        <f>IF(N13="","",BETA.INV(0.025,L13,M13))</f>
        <v/>
      </c>
      <c r="P13" s="7">
        <f>IF(N13="","",BETA.INV(0.975,L13,M13))</f>
        <v/>
      </c>
      <c r="Q13" s="5">
        <f>IF(D13="","先填数据批次",IF(I13&lt;30,"样本太少：仅描述",IF(MIN(F13,G13)&lt;10,"类别失衡：不可发布",IF(I13&lt;100,"试点：需独立验证","可进入独立验证"))))</f>
        <v/>
      </c>
      <c r="R13" s="3" t="inlineStr">
        <is>
          <t>不采用</t>
        </is>
      </c>
      <c r="S13" s="3" t="inlineStr"/>
    </row>
    <row r="14">
      <c r="A14" s="2" t="inlineStr">
        <is>
          <t>property_taking</t>
        </is>
      </c>
      <c r="B14" s="2" t="inlineStr">
        <is>
          <t>1</t>
        </is>
      </c>
      <c r="C14" s="2" t="inlineStr">
        <is>
          <t>possession_transfer</t>
        </is>
      </c>
      <c r="D14" s="3" t="inlineStr"/>
      <c r="E14" s="6" t="n">
        <v>0.1</v>
      </c>
      <c r="F14" s="5">
        <f>IF($D14="","",COUNTIFS('原子事实记录'!$C$2:$C$2001,$D14,'原子事实记录'!$E$2:$E$2001,$A14,'原子事实记录'!$F$2:$F$2001,$B14,'原子事实记录'!$G$2:$G$2001,$C14,'原子事实记录'!$Q$2:$Q$2001,"是",'原子事实记录'!$M$2:$M$2001,"真"))</f>
        <v/>
      </c>
      <c r="G14" s="5">
        <f>IF($D14="","",COUNTIFS('原子事实记录'!$C$2:$C$2001,$D14,'原子事实记录'!$E$2:$E$2001,$A14,'原子事实记录'!$F$2:$F$2001,$B14,'原子事实记录'!$G$2:$G$2001,$C14,'原子事实记录'!$Q$2:$Q$2001,"是",'原子事实记录'!$M$2:$M$2001,"假"))</f>
        <v/>
      </c>
      <c r="H14" s="5">
        <f>IF($D14="","",COUNTIFS('原子事实记录'!$C$2:$C$2001,$D14,'原子事实记录'!$E$2:$E$2001,$A14,'原子事实记录'!$F$2:$F$2001,$B14,'原子事实记录'!$G$2:$G$2001,$C14,'原子事实记录'!$Q$2:$Q$2001,"是",'原子事实记录'!$M$2:$M$2001,"未知"))</f>
        <v/>
      </c>
      <c r="I14" s="5">
        <f>IF($D14="","",F14+G14)</f>
        <v/>
      </c>
      <c r="J14" s="3" t="n">
        <v>1</v>
      </c>
      <c r="K14" s="3" t="n">
        <v>1</v>
      </c>
      <c r="L14" s="5">
        <f>IF(OR(J14="",F14=""),"",J14+F14)</f>
        <v/>
      </c>
      <c r="M14" s="5">
        <f>IF(OR(K14="",G14=""),"",K14+G14)</f>
        <v/>
      </c>
      <c r="N14" s="7">
        <f>IF(OR(L14="",M14=""),"",L14/(L14+M14))</f>
        <v/>
      </c>
      <c r="O14" s="7">
        <f>IF(N14="","",BETA.INV(0.025,L14,M14))</f>
        <v/>
      </c>
      <c r="P14" s="7">
        <f>IF(N14="","",BETA.INV(0.975,L14,M14))</f>
        <v/>
      </c>
      <c r="Q14" s="5">
        <f>IF(D14="","先填数据批次",IF(I14&lt;30,"样本太少：仅描述",IF(MIN(F14,G14)&lt;10,"类别失衡：不可发布",IF(I14&lt;100,"试点：需独立验证","可进入独立验证"))))</f>
        <v/>
      </c>
      <c r="R14" s="3" t="inlineStr">
        <is>
          <t>不采用</t>
        </is>
      </c>
      <c r="S14" s="3" t="inlineStr"/>
    </row>
    <row r="15">
      <c r="A15" s="2" t="inlineStr">
        <is>
          <t>property_taking</t>
        </is>
      </c>
      <c r="B15" s="2" t="inlineStr">
        <is>
          <t>1</t>
        </is>
      </c>
      <c r="C15" s="2" t="inlineStr">
        <is>
          <t>property_trace</t>
        </is>
      </c>
      <c r="D15" s="3" t="inlineStr"/>
      <c r="E15" s="6" t="n">
        <v>0.2</v>
      </c>
      <c r="F15" s="5">
        <f>IF($D15="","",COUNTIFS('原子事实记录'!$C$2:$C$2001,$D15,'原子事实记录'!$E$2:$E$2001,$A15,'原子事实记录'!$F$2:$F$2001,$B15,'原子事实记录'!$G$2:$G$2001,$C15,'原子事实记录'!$Q$2:$Q$2001,"是",'原子事实记录'!$M$2:$M$2001,"真"))</f>
        <v/>
      </c>
      <c r="G15" s="5">
        <f>IF($D15="","",COUNTIFS('原子事实记录'!$C$2:$C$2001,$D15,'原子事实记录'!$E$2:$E$2001,$A15,'原子事实记录'!$F$2:$F$2001,$B15,'原子事实记录'!$G$2:$G$2001,$C15,'原子事实记录'!$Q$2:$Q$2001,"是",'原子事实记录'!$M$2:$M$2001,"假"))</f>
        <v/>
      </c>
      <c r="H15" s="5">
        <f>IF($D15="","",COUNTIFS('原子事实记录'!$C$2:$C$2001,$D15,'原子事实记录'!$E$2:$E$2001,$A15,'原子事实记录'!$F$2:$F$2001,$B15,'原子事实记录'!$G$2:$G$2001,$C15,'原子事实记录'!$Q$2:$Q$2001,"是",'原子事实记录'!$M$2:$M$2001,"未知"))</f>
        <v/>
      </c>
      <c r="I15" s="5">
        <f>IF($D15="","",F15+G15)</f>
        <v/>
      </c>
      <c r="J15" s="3" t="n">
        <v>1</v>
      </c>
      <c r="K15" s="3" t="n">
        <v>1</v>
      </c>
      <c r="L15" s="5">
        <f>IF(OR(J15="",F15=""),"",J15+F15)</f>
        <v/>
      </c>
      <c r="M15" s="5">
        <f>IF(OR(K15="",G15=""),"",K15+G15)</f>
        <v/>
      </c>
      <c r="N15" s="7">
        <f>IF(OR(L15="",M15=""),"",L15/(L15+M15))</f>
        <v/>
      </c>
      <c r="O15" s="7">
        <f>IF(N15="","",BETA.INV(0.025,L15,M15))</f>
        <v/>
      </c>
      <c r="P15" s="7">
        <f>IF(N15="","",BETA.INV(0.975,L15,M15))</f>
        <v/>
      </c>
      <c r="Q15" s="5">
        <f>IF(D15="","先填数据批次",IF(I15&lt;30,"样本太少：仅描述",IF(MIN(F15,G15)&lt;10,"类别失衡：不可发布",IF(I15&lt;100,"试点：需独立验证","可进入独立验证"))))</f>
        <v/>
      </c>
      <c r="R15" s="3" t="inlineStr">
        <is>
          <t>不采用</t>
        </is>
      </c>
      <c r="S15" s="3" t="inlineStr"/>
    </row>
    <row r="16">
      <c r="A16" s="2" t="inlineStr">
        <is>
          <t>property_taking</t>
        </is>
      </c>
      <c r="B16" s="2" t="inlineStr">
        <is>
          <t>1</t>
        </is>
      </c>
      <c r="C16" s="2" t="inlineStr">
        <is>
          <t>alternative_explanation</t>
        </is>
      </c>
      <c r="D16" s="3" t="inlineStr"/>
      <c r="E16" s="6" t="n">
        <v>0.2</v>
      </c>
      <c r="F16" s="5">
        <f>IF($D16="","",COUNTIFS('原子事实记录'!$C$2:$C$2001,$D16,'原子事实记录'!$E$2:$E$2001,$A16,'原子事实记录'!$F$2:$F$2001,$B16,'原子事实记录'!$G$2:$G$2001,$C16,'原子事实记录'!$Q$2:$Q$2001,"是",'原子事实记录'!$M$2:$M$2001,"真"))</f>
        <v/>
      </c>
      <c r="G16" s="5">
        <f>IF($D16="","",COUNTIFS('原子事实记录'!$C$2:$C$2001,$D16,'原子事实记录'!$E$2:$E$2001,$A16,'原子事实记录'!$F$2:$F$2001,$B16,'原子事实记录'!$G$2:$G$2001,$C16,'原子事实记录'!$Q$2:$Q$2001,"是",'原子事实记录'!$M$2:$M$2001,"假"))</f>
        <v/>
      </c>
      <c r="H16" s="5">
        <f>IF($D16="","",COUNTIFS('原子事实记录'!$C$2:$C$2001,$D16,'原子事实记录'!$E$2:$E$2001,$A16,'原子事实记录'!$F$2:$F$2001,$B16,'原子事实记录'!$G$2:$G$2001,$C16,'原子事实记录'!$Q$2:$Q$2001,"是",'原子事实记录'!$M$2:$M$2001,"未知"))</f>
        <v/>
      </c>
      <c r="I16" s="5">
        <f>IF($D16="","",F16+G16)</f>
        <v/>
      </c>
      <c r="J16" s="3" t="n">
        <v>1</v>
      </c>
      <c r="K16" s="3" t="n">
        <v>1</v>
      </c>
      <c r="L16" s="5">
        <f>IF(OR(J16="",F16=""),"",J16+F16)</f>
        <v/>
      </c>
      <c r="M16" s="5">
        <f>IF(OR(K16="",G16=""),"",K16+G16)</f>
        <v/>
      </c>
      <c r="N16" s="7">
        <f>IF(OR(L16="",M16=""),"",L16/(L16+M16))</f>
        <v/>
      </c>
      <c r="O16" s="7">
        <f>IF(N16="","",BETA.INV(0.025,L16,M16))</f>
        <v/>
      </c>
      <c r="P16" s="7">
        <f>IF(N16="","",BETA.INV(0.975,L16,M16))</f>
        <v/>
      </c>
      <c r="Q16" s="5">
        <f>IF(D16="","先填数据批次",IF(I16&lt;30,"样本太少：仅描述",IF(MIN(F16,G16)&lt;10,"类别失衡：不可发布",IF(I16&lt;100,"试点：需独立验证","可进入独立验证"))))</f>
        <v/>
      </c>
      <c r="R16" s="3" t="inlineStr">
        <is>
          <t>不采用</t>
        </is>
      </c>
      <c r="S16" s="3" t="inlineStr"/>
    </row>
    <row r="17">
      <c r="A17" s="2" t="inlineStr">
        <is>
          <t>public_order</t>
        </is>
      </c>
      <c r="B17" s="2" t="inlineStr">
        <is>
          <t>1</t>
        </is>
      </c>
      <c r="C17" s="2" t="inlineStr">
        <is>
          <t>conduct</t>
        </is>
      </c>
      <c r="D17" s="3" t="inlineStr"/>
      <c r="E17" s="6" t="n">
        <v>0.2</v>
      </c>
      <c r="F17" s="5">
        <f>IF($D17="","",COUNTIFS('原子事实记录'!$C$2:$C$2001,$D17,'原子事实记录'!$E$2:$E$2001,$A17,'原子事实记录'!$F$2:$F$2001,$B17,'原子事实记录'!$G$2:$G$2001,$C17,'原子事实记录'!$Q$2:$Q$2001,"是",'原子事实记录'!$M$2:$M$2001,"真"))</f>
        <v/>
      </c>
      <c r="G17" s="5">
        <f>IF($D17="","",COUNTIFS('原子事实记录'!$C$2:$C$2001,$D17,'原子事实记录'!$E$2:$E$2001,$A17,'原子事实记录'!$F$2:$F$2001,$B17,'原子事实记录'!$G$2:$G$2001,$C17,'原子事实记录'!$Q$2:$Q$2001,"是",'原子事实记录'!$M$2:$M$2001,"假"))</f>
        <v/>
      </c>
      <c r="H17" s="5">
        <f>IF($D17="","",COUNTIFS('原子事实记录'!$C$2:$C$2001,$D17,'原子事实记录'!$E$2:$E$2001,$A17,'原子事实记录'!$F$2:$F$2001,$B17,'原子事实记录'!$G$2:$G$2001,$C17,'原子事实记录'!$Q$2:$Q$2001,"是",'原子事实记录'!$M$2:$M$2001,"未知"))</f>
        <v/>
      </c>
      <c r="I17" s="5">
        <f>IF($D17="","",F17+G17)</f>
        <v/>
      </c>
      <c r="J17" s="3" t="n">
        <v>1</v>
      </c>
      <c r="K17" s="3" t="n">
        <v>1</v>
      </c>
      <c r="L17" s="5">
        <f>IF(OR(J17="",F17=""),"",J17+F17)</f>
        <v/>
      </c>
      <c r="M17" s="5">
        <f>IF(OR(K17="",G17=""),"",K17+G17)</f>
        <v/>
      </c>
      <c r="N17" s="7">
        <f>IF(OR(L17="",M17=""),"",L17/(L17+M17))</f>
        <v/>
      </c>
      <c r="O17" s="7">
        <f>IF(N17="","",BETA.INV(0.025,L17,M17))</f>
        <v/>
      </c>
      <c r="P17" s="7">
        <f>IF(N17="","",BETA.INV(0.975,L17,M17))</f>
        <v/>
      </c>
      <c r="Q17" s="5">
        <f>IF(D17="","先填数据批次",IF(I17&lt;30,"样本太少：仅描述",IF(MIN(F17,G17)&lt;10,"类别失衡：不可发布",IF(I17&lt;100,"试点：需独立验证","可进入独立验证"))))</f>
        <v/>
      </c>
      <c r="R17" s="3" t="inlineStr">
        <is>
          <t>不采用</t>
        </is>
      </c>
      <c r="S17" s="3" t="inlineStr"/>
    </row>
    <row r="18">
      <c r="A18" s="2" t="inlineStr">
        <is>
          <t>public_order</t>
        </is>
      </c>
      <c r="B18" s="2" t="inlineStr">
        <is>
          <t>1</t>
        </is>
      </c>
      <c r="C18" s="2" t="inlineStr">
        <is>
          <t>public_context</t>
        </is>
      </c>
      <c r="D18" s="3" t="inlineStr"/>
      <c r="E18" s="6" t="n">
        <v>0.3</v>
      </c>
      <c r="F18" s="5">
        <f>IF($D18="","",COUNTIFS('原子事实记录'!$C$2:$C$2001,$D18,'原子事实记录'!$E$2:$E$2001,$A18,'原子事实记录'!$F$2:$F$2001,$B18,'原子事实记录'!$G$2:$G$2001,$C18,'原子事实记录'!$Q$2:$Q$2001,"是",'原子事实记录'!$M$2:$M$2001,"真"))</f>
        <v/>
      </c>
      <c r="G18" s="5">
        <f>IF($D18="","",COUNTIFS('原子事实记录'!$C$2:$C$2001,$D18,'原子事实记录'!$E$2:$E$2001,$A18,'原子事实记录'!$F$2:$F$2001,$B18,'原子事实记录'!$G$2:$G$2001,$C18,'原子事实记录'!$Q$2:$Q$2001,"是",'原子事实记录'!$M$2:$M$2001,"假"))</f>
        <v/>
      </c>
      <c r="H18" s="5">
        <f>IF($D18="","",COUNTIFS('原子事实记录'!$C$2:$C$2001,$D18,'原子事实记录'!$E$2:$E$2001,$A18,'原子事实记录'!$F$2:$F$2001,$B18,'原子事实记录'!$G$2:$G$2001,$C18,'原子事实记录'!$Q$2:$Q$2001,"是",'原子事实记录'!$M$2:$M$2001,"未知"))</f>
        <v/>
      </c>
      <c r="I18" s="5">
        <f>IF($D18="","",F18+G18)</f>
        <v/>
      </c>
      <c r="J18" s="3" t="n">
        <v>1</v>
      </c>
      <c r="K18" s="3" t="n">
        <v>1</v>
      </c>
      <c r="L18" s="5">
        <f>IF(OR(J18="",F18=""),"",J18+F18)</f>
        <v/>
      </c>
      <c r="M18" s="5">
        <f>IF(OR(K18="",G18=""),"",K18+G18)</f>
        <v/>
      </c>
      <c r="N18" s="7">
        <f>IF(OR(L18="",M18=""),"",L18/(L18+M18))</f>
        <v/>
      </c>
      <c r="O18" s="7">
        <f>IF(N18="","",BETA.INV(0.025,L18,M18))</f>
        <v/>
      </c>
      <c r="P18" s="7">
        <f>IF(N18="","",BETA.INV(0.975,L18,M18))</f>
        <v/>
      </c>
      <c r="Q18" s="5">
        <f>IF(D18="","先填数据批次",IF(I18&lt;30,"样本太少：仅描述",IF(MIN(F18,G18)&lt;10,"类别失衡：不可发布",IF(I18&lt;100,"试点：需独立验证","可进入独立验证"))))</f>
        <v/>
      </c>
      <c r="R18" s="3" t="inlineStr">
        <is>
          <t>不采用</t>
        </is>
      </c>
      <c r="S18" s="3" t="inlineStr"/>
    </row>
    <row r="19">
      <c r="A19" s="2" t="inlineStr">
        <is>
          <t>public_order</t>
        </is>
      </c>
      <c r="B19" s="2" t="inlineStr">
        <is>
          <t>1</t>
        </is>
      </c>
      <c r="C19" s="2" t="inlineStr">
        <is>
          <t>operational_impact</t>
        </is>
      </c>
      <c r="D19" s="3" t="inlineStr"/>
      <c r="E19" s="6" t="n">
        <v>0.15</v>
      </c>
      <c r="F19" s="5">
        <f>IF($D19="","",COUNTIFS('原子事实记录'!$C$2:$C$2001,$D19,'原子事实记录'!$E$2:$E$2001,$A19,'原子事实记录'!$F$2:$F$2001,$B19,'原子事实记录'!$G$2:$G$2001,$C19,'原子事实记录'!$Q$2:$Q$2001,"是",'原子事实记录'!$M$2:$M$2001,"真"))</f>
        <v/>
      </c>
      <c r="G19" s="5">
        <f>IF($D19="","",COUNTIFS('原子事实记录'!$C$2:$C$2001,$D19,'原子事实记录'!$E$2:$E$2001,$A19,'原子事实记录'!$F$2:$F$2001,$B19,'原子事实记录'!$G$2:$G$2001,$C19,'原子事实记录'!$Q$2:$Q$2001,"是",'原子事实记录'!$M$2:$M$2001,"假"))</f>
        <v/>
      </c>
      <c r="H19" s="5">
        <f>IF($D19="","",COUNTIFS('原子事实记录'!$C$2:$C$2001,$D19,'原子事实记录'!$E$2:$E$2001,$A19,'原子事实记录'!$F$2:$F$2001,$B19,'原子事实记录'!$G$2:$G$2001,$C19,'原子事实记录'!$Q$2:$Q$2001,"是",'原子事实记录'!$M$2:$M$2001,"未知"))</f>
        <v/>
      </c>
      <c r="I19" s="5">
        <f>IF($D19="","",F19+G19)</f>
        <v/>
      </c>
      <c r="J19" s="3" t="n">
        <v>1</v>
      </c>
      <c r="K19" s="3" t="n">
        <v>1</v>
      </c>
      <c r="L19" s="5">
        <f>IF(OR(J19="",F19=""),"",J19+F19)</f>
        <v/>
      </c>
      <c r="M19" s="5">
        <f>IF(OR(K19="",G19=""),"",K19+G19)</f>
        <v/>
      </c>
      <c r="N19" s="7">
        <f>IF(OR(L19="",M19=""),"",L19/(L19+M19))</f>
        <v/>
      </c>
      <c r="O19" s="7">
        <f>IF(N19="","",BETA.INV(0.025,L19,M19))</f>
        <v/>
      </c>
      <c r="P19" s="7">
        <f>IF(N19="","",BETA.INV(0.975,L19,M19))</f>
        <v/>
      </c>
      <c r="Q19" s="5">
        <f>IF(D19="","先填数据批次",IF(I19&lt;30,"样本太少：仅描述",IF(MIN(F19,G19)&lt;10,"类别失衡：不可发布",IF(I19&lt;100,"试点：需独立验证","可进入独立验证"))))</f>
        <v/>
      </c>
      <c r="R19" s="3" t="inlineStr">
        <is>
          <t>不采用</t>
        </is>
      </c>
      <c r="S19" s="3" t="inlineStr"/>
    </row>
    <row r="20">
      <c r="A20" s="2" t="inlineStr">
        <is>
          <t>public_order</t>
        </is>
      </c>
      <c r="B20" s="2" t="inlineStr">
        <is>
          <t>1</t>
        </is>
      </c>
      <c r="C20" s="2" t="inlineStr">
        <is>
          <t>persistence_or_group</t>
        </is>
      </c>
      <c r="D20" s="3" t="inlineStr"/>
      <c r="E20" s="6" t="n">
        <v>0.15</v>
      </c>
      <c r="F20" s="5">
        <f>IF($D20="","",COUNTIFS('原子事实记录'!$C$2:$C$2001,$D20,'原子事实记录'!$E$2:$E$2001,$A20,'原子事实记录'!$F$2:$F$2001,$B20,'原子事实记录'!$G$2:$G$2001,$C20,'原子事实记录'!$Q$2:$Q$2001,"是",'原子事实记录'!$M$2:$M$2001,"真"))</f>
        <v/>
      </c>
      <c r="G20" s="5">
        <f>IF($D20="","",COUNTIFS('原子事实记录'!$C$2:$C$2001,$D20,'原子事实记录'!$E$2:$E$2001,$A20,'原子事实记录'!$F$2:$F$2001,$B20,'原子事实记录'!$G$2:$G$2001,$C20,'原子事实记录'!$Q$2:$Q$2001,"是",'原子事实记录'!$M$2:$M$2001,"假"))</f>
        <v/>
      </c>
      <c r="H20" s="5">
        <f>IF($D20="","",COUNTIFS('原子事实记录'!$C$2:$C$2001,$D20,'原子事实记录'!$E$2:$E$2001,$A20,'原子事实记录'!$F$2:$F$2001,$B20,'原子事实记录'!$G$2:$G$2001,$C20,'原子事实记录'!$Q$2:$Q$2001,"是",'原子事实记录'!$M$2:$M$2001,"未知"))</f>
        <v/>
      </c>
      <c r="I20" s="5">
        <f>IF($D20="","",F20+G20)</f>
        <v/>
      </c>
      <c r="J20" s="3" t="n">
        <v>1</v>
      </c>
      <c r="K20" s="3" t="n">
        <v>1</v>
      </c>
      <c r="L20" s="5">
        <f>IF(OR(J20="",F20=""),"",J20+F20)</f>
        <v/>
      </c>
      <c r="M20" s="5">
        <f>IF(OR(K20="",G20=""),"",K20+G20)</f>
        <v/>
      </c>
      <c r="N20" s="7">
        <f>IF(OR(L20="",M20=""),"",L20/(L20+M20))</f>
        <v/>
      </c>
      <c r="O20" s="7">
        <f>IF(N20="","",BETA.INV(0.025,L20,M20))</f>
        <v/>
      </c>
      <c r="P20" s="7">
        <f>IF(N20="","",BETA.INV(0.975,L20,M20))</f>
        <v/>
      </c>
      <c r="Q20" s="5">
        <f>IF(D20="","先填数据批次",IF(I20&lt;30,"样本太少：仅描述",IF(MIN(F20,G20)&lt;10,"类别失衡：不可发布",IF(I20&lt;100,"试点：需独立验证","可进入独立验证"))))</f>
        <v/>
      </c>
      <c r="R20" s="3" t="inlineStr">
        <is>
          <t>不采用</t>
        </is>
      </c>
      <c r="S20" s="3" t="inlineStr"/>
    </row>
    <row r="21">
      <c r="A21" s="2" t="inlineStr">
        <is>
          <t>public_safety</t>
        </is>
      </c>
      <c r="B21" s="2" t="inlineStr">
        <is>
          <t>1</t>
        </is>
      </c>
      <c r="C21" s="2" t="inlineStr">
        <is>
          <t>hazardous_conduct</t>
        </is>
      </c>
      <c r="D21" s="3" t="inlineStr"/>
      <c r="E21" s="6" t="n">
        <v>0.15</v>
      </c>
      <c r="F21" s="5">
        <f>IF($D21="","",COUNTIFS('原子事实记录'!$C$2:$C$2001,$D21,'原子事实记录'!$E$2:$E$2001,$A21,'原子事实记录'!$F$2:$F$2001,$B21,'原子事实记录'!$G$2:$G$2001,$C21,'原子事实记录'!$Q$2:$Q$2001,"是",'原子事实记录'!$M$2:$M$2001,"真"))</f>
        <v/>
      </c>
      <c r="G21" s="5">
        <f>IF($D21="","",COUNTIFS('原子事实记录'!$C$2:$C$2001,$D21,'原子事实记录'!$E$2:$E$2001,$A21,'原子事实记录'!$F$2:$F$2001,$B21,'原子事实记录'!$G$2:$G$2001,$C21,'原子事实记录'!$Q$2:$Q$2001,"是",'原子事实记录'!$M$2:$M$2001,"假"))</f>
        <v/>
      </c>
      <c r="H21" s="5">
        <f>IF($D21="","",COUNTIFS('原子事实记录'!$C$2:$C$2001,$D21,'原子事实记录'!$E$2:$E$2001,$A21,'原子事实记录'!$F$2:$F$2001,$B21,'原子事实记录'!$G$2:$G$2001,$C21,'原子事实记录'!$Q$2:$Q$2001,"是",'原子事实记录'!$M$2:$M$2001,"未知"))</f>
        <v/>
      </c>
      <c r="I21" s="5">
        <f>IF($D21="","",F21+G21)</f>
        <v/>
      </c>
      <c r="J21" s="3" t="n">
        <v>1</v>
      </c>
      <c r="K21" s="3" t="n">
        <v>1</v>
      </c>
      <c r="L21" s="5">
        <f>IF(OR(J21="",F21=""),"",J21+F21)</f>
        <v/>
      </c>
      <c r="M21" s="5">
        <f>IF(OR(K21="",G21=""),"",K21+G21)</f>
        <v/>
      </c>
      <c r="N21" s="7">
        <f>IF(OR(L21="",M21=""),"",L21/(L21+M21))</f>
        <v/>
      </c>
      <c r="O21" s="7">
        <f>IF(N21="","",BETA.INV(0.025,L21,M21))</f>
        <v/>
      </c>
      <c r="P21" s="7">
        <f>IF(N21="","",BETA.INV(0.975,L21,M21))</f>
        <v/>
      </c>
      <c r="Q21" s="5">
        <f>IF(D21="","先填数据批次",IF(I21&lt;30,"样本太少：仅描述",IF(MIN(F21,G21)&lt;10,"类别失衡：不可发布",IF(I21&lt;100,"试点：需独立验证","可进入独立验证"))))</f>
        <v/>
      </c>
      <c r="R21" s="3" t="inlineStr">
        <is>
          <t>不采用</t>
        </is>
      </c>
      <c r="S21" s="3" t="inlineStr"/>
    </row>
    <row r="22">
      <c r="A22" s="2" t="inlineStr">
        <is>
          <t>public_safety</t>
        </is>
      </c>
      <c r="B22" s="2" t="inlineStr">
        <is>
          <t>1</t>
        </is>
      </c>
      <c r="C22" s="2" t="inlineStr">
        <is>
          <t>dangerous_object_or_condition</t>
        </is>
      </c>
      <c r="D22" s="3" t="inlineStr"/>
      <c r="E22" s="6" t="n">
        <v>0.15</v>
      </c>
      <c r="F22" s="5">
        <f>IF($D22="","",COUNTIFS('原子事实记录'!$C$2:$C$2001,$D22,'原子事实记录'!$E$2:$E$2001,$A22,'原子事实记录'!$F$2:$F$2001,$B22,'原子事实记录'!$G$2:$G$2001,$C22,'原子事实记录'!$Q$2:$Q$2001,"是",'原子事实记录'!$M$2:$M$2001,"真"))</f>
        <v/>
      </c>
      <c r="G22" s="5">
        <f>IF($D22="","",COUNTIFS('原子事实记录'!$C$2:$C$2001,$D22,'原子事实记录'!$E$2:$E$2001,$A22,'原子事实记录'!$F$2:$F$2001,$B22,'原子事实记录'!$G$2:$G$2001,$C22,'原子事实记录'!$Q$2:$Q$2001,"是",'原子事实记录'!$M$2:$M$2001,"假"))</f>
        <v/>
      </c>
      <c r="H22" s="5">
        <f>IF($D22="","",COUNTIFS('原子事实记录'!$C$2:$C$2001,$D22,'原子事实记录'!$E$2:$E$2001,$A22,'原子事实记录'!$F$2:$F$2001,$B22,'原子事实记录'!$G$2:$G$2001,$C22,'原子事实记录'!$Q$2:$Q$2001,"是",'原子事实记录'!$M$2:$M$2001,"未知"))</f>
        <v/>
      </c>
      <c r="I22" s="5">
        <f>IF($D22="","",F22+G22)</f>
        <v/>
      </c>
      <c r="J22" s="3" t="n">
        <v>1</v>
      </c>
      <c r="K22" s="3" t="n">
        <v>1</v>
      </c>
      <c r="L22" s="5">
        <f>IF(OR(J22="",F22=""),"",J22+F22)</f>
        <v/>
      </c>
      <c r="M22" s="5">
        <f>IF(OR(K22="",G22=""),"",K22+G22)</f>
        <v/>
      </c>
      <c r="N22" s="7">
        <f>IF(OR(L22="",M22=""),"",L22/(L22+M22))</f>
        <v/>
      </c>
      <c r="O22" s="7">
        <f>IF(N22="","",BETA.INV(0.025,L22,M22))</f>
        <v/>
      </c>
      <c r="P22" s="7">
        <f>IF(N22="","",BETA.INV(0.975,L22,M22))</f>
        <v/>
      </c>
      <c r="Q22" s="5">
        <f>IF(D22="","先填数据批次",IF(I22&lt;30,"样本太少：仅描述",IF(MIN(F22,G22)&lt;10,"类别失衡：不可发布",IF(I22&lt;100,"试点：需独立验证","可进入独立验证"))))</f>
        <v/>
      </c>
      <c r="R22" s="3" t="inlineStr">
        <is>
          <t>不采用</t>
        </is>
      </c>
      <c r="S22" s="3" t="inlineStr"/>
    </row>
    <row r="23">
      <c r="A23" s="2" t="inlineStr">
        <is>
          <t>public_safety</t>
        </is>
      </c>
      <c r="B23" s="2" t="inlineStr">
        <is>
          <t>1</t>
        </is>
      </c>
      <c r="C23" s="2" t="inlineStr">
        <is>
          <t>exposure</t>
        </is>
      </c>
      <c r="D23" s="3" t="inlineStr"/>
      <c r="E23" s="6" t="n">
        <v>0.1</v>
      </c>
      <c r="F23" s="5">
        <f>IF($D23="","",COUNTIFS('原子事实记录'!$C$2:$C$2001,$D23,'原子事实记录'!$E$2:$E$2001,$A23,'原子事实记录'!$F$2:$F$2001,$B23,'原子事实记录'!$G$2:$G$2001,$C23,'原子事实记录'!$Q$2:$Q$2001,"是",'原子事实记录'!$M$2:$M$2001,"真"))</f>
        <v/>
      </c>
      <c r="G23" s="5">
        <f>IF($D23="","",COUNTIFS('原子事实记录'!$C$2:$C$2001,$D23,'原子事实记录'!$E$2:$E$2001,$A23,'原子事实记录'!$F$2:$F$2001,$B23,'原子事实记录'!$G$2:$G$2001,$C23,'原子事实记录'!$Q$2:$Q$2001,"是",'原子事实记录'!$M$2:$M$2001,"假"))</f>
        <v/>
      </c>
      <c r="H23" s="5">
        <f>IF($D23="","",COUNTIFS('原子事实记录'!$C$2:$C$2001,$D23,'原子事实记录'!$E$2:$E$2001,$A23,'原子事实记录'!$F$2:$F$2001,$B23,'原子事实记录'!$G$2:$G$2001,$C23,'原子事实记录'!$Q$2:$Q$2001,"是",'原子事实记录'!$M$2:$M$2001,"未知"))</f>
        <v/>
      </c>
      <c r="I23" s="5">
        <f>IF($D23="","",F23+G23)</f>
        <v/>
      </c>
      <c r="J23" s="3" t="n">
        <v>1</v>
      </c>
      <c r="K23" s="3" t="n">
        <v>1</v>
      </c>
      <c r="L23" s="5">
        <f>IF(OR(J23="",F23=""),"",J23+F23)</f>
        <v/>
      </c>
      <c r="M23" s="5">
        <f>IF(OR(K23="",G23=""),"",K23+G23)</f>
        <v/>
      </c>
      <c r="N23" s="7">
        <f>IF(OR(L23="",M23=""),"",L23/(L23+M23))</f>
        <v/>
      </c>
      <c r="O23" s="7">
        <f>IF(N23="","",BETA.INV(0.025,L23,M23))</f>
        <v/>
      </c>
      <c r="P23" s="7">
        <f>IF(N23="","",BETA.INV(0.975,L23,M23))</f>
        <v/>
      </c>
      <c r="Q23" s="5">
        <f>IF(D23="","先填数据批次",IF(I23&lt;30,"样本太少：仅描述",IF(MIN(F23,G23)&lt;10,"类别失衡：不可发布",IF(I23&lt;100,"试点：需独立验证","可进入独立验证"))))</f>
        <v/>
      </c>
      <c r="R23" s="3" t="inlineStr">
        <is>
          <t>不采用</t>
        </is>
      </c>
      <c r="S23" s="3" t="inlineStr"/>
    </row>
    <row r="24">
      <c r="A24" s="2" t="inlineStr">
        <is>
          <t>public_safety</t>
        </is>
      </c>
      <c r="B24" s="2" t="inlineStr">
        <is>
          <t>1</t>
        </is>
      </c>
      <c r="C24" s="2" t="inlineStr">
        <is>
          <t>control_failure</t>
        </is>
      </c>
      <c r="D24" s="3" t="inlineStr"/>
      <c r="E24" s="6" t="n">
        <v>0.1</v>
      </c>
      <c r="F24" s="5">
        <f>IF($D24="","",COUNTIFS('原子事实记录'!$C$2:$C$2001,$D24,'原子事实记录'!$E$2:$E$2001,$A24,'原子事实记录'!$F$2:$F$2001,$B24,'原子事实记录'!$G$2:$G$2001,$C24,'原子事实记录'!$Q$2:$Q$2001,"是",'原子事实记录'!$M$2:$M$2001,"真"))</f>
        <v/>
      </c>
      <c r="G24" s="5">
        <f>IF($D24="","",COUNTIFS('原子事实记录'!$C$2:$C$2001,$D24,'原子事实记录'!$E$2:$E$2001,$A24,'原子事实记录'!$F$2:$F$2001,$B24,'原子事实记录'!$G$2:$G$2001,$C24,'原子事实记录'!$Q$2:$Q$2001,"是",'原子事实记录'!$M$2:$M$2001,"假"))</f>
        <v/>
      </c>
      <c r="H24" s="5">
        <f>IF($D24="","",COUNTIFS('原子事实记录'!$C$2:$C$2001,$D24,'原子事实记录'!$E$2:$E$2001,$A24,'原子事实记录'!$F$2:$F$2001,$B24,'原子事实记录'!$G$2:$G$2001,$C24,'原子事实记录'!$Q$2:$Q$2001,"是",'原子事实记录'!$M$2:$M$2001,"未知"))</f>
        <v/>
      </c>
      <c r="I24" s="5">
        <f>IF($D24="","",F24+G24)</f>
        <v/>
      </c>
      <c r="J24" s="3" t="n">
        <v>1</v>
      </c>
      <c r="K24" s="3" t="n">
        <v>1</v>
      </c>
      <c r="L24" s="5">
        <f>IF(OR(J24="",F24=""),"",J24+F24)</f>
        <v/>
      </c>
      <c r="M24" s="5">
        <f>IF(OR(K24="",G24=""),"",K24+G24)</f>
        <v/>
      </c>
      <c r="N24" s="7">
        <f>IF(OR(L24="",M24=""),"",L24/(L24+M24))</f>
        <v/>
      </c>
      <c r="O24" s="7">
        <f>IF(N24="","",BETA.INV(0.025,L24,M24))</f>
        <v/>
      </c>
      <c r="P24" s="7">
        <f>IF(N24="","",BETA.INV(0.975,L24,M24))</f>
        <v/>
      </c>
      <c r="Q24" s="5">
        <f>IF(D24="","先填数据批次",IF(I24&lt;30,"样本太少：仅描述",IF(MIN(F24,G24)&lt;10,"类别失衡：不可发布",IF(I24&lt;100,"试点：需独立验证","可进入独立验证"))))</f>
        <v/>
      </c>
      <c r="R24" s="3" t="inlineStr">
        <is>
          <t>不采用</t>
        </is>
      </c>
      <c r="S24" s="3" t="inlineStr"/>
    </row>
    <row r="25">
      <c r="A25" s="2" t="inlineStr">
        <is>
          <t>status_duty</t>
        </is>
      </c>
      <c r="B25" s="2" t="inlineStr">
        <is>
          <t>1</t>
        </is>
      </c>
      <c r="C25" s="2" t="inlineStr">
        <is>
          <t>qualification_record_present</t>
        </is>
      </c>
      <c r="D25" s="3" t="inlineStr"/>
      <c r="E25" s="6" t="n">
        <v>0.2</v>
      </c>
      <c r="F25" s="5">
        <f>IF($D25="","",COUNTIFS('原子事实记录'!$C$2:$C$2001,$D25,'原子事实记录'!$E$2:$E$2001,$A25,'原子事实记录'!$F$2:$F$2001,$B25,'原子事实记录'!$G$2:$G$2001,$C25,'原子事实记录'!$Q$2:$Q$2001,"是",'原子事实记录'!$M$2:$M$2001,"真"))</f>
        <v/>
      </c>
      <c r="G25" s="5">
        <f>IF($D25="","",COUNTIFS('原子事实记录'!$C$2:$C$2001,$D25,'原子事实记录'!$E$2:$E$2001,$A25,'原子事实记录'!$F$2:$F$2001,$B25,'原子事实记录'!$G$2:$G$2001,$C25,'原子事实记录'!$Q$2:$Q$2001,"是",'原子事实记录'!$M$2:$M$2001,"假"))</f>
        <v/>
      </c>
      <c r="H25" s="5">
        <f>IF($D25="","",COUNTIFS('原子事实记录'!$C$2:$C$2001,$D25,'原子事实记录'!$E$2:$E$2001,$A25,'原子事实记录'!$F$2:$F$2001,$B25,'原子事实记录'!$G$2:$G$2001,$C25,'原子事实记录'!$Q$2:$Q$2001,"是",'原子事实记录'!$M$2:$M$2001,"未知"))</f>
        <v/>
      </c>
      <c r="I25" s="5">
        <f>IF($D25="","",F25+G25)</f>
        <v/>
      </c>
      <c r="J25" s="3" t="n">
        <v>1</v>
      </c>
      <c r="K25" s="3" t="n">
        <v>1</v>
      </c>
      <c r="L25" s="5">
        <f>IF(OR(J25="",F25=""),"",J25+F25)</f>
        <v/>
      </c>
      <c r="M25" s="5">
        <f>IF(OR(K25="",G25=""),"",K25+G25)</f>
        <v/>
      </c>
      <c r="N25" s="7">
        <f>IF(OR(L25="",M25=""),"",L25/(L25+M25))</f>
        <v/>
      </c>
      <c r="O25" s="7">
        <f>IF(N25="","",BETA.INV(0.025,L25,M25))</f>
        <v/>
      </c>
      <c r="P25" s="7">
        <f>IF(N25="","",BETA.INV(0.975,L25,M25))</f>
        <v/>
      </c>
      <c r="Q25" s="5">
        <f>IF(D25="","先填数据批次",IF(I25&lt;30,"样本太少：仅描述",IF(MIN(F25,G25)&lt;10,"类别失衡：不可发布",IF(I25&lt;100,"试点：需独立验证","可进入独立验证"))))</f>
        <v/>
      </c>
      <c r="R25" s="3" t="inlineStr">
        <is>
          <t>不采用</t>
        </is>
      </c>
      <c r="S25" s="3" t="inlineStr"/>
    </row>
    <row r="26">
      <c r="A26" s="2" t="inlineStr">
        <is>
          <t>status_duty</t>
        </is>
      </c>
      <c r="B26" s="2" t="inlineStr">
        <is>
          <t>1</t>
        </is>
      </c>
      <c r="C26" s="2" t="inlineStr">
        <is>
          <t>duty_record_present</t>
        </is>
      </c>
      <c r="D26" s="3" t="inlineStr"/>
      <c r="E26" s="6" t="n">
        <v>0.2</v>
      </c>
      <c r="F26" s="5">
        <f>IF($D26="","",COUNTIFS('原子事实记录'!$C$2:$C$2001,$D26,'原子事实记录'!$E$2:$E$2001,$A26,'原子事实记录'!$F$2:$F$2001,$B26,'原子事实记录'!$G$2:$G$2001,$C26,'原子事实记录'!$Q$2:$Q$2001,"是",'原子事实记录'!$M$2:$M$2001,"真"))</f>
        <v/>
      </c>
      <c r="G26" s="5">
        <f>IF($D26="","",COUNTIFS('原子事实记录'!$C$2:$C$2001,$D26,'原子事实记录'!$E$2:$E$2001,$A26,'原子事实记录'!$F$2:$F$2001,$B26,'原子事实记录'!$G$2:$G$2001,$C26,'原子事实记录'!$Q$2:$Q$2001,"是",'原子事实记录'!$M$2:$M$2001,"假"))</f>
        <v/>
      </c>
      <c r="H26" s="5">
        <f>IF($D26="","",COUNTIFS('原子事实记录'!$C$2:$C$2001,$D26,'原子事实记录'!$E$2:$E$2001,$A26,'原子事实记录'!$F$2:$F$2001,$B26,'原子事实记录'!$G$2:$G$2001,$C26,'原子事实记录'!$Q$2:$Q$2001,"是",'原子事实记录'!$M$2:$M$2001,"未知"))</f>
        <v/>
      </c>
      <c r="I26" s="5">
        <f>IF($D26="","",F26+G26)</f>
        <v/>
      </c>
      <c r="J26" s="3" t="n">
        <v>1</v>
      </c>
      <c r="K26" s="3" t="n">
        <v>1</v>
      </c>
      <c r="L26" s="5">
        <f>IF(OR(J26="",F26=""),"",J26+F26)</f>
        <v/>
      </c>
      <c r="M26" s="5">
        <f>IF(OR(K26="",G26=""),"",K26+G26)</f>
        <v/>
      </c>
      <c r="N26" s="7">
        <f>IF(OR(L26="",M26=""),"",L26/(L26+M26))</f>
        <v/>
      </c>
      <c r="O26" s="7">
        <f>IF(N26="","",BETA.INV(0.025,L26,M26))</f>
        <v/>
      </c>
      <c r="P26" s="7">
        <f>IF(N26="","",BETA.INV(0.975,L26,M26))</f>
        <v/>
      </c>
      <c r="Q26" s="5">
        <f>IF(D26="","先填数据批次",IF(I26&lt;30,"样本太少：仅描述",IF(MIN(F26,G26)&lt;10,"类别失衡：不可发布",IF(I26&lt;100,"试点：需独立验证","可进入独立验证"))))</f>
        <v/>
      </c>
      <c r="R26" s="3" t="inlineStr">
        <is>
          <t>不采用</t>
        </is>
      </c>
      <c r="S26" s="3" t="inlineStr"/>
    </row>
    <row r="27">
      <c r="A27" s="2" t="inlineStr">
        <is>
          <t>status_duty</t>
        </is>
      </c>
      <c r="B27" s="2" t="inlineStr">
        <is>
          <t>1</t>
        </is>
      </c>
      <c r="C27" s="2" t="inlineStr">
        <is>
          <t>conduct_recorded</t>
        </is>
      </c>
      <c r="D27" s="3" t="inlineStr"/>
      <c r="E27" s="6" t="n">
        <v>0.1</v>
      </c>
      <c r="F27" s="5">
        <f>IF($D27="","",COUNTIFS('原子事实记录'!$C$2:$C$2001,$D27,'原子事实记录'!$E$2:$E$2001,$A27,'原子事实记录'!$F$2:$F$2001,$B27,'原子事实记录'!$G$2:$G$2001,$C27,'原子事实记录'!$Q$2:$Q$2001,"是",'原子事实记录'!$M$2:$M$2001,"真"))</f>
        <v/>
      </c>
      <c r="G27" s="5">
        <f>IF($D27="","",COUNTIFS('原子事实记录'!$C$2:$C$2001,$D27,'原子事实记录'!$E$2:$E$2001,$A27,'原子事实记录'!$F$2:$F$2001,$B27,'原子事实记录'!$G$2:$G$2001,$C27,'原子事实记录'!$Q$2:$Q$2001,"是",'原子事实记录'!$M$2:$M$2001,"假"))</f>
        <v/>
      </c>
      <c r="H27" s="5">
        <f>IF($D27="","",COUNTIFS('原子事实记录'!$C$2:$C$2001,$D27,'原子事实记录'!$E$2:$E$2001,$A27,'原子事实记录'!$F$2:$F$2001,$B27,'原子事实记录'!$G$2:$G$2001,$C27,'原子事实记录'!$Q$2:$Q$2001,"是",'原子事实记录'!$M$2:$M$2001,"未知"))</f>
        <v/>
      </c>
      <c r="I27" s="5">
        <f>IF($D27="","",F27+G27)</f>
        <v/>
      </c>
      <c r="J27" s="3" t="n">
        <v>1</v>
      </c>
      <c r="K27" s="3" t="n">
        <v>1</v>
      </c>
      <c r="L27" s="5">
        <f>IF(OR(J27="",F27=""),"",J27+F27)</f>
        <v/>
      </c>
      <c r="M27" s="5">
        <f>IF(OR(K27="",G27=""),"",K27+G27)</f>
        <v/>
      </c>
      <c r="N27" s="7">
        <f>IF(OR(L27="",M27=""),"",L27/(L27+M27))</f>
        <v/>
      </c>
      <c r="O27" s="7">
        <f>IF(N27="","",BETA.INV(0.025,L27,M27))</f>
        <v/>
      </c>
      <c r="P27" s="7">
        <f>IF(N27="","",BETA.INV(0.975,L27,M27))</f>
        <v/>
      </c>
      <c r="Q27" s="5">
        <f>IF(D27="","先填数据批次",IF(I27&lt;30,"样本太少：仅描述",IF(MIN(F27,G27)&lt;10,"类别失衡：不可发布",IF(I27&lt;100,"试点：需独立验证","可进入独立验证"))))</f>
        <v/>
      </c>
      <c r="R27" s="3" t="inlineStr">
        <is>
          <t>不采用</t>
        </is>
      </c>
      <c r="S27" s="3" t="inlineStr"/>
    </row>
    <row r="28">
      <c r="A28" s="2" t="inlineStr">
        <is>
          <t>status_duty</t>
        </is>
      </c>
      <c r="B28" s="2" t="inlineStr">
        <is>
          <t>1</t>
        </is>
      </c>
      <c r="C28" s="2" t="inlineStr">
        <is>
          <t>authorization_record_absent</t>
        </is>
      </c>
      <c r="D28" s="3" t="inlineStr"/>
      <c r="E28" s="6" t="n">
        <v>0.2</v>
      </c>
      <c r="F28" s="5">
        <f>IF($D28="","",COUNTIFS('原子事实记录'!$C$2:$C$2001,$D28,'原子事实记录'!$E$2:$E$2001,$A28,'原子事实记录'!$F$2:$F$2001,$B28,'原子事实记录'!$G$2:$G$2001,$C28,'原子事实记录'!$Q$2:$Q$2001,"是",'原子事实记录'!$M$2:$M$2001,"真"))</f>
        <v/>
      </c>
      <c r="G28" s="5">
        <f>IF($D28="","",COUNTIFS('原子事实记录'!$C$2:$C$2001,$D28,'原子事实记录'!$E$2:$E$2001,$A28,'原子事实记录'!$F$2:$F$2001,$B28,'原子事实记录'!$G$2:$G$2001,$C28,'原子事实记录'!$Q$2:$Q$2001,"是",'原子事实记录'!$M$2:$M$2001,"假"))</f>
        <v/>
      </c>
      <c r="H28" s="5">
        <f>IF($D28="","",COUNTIFS('原子事实记录'!$C$2:$C$2001,$D28,'原子事实记录'!$E$2:$E$2001,$A28,'原子事实记录'!$F$2:$F$2001,$B28,'原子事实记录'!$G$2:$G$2001,$C28,'原子事实记录'!$Q$2:$Q$2001,"是",'原子事实记录'!$M$2:$M$2001,"未知"))</f>
        <v/>
      </c>
      <c r="I28" s="5">
        <f>IF($D28="","",F28+G28)</f>
        <v/>
      </c>
      <c r="J28" s="3" t="n">
        <v>1</v>
      </c>
      <c r="K28" s="3" t="n">
        <v>1</v>
      </c>
      <c r="L28" s="5">
        <f>IF(OR(J28="",F28=""),"",J28+F28)</f>
        <v/>
      </c>
      <c r="M28" s="5">
        <f>IF(OR(K28="",G28=""),"",K28+G28)</f>
        <v/>
      </c>
      <c r="N28" s="7">
        <f>IF(OR(L28="",M28=""),"",L28/(L28+M28))</f>
        <v/>
      </c>
      <c r="O28" s="7">
        <f>IF(N28="","",BETA.INV(0.025,L28,M28))</f>
        <v/>
      </c>
      <c r="P28" s="7">
        <f>IF(N28="","",BETA.INV(0.975,L28,M28))</f>
        <v/>
      </c>
      <c r="Q28" s="5">
        <f>IF(D28="","先填数据批次",IF(I28&lt;30,"样本太少：仅描述",IF(MIN(F28,G28)&lt;10,"类别失衡：不可发布",IF(I28&lt;100,"试点：需独立验证","可进入独立验证"))))</f>
        <v/>
      </c>
      <c r="R28" s="3" t="inlineStr">
        <is>
          <t>不采用</t>
        </is>
      </c>
      <c r="S28" s="3" t="inlineStr"/>
    </row>
  </sheetData>
  <autoFilter ref="A1:S28"/>
  <conditionalFormatting sqref="Q2:Q28">
    <cfRule type="expression" priority="1" dxfId="0">
      <formula>OR(ISNUMBER(SEARCH("样本",Q2)),ISNUMBER(SEARCH("不可",Q2)))</formula>
    </cfRule>
  </conditionalFormatting>
  <dataValidations count="1">
    <dataValidation sqref="R2:R28" showDropDown="0" showInputMessage="1" showErrorMessage="1" allowBlank="1" errorTitle="无效值" error="请从下拉列表选择，不要自行创造近义值。" promptTitle="填写提示" prompt="不得直接写回模型。" type="list">
      <formula1>=ParameterDecisions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AA84F"/>
    <outlinePr summaryBelow="1" summaryRight="1"/>
    <pageSetUpPr/>
  </sheetPr>
  <dimension ref="A1:W30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38" customWidth="1" min="8" max="8"/>
    <col width="38" customWidth="1" min="9" max="9"/>
    <col width="38" customWidth="1" min="10" max="10"/>
    <col width="38" customWidth="1" min="11" max="11"/>
    <col width="38" customWidth="1" min="12" max="12"/>
    <col width="12" customWidth="1" min="13" max="13"/>
    <col width="12" customWidth="1" min="14" max="14"/>
    <col width="38" customWidth="1" min="15" max="15"/>
    <col width="38" customWidth="1" min="16" max="16"/>
    <col width="38" customWidth="1" min="17" max="17"/>
    <col width="38" customWidth="1" min="18" max="18"/>
    <col width="38" customWidth="1" min="19" max="19"/>
    <col width="38" customWidth="1" min="20" max="20"/>
    <col width="38" customWidth="1" min="21" max="21"/>
    <col width="12" customWidth="1" min="22" max="22"/>
    <col width="12" customWidth="1" min="23" max="23"/>
  </cols>
  <sheetData>
    <row r="1" ht="34" customHeight="1">
      <c r="A1" s="1" t="inlineStr">
        <is>
          <t>模型ID</t>
        </is>
      </c>
      <c r="B1" s="1" t="inlineStr">
        <is>
          <t>模型版本</t>
        </is>
      </c>
      <c r="C1" s="1" t="inlineStr">
        <is>
          <t>节点/谓词</t>
        </is>
      </c>
      <c r="D1" s="1" t="inlineStr">
        <is>
          <t>数据批次</t>
        </is>
      </c>
      <c r="E1" s="1" t="inlineStr">
        <is>
          <t>来源类别</t>
        </is>
      </c>
      <c r="F1" s="1" t="inlineStr">
        <is>
          <t>来源角色</t>
        </is>
      </c>
      <c r="G1" s="1" t="inlineStr">
        <is>
          <t>指标类型</t>
        </is>
      </c>
      <c r="H1" s="1" t="inlineStr">
        <is>
          <t>TP</t>
        </is>
      </c>
      <c r="I1" s="1" t="inlineStr">
        <is>
          <t>FP</t>
        </is>
      </c>
      <c r="J1" s="1" t="inlineStr">
        <is>
          <t>FN</t>
        </is>
      </c>
      <c r="K1" s="1" t="inlineStr">
        <is>
          <t>TN</t>
        </is>
      </c>
      <c r="L1" s="1" t="inlineStr">
        <is>
          <t>未知数</t>
        </is>
      </c>
      <c r="M1" s="1" t="inlineStr">
        <is>
          <t>先验Alpha</t>
        </is>
      </c>
      <c r="N1" s="1" t="inlineStr">
        <is>
          <t>先验Beta</t>
        </is>
      </c>
      <c r="O1" s="1" t="inlineStr">
        <is>
          <t>后验Alpha</t>
        </is>
      </c>
      <c r="P1" s="1" t="inlineStr">
        <is>
          <t>后验Beta</t>
        </is>
      </c>
      <c r="Q1" s="1" t="inlineStr">
        <is>
          <t>后验均值</t>
        </is>
      </c>
      <c r="R1" s="1" t="inlineStr">
        <is>
          <t>95%下限</t>
        </is>
      </c>
      <c r="S1" s="1" t="inlineStr">
        <is>
          <t>95%上限</t>
        </is>
      </c>
      <c r="T1" s="1" t="inlineStr">
        <is>
          <t>有效分母</t>
        </is>
      </c>
      <c r="U1" s="1" t="inlineStr">
        <is>
          <t>样本提示</t>
        </is>
      </c>
      <c r="V1" s="1" t="inlineStr">
        <is>
          <t>候选用途</t>
        </is>
      </c>
      <c r="W1" s="1" t="inlineStr">
        <is>
          <t>备注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5">
        <f>IF(COUNTA(A2:G2)&lt;7,"",COUNTIFS('原子事实记录'!$C$2:$C$2001,$D2,'原子事实记录'!$E$2:$E$2001,$A2,'原子事实记录'!$F$2:$F$2001,$B2,'原子事实记录'!$G$2:$G$2001,$C2,'原子事实记录'!$I$2:$I$2001,$E2,'原子事实记录'!$J$2:$J$2001,$F2,'原子事实记录'!$Q$2:$Q$2001,"是",'原子事实记录'!$R$2:$R$2001,"TP"))</f>
        <v/>
      </c>
      <c r="I2" s="5">
        <f>IF(COUNTA(A2:G2)&lt;7,"",COUNTIFS('原子事实记录'!$C$2:$C$2001,$D2,'原子事实记录'!$E$2:$E$2001,$A2,'原子事实记录'!$F$2:$F$2001,$B2,'原子事实记录'!$G$2:$G$2001,$C2,'原子事实记录'!$I$2:$I$2001,$E2,'原子事实记录'!$J$2:$J$2001,$F2,'原子事实记录'!$Q$2:$Q$2001,"是",'原子事实记录'!$R$2:$R$2001,"FP"))</f>
        <v/>
      </c>
      <c r="J2" s="5">
        <f>IF(COUNTA(A2:G2)&lt;7,"",COUNTIFS('原子事实记录'!$C$2:$C$2001,$D2,'原子事实记录'!$E$2:$E$2001,$A2,'原子事实记录'!$F$2:$F$2001,$B2,'原子事实记录'!$G$2:$G$2001,$C2,'原子事实记录'!$I$2:$I$2001,$E2,'原子事实记录'!$J$2:$J$2001,$F2,'原子事实记录'!$Q$2:$Q$2001,"是",'原子事实记录'!$R$2:$R$2001,"FN"))</f>
        <v/>
      </c>
      <c r="K2" s="5">
        <f>IF(COUNTA(A2:G2)&lt;7,"",COUNTIFS('原子事实记录'!$C$2:$C$2001,$D2,'原子事实记录'!$E$2:$E$2001,$A2,'原子事实记录'!$F$2:$F$2001,$B2,'原子事实记录'!$G$2:$G$2001,$C2,'原子事实记录'!$I$2:$I$2001,$E2,'原子事实记录'!$J$2:$J$2001,$F2,'原子事实记录'!$Q$2:$Q$2001,"是",'原子事实记录'!$R$2:$R$2001,"TN"))</f>
        <v/>
      </c>
      <c r="L2" s="5">
        <f>IF(COUNTA(A2:G2)&lt;7,"",COUNTIFS('原子事实记录'!$C$2:$C$2001,$D2,'原子事实记录'!$E$2:$E$2001,$A2,'原子事实记录'!$F$2:$F$2001,$B2,'原子事实记录'!$G$2:$G$2001,$C2,'原子事实记录'!$I$2:$I$2001,$E2,'原子事实记录'!$J$2:$J$2001,$F2,'原子事实记录'!$Q$2:$Q$2001,"是",'原子事实记录'!$R$2:$R$2001,"未知"))</f>
        <v/>
      </c>
      <c r="M2" s="3" t="n"/>
      <c r="N2" s="3" t="n"/>
      <c r="O2" s="5">
        <f>IF(OR(G2="",M2="",N2=""),"",M2+IF(G2="肯定主张正确率",H2,IF(G2="否定主张正确率",K2,IF(G2="灵敏度",H2,K2))))</f>
        <v/>
      </c>
      <c r="P2" s="5">
        <f>IF(OR(G2="",M2="",N2=""),"",N2+IF(G2="肯定主张正确率",I2,IF(G2="否定主张正确率",J2,IF(G2="灵敏度",J2,I2))))</f>
        <v/>
      </c>
      <c r="Q2" s="7">
        <f>IF(OR(O2="",P2=""),"",O2/(O2+P2))</f>
        <v/>
      </c>
      <c r="R2" s="7">
        <f>IF(Q2="","",BETA.INV(0.025,O2,P2))</f>
        <v/>
      </c>
      <c r="S2" s="7">
        <f>IF(Q2="","",BETA.INV(0.975,O2,P2))</f>
        <v/>
      </c>
      <c r="T2" s="5">
        <f>IF(OR(O2="",P2=""),"",O2+P2-M2-N2)</f>
        <v/>
      </c>
      <c r="U2" s="5">
        <f>IF(T2="","先填完整分组",IF(T2&lt;30,"样本太少：仅描述",IF(T2&lt;100,"只作试点候选","可进入独立验证")))</f>
        <v/>
      </c>
      <c r="V2" s="3" t="n"/>
      <c r="W2" s="3" t="n"/>
    </row>
    <row r="3">
      <c r="A3" s="3" t="n"/>
      <c r="B3" s="3" t="n"/>
      <c r="C3" s="3" t="n"/>
      <c r="D3" s="3" t="n"/>
      <c r="E3" s="3" t="n"/>
      <c r="F3" s="3" t="n"/>
      <c r="G3" s="3" t="n"/>
      <c r="H3" s="5">
        <f>IF(COUNTA(A3:G3)&lt;7,"",COUNTIFS('原子事实记录'!$C$2:$C$2001,$D3,'原子事实记录'!$E$2:$E$2001,$A3,'原子事实记录'!$F$2:$F$2001,$B3,'原子事实记录'!$G$2:$G$2001,$C3,'原子事实记录'!$I$2:$I$2001,$E3,'原子事实记录'!$J$2:$J$2001,$F3,'原子事实记录'!$Q$2:$Q$2001,"是",'原子事实记录'!$R$2:$R$2001,"TP"))</f>
        <v/>
      </c>
      <c r="I3" s="5">
        <f>IF(COUNTA(A3:G3)&lt;7,"",COUNTIFS('原子事实记录'!$C$2:$C$2001,$D3,'原子事实记录'!$E$2:$E$2001,$A3,'原子事实记录'!$F$2:$F$2001,$B3,'原子事实记录'!$G$2:$G$2001,$C3,'原子事实记录'!$I$2:$I$2001,$E3,'原子事实记录'!$J$2:$J$2001,$F3,'原子事实记录'!$Q$2:$Q$2001,"是",'原子事实记录'!$R$2:$R$2001,"FP"))</f>
        <v/>
      </c>
      <c r="J3" s="5">
        <f>IF(COUNTA(A3:G3)&lt;7,"",COUNTIFS('原子事实记录'!$C$2:$C$2001,$D3,'原子事实记录'!$E$2:$E$2001,$A3,'原子事实记录'!$F$2:$F$2001,$B3,'原子事实记录'!$G$2:$G$2001,$C3,'原子事实记录'!$I$2:$I$2001,$E3,'原子事实记录'!$J$2:$J$2001,$F3,'原子事实记录'!$Q$2:$Q$2001,"是",'原子事实记录'!$R$2:$R$2001,"FN"))</f>
        <v/>
      </c>
      <c r="K3" s="5">
        <f>IF(COUNTA(A3:G3)&lt;7,"",COUNTIFS('原子事实记录'!$C$2:$C$2001,$D3,'原子事实记录'!$E$2:$E$2001,$A3,'原子事实记录'!$F$2:$F$2001,$B3,'原子事实记录'!$G$2:$G$2001,$C3,'原子事实记录'!$I$2:$I$2001,$E3,'原子事实记录'!$J$2:$J$2001,$F3,'原子事实记录'!$Q$2:$Q$2001,"是",'原子事实记录'!$R$2:$R$2001,"TN"))</f>
        <v/>
      </c>
      <c r="L3" s="5">
        <f>IF(COUNTA(A3:G3)&lt;7,"",COUNTIFS('原子事实记录'!$C$2:$C$2001,$D3,'原子事实记录'!$E$2:$E$2001,$A3,'原子事实记录'!$F$2:$F$2001,$B3,'原子事实记录'!$G$2:$G$2001,$C3,'原子事实记录'!$I$2:$I$2001,$E3,'原子事实记录'!$J$2:$J$2001,$F3,'原子事实记录'!$Q$2:$Q$2001,"是",'原子事实记录'!$R$2:$R$2001,"未知"))</f>
        <v/>
      </c>
      <c r="M3" s="3" t="n"/>
      <c r="N3" s="3" t="n"/>
      <c r="O3" s="5">
        <f>IF(OR(G3="",M3="",N3=""),"",M3+IF(G3="肯定主张正确率",H3,IF(G3="否定主张正确率",K3,IF(G3="灵敏度",H3,K3))))</f>
        <v/>
      </c>
      <c r="P3" s="5">
        <f>IF(OR(G3="",M3="",N3=""),"",N3+IF(G3="肯定主张正确率",I3,IF(G3="否定主张正确率",J3,IF(G3="灵敏度",J3,I3))))</f>
        <v/>
      </c>
      <c r="Q3" s="7">
        <f>IF(OR(O3="",P3=""),"",O3/(O3+P3))</f>
        <v/>
      </c>
      <c r="R3" s="7">
        <f>IF(Q3="","",BETA.INV(0.025,O3,P3))</f>
        <v/>
      </c>
      <c r="S3" s="7">
        <f>IF(Q3="","",BETA.INV(0.975,O3,P3))</f>
        <v/>
      </c>
      <c r="T3" s="5">
        <f>IF(OR(O3="",P3=""),"",O3+P3-M3-N3)</f>
        <v/>
      </c>
      <c r="U3" s="5">
        <f>IF(T3="","先填完整分组",IF(T3&lt;30,"样本太少：仅描述",IF(T3&lt;100,"只作试点候选","可进入独立验证")))</f>
        <v/>
      </c>
      <c r="V3" s="3" t="n"/>
      <c r="W3" s="3" t="n"/>
    </row>
    <row r="4">
      <c r="A4" s="3" t="n"/>
      <c r="B4" s="3" t="n"/>
      <c r="C4" s="3" t="n"/>
      <c r="D4" s="3" t="n"/>
      <c r="E4" s="3" t="n"/>
      <c r="F4" s="3" t="n"/>
      <c r="G4" s="3" t="n"/>
      <c r="H4" s="5">
        <f>IF(COUNTA(A4:G4)&lt;7,"",COUNTIFS('原子事实记录'!$C$2:$C$2001,$D4,'原子事实记录'!$E$2:$E$2001,$A4,'原子事实记录'!$F$2:$F$2001,$B4,'原子事实记录'!$G$2:$G$2001,$C4,'原子事实记录'!$I$2:$I$2001,$E4,'原子事实记录'!$J$2:$J$2001,$F4,'原子事实记录'!$Q$2:$Q$2001,"是",'原子事实记录'!$R$2:$R$2001,"TP"))</f>
        <v/>
      </c>
      <c r="I4" s="5">
        <f>IF(COUNTA(A4:G4)&lt;7,"",COUNTIFS('原子事实记录'!$C$2:$C$2001,$D4,'原子事实记录'!$E$2:$E$2001,$A4,'原子事实记录'!$F$2:$F$2001,$B4,'原子事实记录'!$G$2:$G$2001,$C4,'原子事实记录'!$I$2:$I$2001,$E4,'原子事实记录'!$J$2:$J$2001,$F4,'原子事实记录'!$Q$2:$Q$2001,"是",'原子事实记录'!$R$2:$R$2001,"FP"))</f>
        <v/>
      </c>
      <c r="J4" s="5">
        <f>IF(COUNTA(A4:G4)&lt;7,"",COUNTIFS('原子事实记录'!$C$2:$C$2001,$D4,'原子事实记录'!$E$2:$E$2001,$A4,'原子事实记录'!$F$2:$F$2001,$B4,'原子事实记录'!$G$2:$G$2001,$C4,'原子事实记录'!$I$2:$I$2001,$E4,'原子事实记录'!$J$2:$J$2001,$F4,'原子事实记录'!$Q$2:$Q$2001,"是",'原子事实记录'!$R$2:$R$2001,"FN"))</f>
        <v/>
      </c>
      <c r="K4" s="5">
        <f>IF(COUNTA(A4:G4)&lt;7,"",COUNTIFS('原子事实记录'!$C$2:$C$2001,$D4,'原子事实记录'!$E$2:$E$2001,$A4,'原子事实记录'!$F$2:$F$2001,$B4,'原子事实记录'!$G$2:$G$2001,$C4,'原子事实记录'!$I$2:$I$2001,$E4,'原子事实记录'!$J$2:$J$2001,$F4,'原子事实记录'!$Q$2:$Q$2001,"是",'原子事实记录'!$R$2:$R$2001,"TN"))</f>
        <v/>
      </c>
      <c r="L4" s="5">
        <f>IF(COUNTA(A4:G4)&lt;7,"",COUNTIFS('原子事实记录'!$C$2:$C$2001,$D4,'原子事实记录'!$E$2:$E$2001,$A4,'原子事实记录'!$F$2:$F$2001,$B4,'原子事实记录'!$G$2:$G$2001,$C4,'原子事实记录'!$I$2:$I$2001,$E4,'原子事实记录'!$J$2:$J$2001,$F4,'原子事实记录'!$Q$2:$Q$2001,"是",'原子事实记录'!$R$2:$R$2001,"未知"))</f>
        <v/>
      </c>
      <c r="M4" s="3" t="n"/>
      <c r="N4" s="3" t="n"/>
      <c r="O4" s="5">
        <f>IF(OR(G4="",M4="",N4=""),"",M4+IF(G4="肯定主张正确率",H4,IF(G4="否定主张正确率",K4,IF(G4="灵敏度",H4,K4))))</f>
        <v/>
      </c>
      <c r="P4" s="5">
        <f>IF(OR(G4="",M4="",N4=""),"",N4+IF(G4="肯定主张正确率",I4,IF(G4="否定主张正确率",J4,IF(G4="灵敏度",J4,I4))))</f>
        <v/>
      </c>
      <c r="Q4" s="7">
        <f>IF(OR(O4="",P4=""),"",O4/(O4+P4))</f>
        <v/>
      </c>
      <c r="R4" s="7">
        <f>IF(Q4="","",BETA.INV(0.025,O4,P4))</f>
        <v/>
      </c>
      <c r="S4" s="7">
        <f>IF(Q4="","",BETA.INV(0.975,O4,P4))</f>
        <v/>
      </c>
      <c r="T4" s="5">
        <f>IF(OR(O4="",P4=""),"",O4+P4-M4-N4)</f>
        <v/>
      </c>
      <c r="U4" s="5">
        <f>IF(T4="","先填完整分组",IF(T4&lt;30,"样本太少：仅描述",IF(T4&lt;100,"只作试点候选","可进入独立验证")))</f>
        <v/>
      </c>
      <c r="V4" s="3" t="n"/>
      <c r="W4" s="3" t="n"/>
    </row>
    <row r="5">
      <c r="A5" s="3" t="n"/>
      <c r="B5" s="3" t="n"/>
      <c r="C5" s="3" t="n"/>
      <c r="D5" s="3" t="n"/>
      <c r="E5" s="3" t="n"/>
      <c r="F5" s="3" t="n"/>
      <c r="G5" s="3" t="n"/>
      <c r="H5" s="5">
        <f>IF(COUNTA(A5:G5)&lt;7,"",COUNTIFS('原子事实记录'!$C$2:$C$2001,$D5,'原子事实记录'!$E$2:$E$2001,$A5,'原子事实记录'!$F$2:$F$2001,$B5,'原子事实记录'!$G$2:$G$2001,$C5,'原子事实记录'!$I$2:$I$2001,$E5,'原子事实记录'!$J$2:$J$2001,$F5,'原子事实记录'!$Q$2:$Q$2001,"是",'原子事实记录'!$R$2:$R$2001,"TP"))</f>
        <v/>
      </c>
      <c r="I5" s="5">
        <f>IF(COUNTA(A5:G5)&lt;7,"",COUNTIFS('原子事实记录'!$C$2:$C$2001,$D5,'原子事实记录'!$E$2:$E$2001,$A5,'原子事实记录'!$F$2:$F$2001,$B5,'原子事实记录'!$G$2:$G$2001,$C5,'原子事实记录'!$I$2:$I$2001,$E5,'原子事实记录'!$J$2:$J$2001,$F5,'原子事实记录'!$Q$2:$Q$2001,"是",'原子事实记录'!$R$2:$R$2001,"FP"))</f>
        <v/>
      </c>
      <c r="J5" s="5">
        <f>IF(COUNTA(A5:G5)&lt;7,"",COUNTIFS('原子事实记录'!$C$2:$C$2001,$D5,'原子事实记录'!$E$2:$E$2001,$A5,'原子事实记录'!$F$2:$F$2001,$B5,'原子事实记录'!$G$2:$G$2001,$C5,'原子事实记录'!$I$2:$I$2001,$E5,'原子事实记录'!$J$2:$J$2001,$F5,'原子事实记录'!$Q$2:$Q$2001,"是",'原子事实记录'!$R$2:$R$2001,"FN"))</f>
        <v/>
      </c>
      <c r="K5" s="5">
        <f>IF(COUNTA(A5:G5)&lt;7,"",COUNTIFS('原子事实记录'!$C$2:$C$2001,$D5,'原子事实记录'!$E$2:$E$2001,$A5,'原子事实记录'!$F$2:$F$2001,$B5,'原子事实记录'!$G$2:$G$2001,$C5,'原子事实记录'!$I$2:$I$2001,$E5,'原子事实记录'!$J$2:$J$2001,$F5,'原子事实记录'!$Q$2:$Q$2001,"是",'原子事实记录'!$R$2:$R$2001,"TN"))</f>
        <v/>
      </c>
      <c r="L5" s="5">
        <f>IF(COUNTA(A5:G5)&lt;7,"",COUNTIFS('原子事实记录'!$C$2:$C$2001,$D5,'原子事实记录'!$E$2:$E$2001,$A5,'原子事实记录'!$F$2:$F$2001,$B5,'原子事实记录'!$G$2:$G$2001,$C5,'原子事实记录'!$I$2:$I$2001,$E5,'原子事实记录'!$J$2:$J$2001,$F5,'原子事实记录'!$Q$2:$Q$2001,"是",'原子事实记录'!$R$2:$R$2001,"未知"))</f>
        <v/>
      </c>
      <c r="M5" s="3" t="n"/>
      <c r="N5" s="3" t="n"/>
      <c r="O5" s="5">
        <f>IF(OR(G5="",M5="",N5=""),"",M5+IF(G5="肯定主张正确率",H5,IF(G5="否定主张正确率",K5,IF(G5="灵敏度",H5,K5))))</f>
        <v/>
      </c>
      <c r="P5" s="5">
        <f>IF(OR(G5="",M5="",N5=""),"",N5+IF(G5="肯定主张正确率",I5,IF(G5="否定主张正确率",J5,IF(G5="灵敏度",J5,I5))))</f>
        <v/>
      </c>
      <c r="Q5" s="7">
        <f>IF(OR(O5="",P5=""),"",O5/(O5+P5))</f>
        <v/>
      </c>
      <c r="R5" s="7">
        <f>IF(Q5="","",BETA.INV(0.025,O5,P5))</f>
        <v/>
      </c>
      <c r="S5" s="7">
        <f>IF(Q5="","",BETA.INV(0.975,O5,P5))</f>
        <v/>
      </c>
      <c r="T5" s="5">
        <f>IF(OR(O5="",P5=""),"",O5+P5-M5-N5)</f>
        <v/>
      </c>
      <c r="U5" s="5">
        <f>IF(T5="","先填完整分组",IF(T5&lt;30,"样本太少：仅描述",IF(T5&lt;100,"只作试点候选","可进入独立验证")))</f>
        <v/>
      </c>
      <c r="V5" s="3" t="n"/>
      <c r="W5" s="3" t="n"/>
    </row>
    <row r="6">
      <c r="A6" s="3" t="n"/>
      <c r="B6" s="3" t="n"/>
      <c r="C6" s="3" t="n"/>
      <c r="D6" s="3" t="n"/>
      <c r="E6" s="3" t="n"/>
      <c r="F6" s="3" t="n"/>
      <c r="G6" s="3" t="n"/>
      <c r="H6" s="5">
        <f>IF(COUNTA(A6:G6)&lt;7,"",COUNTIFS('原子事实记录'!$C$2:$C$2001,$D6,'原子事实记录'!$E$2:$E$2001,$A6,'原子事实记录'!$F$2:$F$2001,$B6,'原子事实记录'!$G$2:$G$2001,$C6,'原子事实记录'!$I$2:$I$2001,$E6,'原子事实记录'!$J$2:$J$2001,$F6,'原子事实记录'!$Q$2:$Q$2001,"是",'原子事实记录'!$R$2:$R$2001,"TP"))</f>
        <v/>
      </c>
      <c r="I6" s="5">
        <f>IF(COUNTA(A6:G6)&lt;7,"",COUNTIFS('原子事实记录'!$C$2:$C$2001,$D6,'原子事实记录'!$E$2:$E$2001,$A6,'原子事实记录'!$F$2:$F$2001,$B6,'原子事实记录'!$G$2:$G$2001,$C6,'原子事实记录'!$I$2:$I$2001,$E6,'原子事实记录'!$J$2:$J$2001,$F6,'原子事实记录'!$Q$2:$Q$2001,"是",'原子事实记录'!$R$2:$R$2001,"FP"))</f>
        <v/>
      </c>
      <c r="J6" s="5">
        <f>IF(COUNTA(A6:G6)&lt;7,"",COUNTIFS('原子事实记录'!$C$2:$C$2001,$D6,'原子事实记录'!$E$2:$E$2001,$A6,'原子事实记录'!$F$2:$F$2001,$B6,'原子事实记录'!$G$2:$G$2001,$C6,'原子事实记录'!$I$2:$I$2001,$E6,'原子事实记录'!$J$2:$J$2001,$F6,'原子事实记录'!$Q$2:$Q$2001,"是",'原子事实记录'!$R$2:$R$2001,"FN"))</f>
        <v/>
      </c>
      <c r="K6" s="5">
        <f>IF(COUNTA(A6:G6)&lt;7,"",COUNTIFS('原子事实记录'!$C$2:$C$2001,$D6,'原子事实记录'!$E$2:$E$2001,$A6,'原子事实记录'!$F$2:$F$2001,$B6,'原子事实记录'!$G$2:$G$2001,$C6,'原子事实记录'!$I$2:$I$2001,$E6,'原子事实记录'!$J$2:$J$2001,$F6,'原子事实记录'!$Q$2:$Q$2001,"是",'原子事实记录'!$R$2:$R$2001,"TN"))</f>
        <v/>
      </c>
      <c r="L6" s="5">
        <f>IF(COUNTA(A6:G6)&lt;7,"",COUNTIFS('原子事实记录'!$C$2:$C$2001,$D6,'原子事实记录'!$E$2:$E$2001,$A6,'原子事实记录'!$F$2:$F$2001,$B6,'原子事实记录'!$G$2:$G$2001,$C6,'原子事实记录'!$I$2:$I$2001,$E6,'原子事实记录'!$J$2:$J$2001,$F6,'原子事实记录'!$Q$2:$Q$2001,"是",'原子事实记录'!$R$2:$R$2001,"未知"))</f>
        <v/>
      </c>
      <c r="M6" s="3" t="n"/>
      <c r="N6" s="3" t="n"/>
      <c r="O6" s="5">
        <f>IF(OR(G6="",M6="",N6=""),"",M6+IF(G6="肯定主张正确率",H6,IF(G6="否定主张正确率",K6,IF(G6="灵敏度",H6,K6))))</f>
        <v/>
      </c>
      <c r="P6" s="5">
        <f>IF(OR(G6="",M6="",N6=""),"",N6+IF(G6="肯定主张正确率",I6,IF(G6="否定主张正确率",J6,IF(G6="灵敏度",J6,I6))))</f>
        <v/>
      </c>
      <c r="Q6" s="7">
        <f>IF(OR(O6="",P6=""),"",O6/(O6+P6))</f>
        <v/>
      </c>
      <c r="R6" s="7">
        <f>IF(Q6="","",BETA.INV(0.025,O6,P6))</f>
        <v/>
      </c>
      <c r="S6" s="7">
        <f>IF(Q6="","",BETA.INV(0.975,O6,P6))</f>
        <v/>
      </c>
      <c r="T6" s="5">
        <f>IF(OR(O6="",P6=""),"",O6+P6-M6-N6)</f>
        <v/>
      </c>
      <c r="U6" s="5">
        <f>IF(T6="","先填完整分组",IF(T6&lt;30,"样本太少：仅描述",IF(T6&lt;100,"只作试点候选","可进入独立验证")))</f>
        <v/>
      </c>
      <c r="V6" s="3" t="n"/>
      <c r="W6" s="3" t="n"/>
    </row>
    <row r="7">
      <c r="A7" s="3" t="n"/>
      <c r="B7" s="3" t="n"/>
      <c r="C7" s="3" t="n"/>
      <c r="D7" s="3" t="n"/>
      <c r="E7" s="3" t="n"/>
      <c r="F7" s="3" t="n"/>
      <c r="G7" s="3" t="n"/>
      <c r="H7" s="5">
        <f>IF(COUNTA(A7:G7)&lt;7,"",COUNTIFS('原子事实记录'!$C$2:$C$2001,$D7,'原子事实记录'!$E$2:$E$2001,$A7,'原子事实记录'!$F$2:$F$2001,$B7,'原子事实记录'!$G$2:$G$2001,$C7,'原子事实记录'!$I$2:$I$2001,$E7,'原子事实记录'!$J$2:$J$2001,$F7,'原子事实记录'!$Q$2:$Q$2001,"是",'原子事实记录'!$R$2:$R$2001,"TP"))</f>
        <v/>
      </c>
      <c r="I7" s="5">
        <f>IF(COUNTA(A7:G7)&lt;7,"",COUNTIFS('原子事实记录'!$C$2:$C$2001,$D7,'原子事实记录'!$E$2:$E$2001,$A7,'原子事实记录'!$F$2:$F$2001,$B7,'原子事实记录'!$G$2:$G$2001,$C7,'原子事实记录'!$I$2:$I$2001,$E7,'原子事实记录'!$J$2:$J$2001,$F7,'原子事实记录'!$Q$2:$Q$2001,"是",'原子事实记录'!$R$2:$R$2001,"FP"))</f>
        <v/>
      </c>
      <c r="J7" s="5">
        <f>IF(COUNTA(A7:G7)&lt;7,"",COUNTIFS('原子事实记录'!$C$2:$C$2001,$D7,'原子事实记录'!$E$2:$E$2001,$A7,'原子事实记录'!$F$2:$F$2001,$B7,'原子事实记录'!$G$2:$G$2001,$C7,'原子事实记录'!$I$2:$I$2001,$E7,'原子事实记录'!$J$2:$J$2001,$F7,'原子事实记录'!$Q$2:$Q$2001,"是",'原子事实记录'!$R$2:$R$2001,"FN"))</f>
        <v/>
      </c>
      <c r="K7" s="5">
        <f>IF(COUNTA(A7:G7)&lt;7,"",COUNTIFS('原子事实记录'!$C$2:$C$2001,$D7,'原子事实记录'!$E$2:$E$2001,$A7,'原子事实记录'!$F$2:$F$2001,$B7,'原子事实记录'!$G$2:$G$2001,$C7,'原子事实记录'!$I$2:$I$2001,$E7,'原子事实记录'!$J$2:$J$2001,$F7,'原子事实记录'!$Q$2:$Q$2001,"是",'原子事实记录'!$R$2:$R$2001,"TN"))</f>
        <v/>
      </c>
      <c r="L7" s="5">
        <f>IF(COUNTA(A7:G7)&lt;7,"",COUNTIFS('原子事实记录'!$C$2:$C$2001,$D7,'原子事实记录'!$E$2:$E$2001,$A7,'原子事实记录'!$F$2:$F$2001,$B7,'原子事实记录'!$G$2:$G$2001,$C7,'原子事实记录'!$I$2:$I$2001,$E7,'原子事实记录'!$J$2:$J$2001,$F7,'原子事实记录'!$Q$2:$Q$2001,"是",'原子事实记录'!$R$2:$R$2001,"未知"))</f>
        <v/>
      </c>
      <c r="M7" s="3" t="n"/>
      <c r="N7" s="3" t="n"/>
      <c r="O7" s="5">
        <f>IF(OR(G7="",M7="",N7=""),"",M7+IF(G7="肯定主张正确率",H7,IF(G7="否定主张正确率",K7,IF(G7="灵敏度",H7,K7))))</f>
        <v/>
      </c>
      <c r="P7" s="5">
        <f>IF(OR(G7="",M7="",N7=""),"",N7+IF(G7="肯定主张正确率",I7,IF(G7="否定主张正确率",J7,IF(G7="灵敏度",J7,I7))))</f>
        <v/>
      </c>
      <c r="Q7" s="7">
        <f>IF(OR(O7="",P7=""),"",O7/(O7+P7))</f>
        <v/>
      </c>
      <c r="R7" s="7">
        <f>IF(Q7="","",BETA.INV(0.025,O7,P7))</f>
        <v/>
      </c>
      <c r="S7" s="7">
        <f>IF(Q7="","",BETA.INV(0.975,O7,P7))</f>
        <v/>
      </c>
      <c r="T7" s="5">
        <f>IF(OR(O7="",P7=""),"",O7+P7-M7-N7)</f>
        <v/>
      </c>
      <c r="U7" s="5">
        <f>IF(T7="","先填完整分组",IF(T7&lt;30,"样本太少：仅描述",IF(T7&lt;100,"只作试点候选","可进入独立验证")))</f>
        <v/>
      </c>
      <c r="V7" s="3" t="n"/>
      <c r="W7" s="3" t="n"/>
    </row>
    <row r="8">
      <c r="A8" s="3" t="n"/>
      <c r="B8" s="3" t="n"/>
      <c r="C8" s="3" t="n"/>
      <c r="D8" s="3" t="n"/>
      <c r="E8" s="3" t="n"/>
      <c r="F8" s="3" t="n"/>
      <c r="G8" s="3" t="n"/>
      <c r="H8" s="5">
        <f>IF(COUNTA(A8:G8)&lt;7,"",COUNTIFS('原子事实记录'!$C$2:$C$2001,$D8,'原子事实记录'!$E$2:$E$2001,$A8,'原子事实记录'!$F$2:$F$2001,$B8,'原子事实记录'!$G$2:$G$2001,$C8,'原子事实记录'!$I$2:$I$2001,$E8,'原子事实记录'!$J$2:$J$2001,$F8,'原子事实记录'!$Q$2:$Q$2001,"是",'原子事实记录'!$R$2:$R$2001,"TP"))</f>
        <v/>
      </c>
      <c r="I8" s="5">
        <f>IF(COUNTA(A8:G8)&lt;7,"",COUNTIFS('原子事实记录'!$C$2:$C$2001,$D8,'原子事实记录'!$E$2:$E$2001,$A8,'原子事实记录'!$F$2:$F$2001,$B8,'原子事实记录'!$G$2:$G$2001,$C8,'原子事实记录'!$I$2:$I$2001,$E8,'原子事实记录'!$J$2:$J$2001,$F8,'原子事实记录'!$Q$2:$Q$2001,"是",'原子事实记录'!$R$2:$R$2001,"FP"))</f>
        <v/>
      </c>
      <c r="J8" s="5">
        <f>IF(COUNTA(A8:G8)&lt;7,"",COUNTIFS('原子事实记录'!$C$2:$C$2001,$D8,'原子事实记录'!$E$2:$E$2001,$A8,'原子事实记录'!$F$2:$F$2001,$B8,'原子事实记录'!$G$2:$G$2001,$C8,'原子事实记录'!$I$2:$I$2001,$E8,'原子事实记录'!$J$2:$J$2001,$F8,'原子事实记录'!$Q$2:$Q$2001,"是",'原子事实记录'!$R$2:$R$2001,"FN"))</f>
        <v/>
      </c>
      <c r="K8" s="5">
        <f>IF(COUNTA(A8:G8)&lt;7,"",COUNTIFS('原子事实记录'!$C$2:$C$2001,$D8,'原子事实记录'!$E$2:$E$2001,$A8,'原子事实记录'!$F$2:$F$2001,$B8,'原子事实记录'!$G$2:$G$2001,$C8,'原子事实记录'!$I$2:$I$2001,$E8,'原子事实记录'!$J$2:$J$2001,$F8,'原子事实记录'!$Q$2:$Q$2001,"是",'原子事实记录'!$R$2:$R$2001,"TN"))</f>
        <v/>
      </c>
      <c r="L8" s="5">
        <f>IF(COUNTA(A8:G8)&lt;7,"",COUNTIFS('原子事实记录'!$C$2:$C$2001,$D8,'原子事实记录'!$E$2:$E$2001,$A8,'原子事实记录'!$F$2:$F$2001,$B8,'原子事实记录'!$G$2:$G$2001,$C8,'原子事实记录'!$I$2:$I$2001,$E8,'原子事实记录'!$J$2:$J$2001,$F8,'原子事实记录'!$Q$2:$Q$2001,"是",'原子事实记录'!$R$2:$R$2001,"未知"))</f>
        <v/>
      </c>
      <c r="M8" s="3" t="n"/>
      <c r="N8" s="3" t="n"/>
      <c r="O8" s="5">
        <f>IF(OR(G8="",M8="",N8=""),"",M8+IF(G8="肯定主张正确率",H8,IF(G8="否定主张正确率",K8,IF(G8="灵敏度",H8,K8))))</f>
        <v/>
      </c>
      <c r="P8" s="5">
        <f>IF(OR(G8="",M8="",N8=""),"",N8+IF(G8="肯定主张正确率",I8,IF(G8="否定主张正确率",J8,IF(G8="灵敏度",J8,I8))))</f>
        <v/>
      </c>
      <c r="Q8" s="7">
        <f>IF(OR(O8="",P8=""),"",O8/(O8+P8))</f>
        <v/>
      </c>
      <c r="R8" s="7">
        <f>IF(Q8="","",BETA.INV(0.025,O8,P8))</f>
        <v/>
      </c>
      <c r="S8" s="7">
        <f>IF(Q8="","",BETA.INV(0.975,O8,P8))</f>
        <v/>
      </c>
      <c r="T8" s="5">
        <f>IF(OR(O8="",P8=""),"",O8+P8-M8-N8)</f>
        <v/>
      </c>
      <c r="U8" s="5">
        <f>IF(T8="","先填完整分组",IF(T8&lt;30,"样本太少：仅描述",IF(T8&lt;100,"只作试点候选","可进入独立验证")))</f>
        <v/>
      </c>
      <c r="V8" s="3" t="n"/>
      <c r="W8" s="3" t="n"/>
    </row>
    <row r="9">
      <c r="A9" s="3" t="n"/>
      <c r="B9" s="3" t="n"/>
      <c r="C9" s="3" t="n"/>
      <c r="D9" s="3" t="n"/>
      <c r="E9" s="3" t="n"/>
      <c r="F9" s="3" t="n"/>
      <c r="G9" s="3" t="n"/>
      <c r="H9" s="5">
        <f>IF(COUNTA(A9:G9)&lt;7,"",COUNTIFS('原子事实记录'!$C$2:$C$2001,$D9,'原子事实记录'!$E$2:$E$2001,$A9,'原子事实记录'!$F$2:$F$2001,$B9,'原子事实记录'!$G$2:$G$2001,$C9,'原子事实记录'!$I$2:$I$2001,$E9,'原子事实记录'!$J$2:$J$2001,$F9,'原子事实记录'!$Q$2:$Q$2001,"是",'原子事实记录'!$R$2:$R$2001,"TP"))</f>
        <v/>
      </c>
      <c r="I9" s="5">
        <f>IF(COUNTA(A9:G9)&lt;7,"",COUNTIFS('原子事实记录'!$C$2:$C$2001,$D9,'原子事实记录'!$E$2:$E$2001,$A9,'原子事实记录'!$F$2:$F$2001,$B9,'原子事实记录'!$G$2:$G$2001,$C9,'原子事实记录'!$I$2:$I$2001,$E9,'原子事实记录'!$J$2:$J$2001,$F9,'原子事实记录'!$Q$2:$Q$2001,"是",'原子事实记录'!$R$2:$R$2001,"FP"))</f>
        <v/>
      </c>
      <c r="J9" s="5">
        <f>IF(COUNTA(A9:G9)&lt;7,"",COUNTIFS('原子事实记录'!$C$2:$C$2001,$D9,'原子事实记录'!$E$2:$E$2001,$A9,'原子事实记录'!$F$2:$F$2001,$B9,'原子事实记录'!$G$2:$G$2001,$C9,'原子事实记录'!$I$2:$I$2001,$E9,'原子事实记录'!$J$2:$J$2001,$F9,'原子事实记录'!$Q$2:$Q$2001,"是",'原子事实记录'!$R$2:$R$2001,"FN"))</f>
        <v/>
      </c>
      <c r="K9" s="5">
        <f>IF(COUNTA(A9:G9)&lt;7,"",COUNTIFS('原子事实记录'!$C$2:$C$2001,$D9,'原子事实记录'!$E$2:$E$2001,$A9,'原子事实记录'!$F$2:$F$2001,$B9,'原子事实记录'!$G$2:$G$2001,$C9,'原子事实记录'!$I$2:$I$2001,$E9,'原子事实记录'!$J$2:$J$2001,$F9,'原子事实记录'!$Q$2:$Q$2001,"是",'原子事实记录'!$R$2:$R$2001,"TN"))</f>
        <v/>
      </c>
      <c r="L9" s="5">
        <f>IF(COUNTA(A9:G9)&lt;7,"",COUNTIFS('原子事实记录'!$C$2:$C$2001,$D9,'原子事实记录'!$E$2:$E$2001,$A9,'原子事实记录'!$F$2:$F$2001,$B9,'原子事实记录'!$G$2:$G$2001,$C9,'原子事实记录'!$I$2:$I$2001,$E9,'原子事实记录'!$J$2:$J$2001,$F9,'原子事实记录'!$Q$2:$Q$2001,"是",'原子事实记录'!$R$2:$R$2001,"未知"))</f>
        <v/>
      </c>
      <c r="M9" s="3" t="n"/>
      <c r="N9" s="3" t="n"/>
      <c r="O9" s="5">
        <f>IF(OR(G9="",M9="",N9=""),"",M9+IF(G9="肯定主张正确率",H9,IF(G9="否定主张正确率",K9,IF(G9="灵敏度",H9,K9))))</f>
        <v/>
      </c>
      <c r="P9" s="5">
        <f>IF(OR(G9="",M9="",N9=""),"",N9+IF(G9="肯定主张正确率",I9,IF(G9="否定主张正确率",J9,IF(G9="灵敏度",J9,I9))))</f>
        <v/>
      </c>
      <c r="Q9" s="7">
        <f>IF(OR(O9="",P9=""),"",O9/(O9+P9))</f>
        <v/>
      </c>
      <c r="R9" s="7">
        <f>IF(Q9="","",BETA.INV(0.025,O9,P9))</f>
        <v/>
      </c>
      <c r="S9" s="7">
        <f>IF(Q9="","",BETA.INV(0.975,O9,P9))</f>
        <v/>
      </c>
      <c r="T9" s="5">
        <f>IF(OR(O9="",P9=""),"",O9+P9-M9-N9)</f>
        <v/>
      </c>
      <c r="U9" s="5">
        <f>IF(T9="","先填完整分组",IF(T9&lt;30,"样本太少：仅描述",IF(T9&lt;100,"只作试点候选","可进入独立验证")))</f>
        <v/>
      </c>
      <c r="V9" s="3" t="n"/>
      <c r="W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5">
        <f>IF(COUNTA(A10:G10)&lt;7,"",COUNTIFS('原子事实记录'!$C$2:$C$2001,$D10,'原子事实记录'!$E$2:$E$2001,$A10,'原子事实记录'!$F$2:$F$2001,$B10,'原子事实记录'!$G$2:$G$2001,$C10,'原子事实记录'!$I$2:$I$2001,$E10,'原子事实记录'!$J$2:$J$2001,$F10,'原子事实记录'!$Q$2:$Q$2001,"是",'原子事实记录'!$R$2:$R$2001,"TP"))</f>
        <v/>
      </c>
      <c r="I10" s="5">
        <f>IF(COUNTA(A10:G10)&lt;7,"",COUNTIFS('原子事实记录'!$C$2:$C$2001,$D10,'原子事实记录'!$E$2:$E$2001,$A10,'原子事实记录'!$F$2:$F$2001,$B10,'原子事实记录'!$G$2:$G$2001,$C10,'原子事实记录'!$I$2:$I$2001,$E10,'原子事实记录'!$J$2:$J$2001,$F10,'原子事实记录'!$Q$2:$Q$2001,"是",'原子事实记录'!$R$2:$R$2001,"FP"))</f>
        <v/>
      </c>
      <c r="J10" s="5">
        <f>IF(COUNTA(A10:G10)&lt;7,"",COUNTIFS('原子事实记录'!$C$2:$C$2001,$D10,'原子事实记录'!$E$2:$E$2001,$A10,'原子事实记录'!$F$2:$F$2001,$B10,'原子事实记录'!$G$2:$G$2001,$C10,'原子事实记录'!$I$2:$I$2001,$E10,'原子事实记录'!$J$2:$J$2001,$F10,'原子事实记录'!$Q$2:$Q$2001,"是",'原子事实记录'!$R$2:$R$2001,"FN"))</f>
        <v/>
      </c>
      <c r="K10" s="5">
        <f>IF(COUNTA(A10:G10)&lt;7,"",COUNTIFS('原子事实记录'!$C$2:$C$2001,$D10,'原子事实记录'!$E$2:$E$2001,$A10,'原子事实记录'!$F$2:$F$2001,$B10,'原子事实记录'!$G$2:$G$2001,$C10,'原子事实记录'!$I$2:$I$2001,$E10,'原子事实记录'!$J$2:$J$2001,$F10,'原子事实记录'!$Q$2:$Q$2001,"是",'原子事实记录'!$R$2:$R$2001,"TN"))</f>
        <v/>
      </c>
      <c r="L10" s="5">
        <f>IF(COUNTA(A10:G10)&lt;7,"",COUNTIFS('原子事实记录'!$C$2:$C$2001,$D10,'原子事实记录'!$E$2:$E$2001,$A10,'原子事实记录'!$F$2:$F$2001,$B10,'原子事实记录'!$G$2:$G$2001,$C10,'原子事实记录'!$I$2:$I$2001,$E10,'原子事实记录'!$J$2:$J$2001,$F10,'原子事实记录'!$Q$2:$Q$2001,"是",'原子事实记录'!$R$2:$R$2001,"未知"))</f>
        <v/>
      </c>
      <c r="M10" s="3" t="n"/>
      <c r="N10" s="3" t="n"/>
      <c r="O10" s="5">
        <f>IF(OR(G10="",M10="",N10=""),"",M10+IF(G10="肯定主张正确率",H10,IF(G10="否定主张正确率",K10,IF(G10="灵敏度",H10,K10))))</f>
        <v/>
      </c>
      <c r="P10" s="5">
        <f>IF(OR(G10="",M10="",N10=""),"",N10+IF(G10="肯定主张正确率",I10,IF(G10="否定主张正确率",J10,IF(G10="灵敏度",J10,I10))))</f>
        <v/>
      </c>
      <c r="Q10" s="7">
        <f>IF(OR(O10="",P10=""),"",O10/(O10+P10))</f>
        <v/>
      </c>
      <c r="R10" s="7">
        <f>IF(Q10="","",BETA.INV(0.025,O10,P10))</f>
        <v/>
      </c>
      <c r="S10" s="7">
        <f>IF(Q10="","",BETA.INV(0.975,O10,P10))</f>
        <v/>
      </c>
      <c r="T10" s="5">
        <f>IF(OR(O10="",P10=""),"",O10+P10-M10-N10)</f>
        <v/>
      </c>
      <c r="U10" s="5">
        <f>IF(T10="","先填完整分组",IF(T10&lt;30,"样本太少：仅描述",IF(T10&lt;100,"只作试点候选","可进入独立验证")))</f>
        <v/>
      </c>
      <c r="V10" s="3" t="n"/>
      <c r="W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5">
        <f>IF(COUNTA(A11:G11)&lt;7,"",COUNTIFS('原子事实记录'!$C$2:$C$2001,$D11,'原子事实记录'!$E$2:$E$2001,$A11,'原子事实记录'!$F$2:$F$2001,$B11,'原子事实记录'!$G$2:$G$2001,$C11,'原子事实记录'!$I$2:$I$2001,$E11,'原子事实记录'!$J$2:$J$2001,$F11,'原子事实记录'!$Q$2:$Q$2001,"是",'原子事实记录'!$R$2:$R$2001,"TP"))</f>
        <v/>
      </c>
      <c r="I11" s="5">
        <f>IF(COUNTA(A11:G11)&lt;7,"",COUNTIFS('原子事实记录'!$C$2:$C$2001,$D11,'原子事实记录'!$E$2:$E$2001,$A11,'原子事实记录'!$F$2:$F$2001,$B11,'原子事实记录'!$G$2:$G$2001,$C11,'原子事实记录'!$I$2:$I$2001,$E11,'原子事实记录'!$J$2:$J$2001,$F11,'原子事实记录'!$Q$2:$Q$2001,"是",'原子事实记录'!$R$2:$R$2001,"FP"))</f>
        <v/>
      </c>
      <c r="J11" s="5">
        <f>IF(COUNTA(A11:G11)&lt;7,"",COUNTIFS('原子事实记录'!$C$2:$C$2001,$D11,'原子事实记录'!$E$2:$E$2001,$A11,'原子事实记录'!$F$2:$F$2001,$B11,'原子事实记录'!$G$2:$G$2001,$C11,'原子事实记录'!$I$2:$I$2001,$E11,'原子事实记录'!$J$2:$J$2001,$F11,'原子事实记录'!$Q$2:$Q$2001,"是",'原子事实记录'!$R$2:$R$2001,"FN"))</f>
        <v/>
      </c>
      <c r="K11" s="5">
        <f>IF(COUNTA(A11:G11)&lt;7,"",COUNTIFS('原子事实记录'!$C$2:$C$2001,$D11,'原子事实记录'!$E$2:$E$2001,$A11,'原子事实记录'!$F$2:$F$2001,$B11,'原子事实记录'!$G$2:$G$2001,$C11,'原子事实记录'!$I$2:$I$2001,$E11,'原子事实记录'!$J$2:$J$2001,$F11,'原子事实记录'!$Q$2:$Q$2001,"是",'原子事实记录'!$R$2:$R$2001,"TN"))</f>
        <v/>
      </c>
      <c r="L11" s="5">
        <f>IF(COUNTA(A11:G11)&lt;7,"",COUNTIFS('原子事实记录'!$C$2:$C$2001,$D11,'原子事实记录'!$E$2:$E$2001,$A11,'原子事实记录'!$F$2:$F$2001,$B11,'原子事实记录'!$G$2:$G$2001,$C11,'原子事实记录'!$I$2:$I$2001,$E11,'原子事实记录'!$J$2:$J$2001,$F11,'原子事实记录'!$Q$2:$Q$2001,"是",'原子事实记录'!$R$2:$R$2001,"未知"))</f>
        <v/>
      </c>
      <c r="M11" s="3" t="n"/>
      <c r="N11" s="3" t="n"/>
      <c r="O11" s="5">
        <f>IF(OR(G11="",M11="",N11=""),"",M11+IF(G11="肯定主张正确率",H11,IF(G11="否定主张正确率",K11,IF(G11="灵敏度",H11,K11))))</f>
        <v/>
      </c>
      <c r="P11" s="5">
        <f>IF(OR(G11="",M11="",N11=""),"",N11+IF(G11="肯定主张正确率",I11,IF(G11="否定主张正确率",J11,IF(G11="灵敏度",J11,I11))))</f>
        <v/>
      </c>
      <c r="Q11" s="7">
        <f>IF(OR(O11="",P11=""),"",O11/(O11+P11))</f>
        <v/>
      </c>
      <c r="R11" s="7">
        <f>IF(Q11="","",BETA.INV(0.025,O11,P11))</f>
        <v/>
      </c>
      <c r="S11" s="7">
        <f>IF(Q11="","",BETA.INV(0.975,O11,P11))</f>
        <v/>
      </c>
      <c r="T11" s="5">
        <f>IF(OR(O11="",P11=""),"",O11+P11-M11-N11)</f>
        <v/>
      </c>
      <c r="U11" s="5">
        <f>IF(T11="","先填完整分组",IF(T11&lt;30,"样本太少：仅描述",IF(T11&lt;100,"只作试点候选","可进入独立验证")))</f>
        <v/>
      </c>
      <c r="V11" s="3" t="n"/>
      <c r="W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5">
        <f>IF(COUNTA(A12:G12)&lt;7,"",COUNTIFS('原子事实记录'!$C$2:$C$2001,$D12,'原子事实记录'!$E$2:$E$2001,$A12,'原子事实记录'!$F$2:$F$2001,$B12,'原子事实记录'!$G$2:$G$2001,$C12,'原子事实记录'!$I$2:$I$2001,$E12,'原子事实记录'!$J$2:$J$2001,$F12,'原子事实记录'!$Q$2:$Q$2001,"是",'原子事实记录'!$R$2:$R$2001,"TP"))</f>
        <v/>
      </c>
      <c r="I12" s="5">
        <f>IF(COUNTA(A12:G12)&lt;7,"",COUNTIFS('原子事实记录'!$C$2:$C$2001,$D12,'原子事实记录'!$E$2:$E$2001,$A12,'原子事实记录'!$F$2:$F$2001,$B12,'原子事实记录'!$G$2:$G$2001,$C12,'原子事实记录'!$I$2:$I$2001,$E12,'原子事实记录'!$J$2:$J$2001,$F12,'原子事实记录'!$Q$2:$Q$2001,"是",'原子事实记录'!$R$2:$R$2001,"FP"))</f>
        <v/>
      </c>
      <c r="J12" s="5">
        <f>IF(COUNTA(A12:G12)&lt;7,"",COUNTIFS('原子事实记录'!$C$2:$C$2001,$D12,'原子事实记录'!$E$2:$E$2001,$A12,'原子事实记录'!$F$2:$F$2001,$B12,'原子事实记录'!$G$2:$G$2001,$C12,'原子事实记录'!$I$2:$I$2001,$E12,'原子事实记录'!$J$2:$J$2001,$F12,'原子事实记录'!$Q$2:$Q$2001,"是",'原子事实记录'!$R$2:$R$2001,"FN"))</f>
        <v/>
      </c>
      <c r="K12" s="5">
        <f>IF(COUNTA(A12:G12)&lt;7,"",COUNTIFS('原子事实记录'!$C$2:$C$2001,$D12,'原子事实记录'!$E$2:$E$2001,$A12,'原子事实记录'!$F$2:$F$2001,$B12,'原子事实记录'!$G$2:$G$2001,$C12,'原子事实记录'!$I$2:$I$2001,$E12,'原子事实记录'!$J$2:$J$2001,$F12,'原子事实记录'!$Q$2:$Q$2001,"是",'原子事实记录'!$R$2:$R$2001,"TN"))</f>
        <v/>
      </c>
      <c r="L12" s="5">
        <f>IF(COUNTA(A12:G12)&lt;7,"",COUNTIFS('原子事实记录'!$C$2:$C$2001,$D12,'原子事实记录'!$E$2:$E$2001,$A12,'原子事实记录'!$F$2:$F$2001,$B12,'原子事实记录'!$G$2:$G$2001,$C12,'原子事实记录'!$I$2:$I$2001,$E12,'原子事实记录'!$J$2:$J$2001,$F12,'原子事实记录'!$Q$2:$Q$2001,"是",'原子事实记录'!$R$2:$R$2001,"未知"))</f>
        <v/>
      </c>
      <c r="M12" s="3" t="n"/>
      <c r="N12" s="3" t="n"/>
      <c r="O12" s="5">
        <f>IF(OR(G12="",M12="",N12=""),"",M12+IF(G12="肯定主张正确率",H12,IF(G12="否定主张正确率",K12,IF(G12="灵敏度",H12,K12))))</f>
        <v/>
      </c>
      <c r="P12" s="5">
        <f>IF(OR(G12="",M12="",N12=""),"",N12+IF(G12="肯定主张正确率",I12,IF(G12="否定主张正确率",J12,IF(G12="灵敏度",J12,I12))))</f>
        <v/>
      </c>
      <c r="Q12" s="7">
        <f>IF(OR(O12="",P12=""),"",O12/(O12+P12))</f>
        <v/>
      </c>
      <c r="R12" s="7">
        <f>IF(Q12="","",BETA.INV(0.025,O12,P12))</f>
        <v/>
      </c>
      <c r="S12" s="7">
        <f>IF(Q12="","",BETA.INV(0.975,O12,P12))</f>
        <v/>
      </c>
      <c r="T12" s="5">
        <f>IF(OR(O12="",P12=""),"",O12+P12-M12-N12)</f>
        <v/>
      </c>
      <c r="U12" s="5">
        <f>IF(T12="","先填完整分组",IF(T12&lt;30,"样本太少：仅描述",IF(T12&lt;100,"只作试点候选","可进入独立验证")))</f>
        <v/>
      </c>
      <c r="V12" s="3" t="n"/>
      <c r="W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5">
        <f>IF(COUNTA(A13:G13)&lt;7,"",COUNTIFS('原子事实记录'!$C$2:$C$2001,$D13,'原子事实记录'!$E$2:$E$2001,$A13,'原子事实记录'!$F$2:$F$2001,$B13,'原子事实记录'!$G$2:$G$2001,$C13,'原子事实记录'!$I$2:$I$2001,$E13,'原子事实记录'!$J$2:$J$2001,$F13,'原子事实记录'!$Q$2:$Q$2001,"是",'原子事实记录'!$R$2:$R$2001,"TP"))</f>
        <v/>
      </c>
      <c r="I13" s="5">
        <f>IF(COUNTA(A13:G13)&lt;7,"",COUNTIFS('原子事实记录'!$C$2:$C$2001,$D13,'原子事实记录'!$E$2:$E$2001,$A13,'原子事实记录'!$F$2:$F$2001,$B13,'原子事实记录'!$G$2:$G$2001,$C13,'原子事实记录'!$I$2:$I$2001,$E13,'原子事实记录'!$J$2:$J$2001,$F13,'原子事实记录'!$Q$2:$Q$2001,"是",'原子事实记录'!$R$2:$R$2001,"FP"))</f>
        <v/>
      </c>
      <c r="J13" s="5">
        <f>IF(COUNTA(A13:G13)&lt;7,"",COUNTIFS('原子事实记录'!$C$2:$C$2001,$D13,'原子事实记录'!$E$2:$E$2001,$A13,'原子事实记录'!$F$2:$F$2001,$B13,'原子事实记录'!$G$2:$G$2001,$C13,'原子事实记录'!$I$2:$I$2001,$E13,'原子事实记录'!$J$2:$J$2001,$F13,'原子事实记录'!$Q$2:$Q$2001,"是",'原子事实记录'!$R$2:$R$2001,"FN"))</f>
        <v/>
      </c>
      <c r="K13" s="5">
        <f>IF(COUNTA(A13:G13)&lt;7,"",COUNTIFS('原子事实记录'!$C$2:$C$2001,$D13,'原子事实记录'!$E$2:$E$2001,$A13,'原子事实记录'!$F$2:$F$2001,$B13,'原子事实记录'!$G$2:$G$2001,$C13,'原子事实记录'!$I$2:$I$2001,$E13,'原子事实记录'!$J$2:$J$2001,$F13,'原子事实记录'!$Q$2:$Q$2001,"是",'原子事实记录'!$R$2:$R$2001,"TN"))</f>
        <v/>
      </c>
      <c r="L13" s="5">
        <f>IF(COUNTA(A13:G13)&lt;7,"",COUNTIFS('原子事实记录'!$C$2:$C$2001,$D13,'原子事实记录'!$E$2:$E$2001,$A13,'原子事实记录'!$F$2:$F$2001,$B13,'原子事实记录'!$G$2:$G$2001,$C13,'原子事实记录'!$I$2:$I$2001,$E13,'原子事实记录'!$J$2:$J$2001,$F13,'原子事实记录'!$Q$2:$Q$2001,"是",'原子事实记录'!$R$2:$R$2001,"未知"))</f>
        <v/>
      </c>
      <c r="M13" s="3" t="n"/>
      <c r="N13" s="3" t="n"/>
      <c r="O13" s="5">
        <f>IF(OR(G13="",M13="",N13=""),"",M13+IF(G13="肯定主张正确率",H13,IF(G13="否定主张正确率",K13,IF(G13="灵敏度",H13,K13))))</f>
        <v/>
      </c>
      <c r="P13" s="5">
        <f>IF(OR(G13="",M13="",N13=""),"",N13+IF(G13="肯定主张正确率",I13,IF(G13="否定主张正确率",J13,IF(G13="灵敏度",J13,I13))))</f>
        <v/>
      </c>
      <c r="Q13" s="7">
        <f>IF(OR(O13="",P13=""),"",O13/(O13+P13))</f>
        <v/>
      </c>
      <c r="R13" s="7">
        <f>IF(Q13="","",BETA.INV(0.025,O13,P13))</f>
        <v/>
      </c>
      <c r="S13" s="7">
        <f>IF(Q13="","",BETA.INV(0.975,O13,P13))</f>
        <v/>
      </c>
      <c r="T13" s="5">
        <f>IF(OR(O13="",P13=""),"",O13+P13-M13-N13)</f>
        <v/>
      </c>
      <c r="U13" s="5">
        <f>IF(T13="","先填完整分组",IF(T13&lt;30,"样本太少：仅描述",IF(T13&lt;100,"只作试点候选","可进入独立验证")))</f>
        <v/>
      </c>
      <c r="V13" s="3" t="n"/>
      <c r="W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5">
        <f>IF(COUNTA(A14:G14)&lt;7,"",COUNTIFS('原子事实记录'!$C$2:$C$2001,$D14,'原子事实记录'!$E$2:$E$2001,$A14,'原子事实记录'!$F$2:$F$2001,$B14,'原子事实记录'!$G$2:$G$2001,$C14,'原子事实记录'!$I$2:$I$2001,$E14,'原子事实记录'!$J$2:$J$2001,$F14,'原子事实记录'!$Q$2:$Q$2001,"是",'原子事实记录'!$R$2:$R$2001,"TP"))</f>
        <v/>
      </c>
      <c r="I14" s="5">
        <f>IF(COUNTA(A14:G14)&lt;7,"",COUNTIFS('原子事实记录'!$C$2:$C$2001,$D14,'原子事实记录'!$E$2:$E$2001,$A14,'原子事实记录'!$F$2:$F$2001,$B14,'原子事实记录'!$G$2:$G$2001,$C14,'原子事实记录'!$I$2:$I$2001,$E14,'原子事实记录'!$J$2:$J$2001,$F14,'原子事实记录'!$Q$2:$Q$2001,"是",'原子事实记录'!$R$2:$R$2001,"FP"))</f>
        <v/>
      </c>
      <c r="J14" s="5">
        <f>IF(COUNTA(A14:G14)&lt;7,"",COUNTIFS('原子事实记录'!$C$2:$C$2001,$D14,'原子事实记录'!$E$2:$E$2001,$A14,'原子事实记录'!$F$2:$F$2001,$B14,'原子事实记录'!$G$2:$G$2001,$C14,'原子事实记录'!$I$2:$I$2001,$E14,'原子事实记录'!$J$2:$J$2001,$F14,'原子事实记录'!$Q$2:$Q$2001,"是",'原子事实记录'!$R$2:$R$2001,"FN"))</f>
        <v/>
      </c>
      <c r="K14" s="5">
        <f>IF(COUNTA(A14:G14)&lt;7,"",COUNTIFS('原子事实记录'!$C$2:$C$2001,$D14,'原子事实记录'!$E$2:$E$2001,$A14,'原子事实记录'!$F$2:$F$2001,$B14,'原子事实记录'!$G$2:$G$2001,$C14,'原子事实记录'!$I$2:$I$2001,$E14,'原子事实记录'!$J$2:$J$2001,$F14,'原子事实记录'!$Q$2:$Q$2001,"是",'原子事实记录'!$R$2:$R$2001,"TN"))</f>
        <v/>
      </c>
      <c r="L14" s="5">
        <f>IF(COUNTA(A14:G14)&lt;7,"",COUNTIFS('原子事实记录'!$C$2:$C$2001,$D14,'原子事实记录'!$E$2:$E$2001,$A14,'原子事实记录'!$F$2:$F$2001,$B14,'原子事实记录'!$G$2:$G$2001,$C14,'原子事实记录'!$I$2:$I$2001,$E14,'原子事实记录'!$J$2:$J$2001,$F14,'原子事实记录'!$Q$2:$Q$2001,"是",'原子事实记录'!$R$2:$R$2001,"未知"))</f>
        <v/>
      </c>
      <c r="M14" s="3" t="n"/>
      <c r="N14" s="3" t="n"/>
      <c r="O14" s="5">
        <f>IF(OR(G14="",M14="",N14=""),"",M14+IF(G14="肯定主张正确率",H14,IF(G14="否定主张正确率",K14,IF(G14="灵敏度",H14,K14))))</f>
        <v/>
      </c>
      <c r="P14" s="5">
        <f>IF(OR(G14="",M14="",N14=""),"",N14+IF(G14="肯定主张正确率",I14,IF(G14="否定主张正确率",J14,IF(G14="灵敏度",J14,I14))))</f>
        <v/>
      </c>
      <c r="Q14" s="7">
        <f>IF(OR(O14="",P14=""),"",O14/(O14+P14))</f>
        <v/>
      </c>
      <c r="R14" s="7">
        <f>IF(Q14="","",BETA.INV(0.025,O14,P14))</f>
        <v/>
      </c>
      <c r="S14" s="7">
        <f>IF(Q14="","",BETA.INV(0.975,O14,P14))</f>
        <v/>
      </c>
      <c r="T14" s="5">
        <f>IF(OR(O14="",P14=""),"",O14+P14-M14-N14)</f>
        <v/>
      </c>
      <c r="U14" s="5">
        <f>IF(T14="","先填完整分组",IF(T14&lt;30,"样本太少：仅描述",IF(T14&lt;100,"只作试点候选","可进入独立验证")))</f>
        <v/>
      </c>
      <c r="V14" s="3" t="n"/>
      <c r="W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5">
        <f>IF(COUNTA(A15:G15)&lt;7,"",COUNTIFS('原子事实记录'!$C$2:$C$2001,$D15,'原子事实记录'!$E$2:$E$2001,$A15,'原子事实记录'!$F$2:$F$2001,$B15,'原子事实记录'!$G$2:$G$2001,$C15,'原子事实记录'!$I$2:$I$2001,$E15,'原子事实记录'!$J$2:$J$2001,$F15,'原子事实记录'!$Q$2:$Q$2001,"是",'原子事实记录'!$R$2:$R$2001,"TP"))</f>
        <v/>
      </c>
      <c r="I15" s="5">
        <f>IF(COUNTA(A15:G15)&lt;7,"",COUNTIFS('原子事实记录'!$C$2:$C$2001,$D15,'原子事实记录'!$E$2:$E$2001,$A15,'原子事实记录'!$F$2:$F$2001,$B15,'原子事实记录'!$G$2:$G$2001,$C15,'原子事实记录'!$I$2:$I$2001,$E15,'原子事实记录'!$J$2:$J$2001,$F15,'原子事实记录'!$Q$2:$Q$2001,"是",'原子事实记录'!$R$2:$R$2001,"FP"))</f>
        <v/>
      </c>
      <c r="J15" s="5">
        <f>IF(COUNTA(A15:G15)&lt;7,"",COUNTIFS('原子事实记录'!$C$2:$C$2001,$D15,'原子事实记录'!$E$2:$E$2001,$A15,'原子事实记录'!$F$2:$F$2001,$B15,'原子事实记录'!$G$2:$G$2001,$C15,'原子事实记录'!$I$2:$I$2001,$E15,'原子事实记录'!$J$2:$J$2001,$F15,'原子事实记录'!$Q$2:$Q$2001,"是",'原子事实记录'!$R$2:$R$2001,"FN"))</f>
        <v/>
      </c>
      <c r="K15" s="5">
        <f>IF(COUNTA(A15:G15)&lt;7,"",COUNTIFS('原子事实记录'!$C$2:$C$2001,$D15,'原子事实记录'!$E$2:$E$2001,$A15,'原子事实记录'!$F$2:$F$2001,$B15,'原子事实记录'!$G$2:$G$2001,$C15,'原子事实记录'!$I$2:$I$2001,$E15,'原子事实记录'!$J$2:$J$2001,$F15,'原子事实记录'!$Q$2:$Q$2001,"是",'原子事实记录'!$R$2:$R$2001,"TN"))</f>
        <v/>
      </c>
      <c r="L15" s="5">
        <f>IF(COUNTA(A15:G15)&lt;7,"",COUNTIFS('原子事实记录'!$C$2:$C$2001,$D15,'原子事实记录'!$E$2:$E$2001,$A15,'原子事实记录'!$F$2:$F$2001,$B15,'原子事实记录'!$G$2:$G$2001,$C15,'原子事实记录'!$I$2:$I$2001,$E15,'原子事实记录'!$J$2:$J$2001,$F15,'原子事实记录'!$Q$2:$Q$2001,"是",'原子事实记录'!$R$2:$R$2001,"未知"))</f>
        <v/>
      </c>
      <c r="M15" s="3" t="n"/>
      <c r="N15" s="3" t="n"/>
      <c r="O15" s="5">
        <f>IF(OR(G15="",M15="",N15=""),"",M15+IF(G15="肯定主张正确率",H15,IF(G15="否定主张正确率",K15,IF(G15="灵敏度",H15,K15))))</f>
        <v/>
      </c>
      <c r="P15" s="5">
        <f>IF(OR(G15="",M15="",N15=""),"",N15+IF(G15="肯定主张正确率",I15,IF(G15="否定主张正确率",J15,IF(G15="灵敏度",J15,I15))))</f>
        <v/>
      </c>
      <c r="Q15" s="7">
        <f>IF(OR(O15="",P15=""),"",O15/(O15+P15))</f>
        <v/>
      </c>
      <c r="R15" s="7">
        <f>IF(Q15="","",BETA.INV(0.025,O15,P15))</f>
        <v/>
      </c>
      <c r="S15" s="7">
        <f>IF(Q15="","",BETA.INV(0.975,O15,P15))</f>
        <v/>
      </c>
      <c r="T15" s="5">
        <f>IF(OR(O15="",P15=""),"",O15+P15-M15-N15)</f>
        <v/>
      </c>
      <c r="U15" s="5">
        <f>IF(T15="","先填完整分组",IF(T15&lt;30,"样本太少：仅描述",IF(T15&lt;100,"只作试点候选","可进入独立验证")))</f>
        <v/>
      </c>
      <c r="V15" s="3" t="n"/>
      <c r="W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5">
        <f>IF(COUNTA(A16:G16)&lt;7,"",COUNTIFS('原子事实记录'!$C$2:$C$2001,$D16,'原子事实记录'!$E$2:$E$2001,$A16,'原子事实记录'!$F$2:$F$2001,$B16,'原子事实记录'!$G$2:$G$2001,$C16,'原子事实记录'!$I$2:$I$2001,$E16,'原子事实记录'!$J$2:$J$2001,$F16,'原子事实记录'!$Q$2:$Q$2001,"是",'原子事实记录'!$R$2:$R$2001,"TP"))</f>
        <v/>
      </c>
      <c r="I16" s="5">
        <f>IF(COUNTA(A16:G16)&lt;7,"",COUNTIFS('原子事实记录'!$C$2:$C$2001,$D16,'原子事实记录'!$E$2:$E$2001,$A16,'原子事实记录'!$F$2:$F$2001,$B16,'原子事实记录'!$G$2:$G$2001,$C16,'原子事实记录'!$I$2:$I$2001,$E16,'原子事实记录'!$J$2:$J$2001,$F16,'原子事实记录'!$Q$2:$Q$2001,"是",'原子事实记录'!$R$2:$R$2001,"FP"))</f>
        <v/>
      </c>
      <c r="J16" s="5">
        <f>IF(COUNTA(A16:G16)&lt;7,"",COUNTIFS('原子事实记录'!$C$2:$C$2001,$D16,'原子事实记录'!$E$2:$E$2001,$A16,'原子事实记录'!$F$2:$F$2001,$B16,'原子事实记录'!$G$2:$G$2001,$C16,'原子事实记录'!$I$2:$I$2001,$E16,'原子事实记录'!$J$2:$J$2001,$F16,'原子事实记录'!$Q$2:$Q$2001,"是",'原子事实记录'!$R$2:$R$2001,"FN"))</f>
        <v/>
      </c>
      <c r="K16" s="5">
        <f>IF(COUNTA(A16:G16)&lt;7,"",COUNTIFS('原子事实记录'!$C$2:$C$2001,$D16,'原子事实记录'!$E$2:$E$2001,$A16,'原子事实记录'!$F$2:$F$2001,$B16,'原子事实记录'!$G$2:$G$2001,$C16,'原子事实记录'!$I$2:$I$2001,$E16,'原子事实记录'!$J$2:$J$2001,$F16,'原子事实记录'!$Q$2:$Q$2001,"是",'原子事实记录'!$R$2:$R$2001,"TN"))</f>
        <v/>
      </c>
      <c r="L16" s="5">
        <f>IF(COUNTA(A16:G16)&lt;7,"",COUNTIFS('原子事实记录'!$C$2:$C$2001,$D16,'原子事实记录'!$E$2:$E$2001,$A16,'原子事实记录'!$F$2:$F$2001,$B16,'原子事实记录'!$G$2:$G$2001,$C16,'原子事实记录'!$I$2:$I$2001,$E16,'原子事实记录'!$J$2:$J$2001,$F16,'原子事实记录'!$Q$2:$Q$2001,"是",'原子事实记录'!$R$2:$R$2001,"未知"))</f>
        <v/>
      </c>
      <c r="M16" s="3" t="n"/>
      <c r="N16" s="3" t="n"/>
      <c r="O16" s="5">
        <f>IF(OR(G16="",M16="",N16=""),"",M16+IF(G16="肯定主张正确率",H16,IF(G16="否定主张正确率",K16,IF(G16="灵敏度",H16,K16))))</f>
        <v/>
      </c>
      <c r="P16" s="5">
        <f>IF(OR(G16="",M16="",N16=""),"",N16+IF(G16="肯定主张正确率",I16,IF(G16="否定主张正确率",J16,IF(G16="灵敏度",J16,I16))))</f>
        <v/>
      </c>
      <c r="Q16" s="7">
        <f>IF(OR(O16="",P16=""),"",O16/(O16+P16))</f>
        <v/>
      </c>
      <c r="R16" s="7">
        <f>IF(Q16="","",BETA.INV(0.025,O16,P16))</f>
        <v/>
      </c>
      <c r="S16" s="7">
        <f>IF(Q16="","",BETA.INV(0.975,O16,P16))</f>
        <v/>
      </c>
      <c r="T16" s="5">
        <f>IF(OR(O16="",P16=""),"",O16+P16-M16-N16)</f>
        <v/>
      </c>
      <c r="U16" s="5">
        <f>IF(T16="","先填完整分组",IF(T16&lt;30,"样本太少：仅描述",IF(T16&lt;100,"只作试点候选","可进入独立验证")))</f>
        <v/>
      </c>
      <c r="V16" s="3" t="n"/>
      <c r="W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5">
        <f>IF(COUNTA(A17:G17)&lt;7,"",COUNTIFS('原子事实记录'!$C$2:$C$2001,$D17,'原子事实记录'!$E$2:$E$2001,$A17,'原子事实记录'!$F$2:$F$2001,$B17,'原子事实记录'!$G$2:$G$2001,$C17,'原子事实记录'!$I$2:$I$2001,$E17,'原子事实记录'!$J$2:$J$2001,$F17,'原子事实记录'!$Q$2:$Q$2001,"是",'原子事实记录'!$R$2:$R$2001,"TP"))</f>
        <v/>
      </c>
      <c r="I17" s="5">
        <f>IF(COUNTA(A17:G17)&lt;7,"",COUNTIFS('原子事实记录'!$C$2:$C$2001,$D17,'原子事实记录'!$E$2:$E$2001,$A17,'原子事实记录'!$F$2:$F$2001,$B17,'原子事实记录'!$G$2:$G$2001,$C17,'原子事实记录'!$I$2:$I$2001,$E17,'原子事实记录'!$J$2:$J$2001,$F17,'原子事实记录'!$Q$2:$Q$2001,"是",'原子事实记录'!$R$2:$R$2001,"FP"))</f>
        <v/>
      </c>
      <c r="J17" s="5">
        <f>IF(COUNTA(A17:G17)&lt;7,"",COUNTIFS('原子事实记录'!$C$2:$C$2001,$D17,'原子事实记录'!$E$2:$E$2001,$A17,'原子事实记录'!$F$2:$F$2001,$B17,'原子事实记录'!$G$2:$G$2001,$C17,'原子事实记录'!$I$2:$I$2001,$E17,'原子事实记录'!$J$2:$J$2001,$F17,'原子事实记录'!$Q$2:$Q$2001,"是",'原子事实记录'!$R$2:$R$2001,"FN"))</f>
        <v/>
      </c>
      <c r="K17" s="5">
        <f>IF(COUNTA(A17:G17)&lt;7,"",COUNTIFS('原子事实记录'!$C$2:$C$2001,$D17,'原子事实记录'!$E$2:$E$2001,$A17,'原子事实记录'!$F$2:$F$2001,$B17,'原子事实记录'!$G$2:$G$2001,$C17,'原子事实记录'!$I$2:$I$2001,$E17,'原子事实记录'!$J$2:$J$2001,$F17,'原子事实记录'!$Q$2:$Q$2001,"是",'原子事实记录'!$R$2:$R$2001,"TN"))</f>
        <v/>
      </c>
      <c r="L17" s="5">
        <f>IF(COUNTA(A17:G17)&lt;7,"",COUNTIFS('原子事实记录'!$C$2:$C$2001,$D17,'原子事实记录'!$E$2:$E$2001,$A17,'原子事实记录'!$F$2:$F$2001,$B17,'原子事实记录'!$G$2:$G$2001,$C17,'原子事实记录'!$I$2:$I$2001,$E17,'原子事实记录'!$J$2:$J$2001,$F17,'原子事实记录'!$Q$2:$Q$2001,"是",'原子事实记录'!$R$2:$R$2001,"未知"))</f>
        <v/>
      </c>
      <c r="M17" s="3" t="n"/>
      <c r="N17" s="3" t="n"/>
      <c r="O17" s="5">
        <f>IF(OR(G17="",M17="",N17=""),"",M17+IF(G17="肯定主张正确率",H17,IF(G17="否定主张正确率",K17,IF(G17="灵敏度",H17,K17))))</f>
        <v/>
      </c>
      <c r="P17" s="5">
        <f>IF(OR(G17="",M17="",N17=""),"",N17+IF(G17="肯定主张正确率",I17,IF(G17="否定主张正确率",J17,IF(G17="灵敏度",J17,I17))))</f>
        <v/>
      </c>
      <c r="Q17" s="7">
        <f>IF(OR(O17="",P17=""),"",O17/(O17+P17))</f>
        <v/>
      </c>
      <c r="R17" s="7">
        <f>IF(Q17="","",BETA.INV(0.025,O17,P17))</f>
        <v/>
      </c>
      <c r="S17" s="7">
        <f>IF(Q17="","",BETA.INV(0.975,O17,P17))</f>
        <v/>
      </c>
      <c r="T17" s="5">
        <f>IF(OR(O17="",P17=""),"",O17+P17-M17-N17)</f>
        <v/>
      </c>
      <c r="U17" s="5">
        <f>IF(T17="","先填完整分组",IF(T17&lt;30,"样本太少：仅描述",IF(T17&lt;100,"只作试点候选","可进入独立验证")))</f>
        <v/>
      </c>
      <c r="V17" s="3" t="n"/>
      <c r="W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5">
        <f>IF(COUNTA(A18:G18)&lt;7,"",COUNTIFS('原子事实记录'!$C$2:$C$2001,$D18,'原子事实记录'!$E$2:$E$2001,$A18,'原子事实记录'!$F$2:$F$2001,$B18,'原子事实记录'!$G$2:$G$2001,$C18,'原子事实记录'!$I$2:$I$2001,$E18,'原子事实记录'!$J$2:$J$2001,$F18,'原子事实记录'!$Q$2:$Q$2001,"是",'原子事实记录'!$R$2:$R$2001,"TP"))</f>
        <v/>
      </c>
      <c r="I18" s="5">
        <f>IF(COUNTA(A18:G18)&lt;7,"",COUNTIFS('原子事实记录'!$C$2:$C$2001,$D18,'原子事实记录'!$E$2:$E$2001,$A18,'原子事实记录'!$F$2:$F$2001,$B18,'原子事实记录'!$G$2:$G$2001,$C18,'原子事实记录'!$I$2:$I$2001,$E18,'原子事实记录'!$J$2:$J$2001,$F18,'原子事实记录'!$Q$2:$Q$2001,"是",'原子事实记录'!$R$2:$R$2001,"FP"))</f>
        <v/>
      </c>
      <c r="J18" s="5">
        <f>IF(COUNTA(A18:G18)&lt;7,"",COUNTIFS('原子事实记录'!$C$2:$C$2001,$D18,'原子事实记录'!$E$2:$E$2001,$A18,'原子事实记录'!$F$2:$F$2001,$B18,'原子事实记录'!$G$2:$G$2001,$C18,'原子事实记录'!$I$2:$I$2001,$E18,'原子事实记录'!$J$2:$J$2001,$F18,'原子事实记录'!$Q$2:$Q$2001,"是",'原子事实记录'!$R$2:$R$2001,"FN"))</f>
        <v/>
      </c>
      <c r="K18" s="5">
        <f>IF(COUNTA(A18:G18)&lt;7,"",COUNTIFS('原子事实记录'!$C$2:$C$2001,$D18,'原子事实记录'!$E$2:$E$2001,$A18,'原子事实记录'!$F$2:$F$2001,$B18,'原子事实记录'!$G$2:$G$2001,$C18,'原子事实记录'!$I$2:$I$2001,$E18,'原子事实记录'!$J$2:$J$2001,$F18,'原子事实记录'!$Q$2:$Q$2001,"是",'原子事实记录'!$R$2:$R$2001,"TN"))</f>
        <v/>
      </c>
      <c r="L18" s="5">
        <f>IF(COUNTA(A18:G18)&lt;7,"",COUNTIFS('原子事实记录'!$C$2:$C$2001,$D18,'原子事实记录'!$E$2:$E$2001,$A18,'原子事实记录'!$F$2:$F$2001,$B18,'原子事实记录'!$G$2:$G$2001,$C18,'原子事实记录'!$I$2:$I$2001,$E18,'原子事实记录'!$J$2:$J$2001,$F18,'原子事实记录'!$Q$2:$Q$2001,"是",'原子事实记录'!$R$2:$R$2001,"未知"))</f>
        <v/>
      </c>
      <c r="M18" s="3" t="n"/>
      <c r="N18" s="3" t="n"/>
      <c r="O18" s="5">
        <f>IF(OR(G18="",M18="",N18=""),"",M18+IF(G18="肯定主张正确率",H18,IF(G18="否定主张正确率",K18,IF(G18="灵敏度",H18,K18))))</f>
        <v/>
      </c>
      <c r="P18" s="5">
        <f>IF(OR(G18="",M18="",N18=""),"",N18+IF(G18="肯定主张正确率",I18,IF(G18="否定主张正确率",J18,IF(G18="灵敏度",J18,I18))))</f>
        <v/>
      </c>
      <c r="Q18" s="7">
        <f>IF(OR(O18="",P18=""),"",O18/(O18+P18))</f>
        <v/>
      </c>
      <c r="R18" s="7">
        <f>IF(Q18="","",BETA.INV(0.025,O18,P18))</f>
        <v/>
      </c>
      <c r="S18" s="7">
        <f>IF(Q18="","",BETA.INV(0.975,O18,P18))</f>
        <v/>
      </c>
      <c r="T18" s="5">
        <f>IF(OR(O18="",P18=""),"",O18+P18-M18-N18)</f>
        <v/>
      </c>
      <c r="U18" s="5">
        <f>IF(T18="","先填完整分组",IF(T18&lt;30,"样本太少：仅描述",IF(T18&lt;100,"只作试点候选","可进入独立验证")))</f>
        <v/>
      </c>
      <c r="V18" s="3" t="n"/>
      <c r="W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5">
        <f>IF(COUNTA(A19:G19)&lt;7,"",COUNTIFS('原子事实记录'!$C$2:$C$2001,$D19,'原子事实记录'!$E$2:$E$2001,$A19,'原子事实记录'!$F$2:$F$2001,$B19,'原子事实记录'!$G$2:$G$2001,$C19,'原子事实记录'!$I$2:$I$2001,$E19,'原子事实记录'!$J$2:$J$2001,$F19,'原子事实记录'!$Q$2:$Q$2001,"是",'原子事实记录'!$R$2:$R$2001,"TP"))</f>
        <v/>
      </c>
      <c r="I19" s="5">
        <f>IF(COUNTA(A19:G19)&lt;7,"",COUNTIFS('原子事实记录'!$C$2:$C$2001,$D19,'原子事实记录'!$E$2:$E$2001,$A19,'原子事实记录'!$F$2:$F$2001,$B19,'原子事实记录'!$G$2:$G$2001,$C19,'原子事实记录'!$I$2:$I$2001,$E19,'原子事实记录'!$J$2:$J$2001,$F19,'原子事实记录'!$Q$2:$Q$2001,"是",'原子事实记录'!$R$2:$R$2001,"FP"))</f>
        <v/>
      </c>
      <c r="J19" s="5">
        <f>IF(COUNTA(A19:G19)&lt;7,"",COUNTIFS('原子事实记录'!$C$2:$C$2001,$D19,'原子事实记录'!$E$2:$E$2001,$A19,'原子事实记录'!$F$2:$F$2001,$B19,'原子事实记录'!$G$2:$G$2001,$C19,'原子事实记录'!$I$2:$I$2001,$E19,'原子事实记录'!$J$2:$J$2001,$F19,'原子事实记录'!$Q$2:$Q$2001,"是",'原子事实记录'!$R$2:$R$2001,"FN"))</f>
        <v/>
      </c>
      <c r="K19" s="5">
        <f>IF(COUNTA(A19:G19)&lt;7,"",COUNTIFS('原子事实记录'!$C$2:$C$2001,$D19,'原子事实记录'!$E$2:$E$2001,$A19,'原子事实记录'!$F$2:$F$2001,$B19,'原子事实记录'!$G$2:$G$2001,$C19,'原子事实记录'!$I$2:$I$2001,$E19,'原子事实记录'!$J$2:$J$2001,$F19,'原子事实记录'!$Q$2:$Q$2001,"是",'原子事实记录'!$R$2:$R$2001,"TN"))</f>
        <v/>
      </c>
      <c r="L19" s="5">
        <f>IF(COUNTA(A19:G19)&lt;7,"",COUNTIFS('原子事实记录'!$C$2:$C$2001,$D19,'原子事实记录'!$E$2:$E$2001,$A19,'原子事实记录'!$F$2:$F$2001,$B19,'原子事实记录'!$G$2:$G$2001,$C19,'原子事实记录'!$I$2:$I$2001,$E19,'原子事实记录'!$J$2:$J$2001,$F19,'原子事实记录'!$Q$2:$Q$2001,"是",'原子事实记录'!$R$2:$R$2001,"未知"))</f>
        <v/>
      </c>
      <c r="M19" s="3" t="n"/>
      <c r="N19" s="3" t="n"/>
      <c r="O19" s="5">
        <f>IF(OR(G19="",M19="",N19=""),"",M19+IF(G19="肯定主张正确率",H19,IF(G19="否定主张正确率",K19,IF(G19="灵敏度",H19,K19))))</f>
        <v/>
      </c>
      <c r="P19" s="5">
        <f>IF(OR(G19="",M19="",N19=""),"",N19+IF(G19="肯定主张正确率",I19,IF(G19="否定主张正确率",J19,IF(G19="灵敏度",J19,I19))))</f>
        <v/>
      </c>
      <c r="Q19" s="7">
        <f>IF(OR(O19="",P19=""),"",O19/(O19+P19))</f>
        <v/>
      </c>
      <c r="R19" s="7">
        <f>IF(Q19="","",BETA.INV(0.025,O19,P19))</f>
        <v/>
      </c>
      <c r="S19" s="7">
        <f>IF(Q19="","",BETA.INV(0.975,O19,P19))</f>
        <v/>
      </c>
      <c r="T19" s="5">
        <f>IF(OR(O19="",P19=""),"",O19+P19-M19-N19)</f>
        <v/>
      </c>
      <c r="U19" s="5">
        <f>IF(T19="","先填完整分组",IF(T19&lt;30,"样本太少：仅描述",IF(T19&lt;100,"只作试点候选","可进入独立验证")))</f>
        <v/>
      </c>
      <c r="V19" s="3" t="n"/>
      <c r="W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5">
        <f>IF(COUNTA(A20:G20)&lt;7,"",COUNTIFS('原子事实记录'!$C$2:$C$2001,$D20,'原子事实记录'!$E$2:$E$2001,$A20,'原子事实记录'!$F$2:$F$2001,$B20,'原子事实记录'!$G$2:$G$2001,$C20,'原子事实记录'!$I$2:$I$2001,$E20,'原子事实记录'!$J$2:$J$2001,$F20,'原子事实记录'!$Q$2:$Q$2001,"是",'原子事实记录'!$R$2:$R$2001,"TP"))</f>
        <v/>
      </c>
      <c r="I20" s="5">
        <f>IF(COUNTA(A20:G20)&lt;7,"",COUNTIFS('原子事实记录'!$C$2:$C$2001,$D20,'原子事实记录'!$E$2:$E$2001,$A20,'原子事实记录'!$F$2:$F$2001,$B20,'原子事实记录'!$G$2:$G$2001,$C20,'原子事实记录'!$I$2:$I$2001,$E20,'原子事实记录'!$J$2:$J$2001,$F20,'原子事实记录'!$Q$2:$Q$2001,"是",'原子事实记录'!$R$2:$R$2001,"FP"))</f>
        <v/>
      </c>
      <c r="J20" s="5">
        <f>IF(COUNTA(A20:G20)&lt;7,"",COUNTIFS('原子事实记录'!$C$2:$C$2001,$D20,'原子事实记录'!$E$2:$E$2001,$A20,'原子事实记录'!$F$2:$F$2001,$B20,'原子事实记录'!$G$2:$G$2001,$C20,'原子事实记录'!$I$2:$I$2001,$E20,'原子事实记录'!$J$2:$J$2001,$F20,'原子事实记录'!$Q$2:$Q$2001,"是",'原子事实记录'!$R$2:$R$2001,"FN"))</f>
        <v/>
      </c>
      <c r="K20" s="5">
        <f>IF(COUNTA(A20:G20)&lt;7,"",COUNTIFS('原子事实记录'!$C$2:$C$2001,$D20,'原子事实记录'!$E$2:$E$2001,$A20,'原子事实记录'!$F$2:$F$2001,$B20,'原子事实记录'!$G$2:$G$2001,$C20,'原子事实记录'!$I$2:$I$2001,$E20,'原子事实记录'!$J$2:$J$2001,$F20,'原子事实记录'!$Q$2:$Q$2001,"是",'原子事实记录'!$R$2:$R$2001,"TN"))</f>
        <v/>
      </c>
      <c r="L20" s="5">
        <f>IF(COUNTA(A20:G20)&lt;7,"",COUNTIFS('原子事实记录'!$C$2:$C$2001,$D20,'原子事实记录'!$E$2:$E$2001,$A20,'原子事实记录'!$F$2:$F$2001,$B20,'原子事实记录'!$G$2:$G$2001,$C20,'原子事实记录'!$I$2:$I$2001,$E20,'原子事实记录'!$J$2:$J$2001,$F20,'原子事实记录'!$Q$2:$Q$2001,"是",'原子事实记录'!$R$2:$R$2001,"未知"))</f>
        <v/>
      </c>
      <c r="M20" s="3" t="n"/>
      <c r="N20" s="3" t="n"/>
      <c r="O20" s="5">
        <f>IF(OR(G20="",M20="",N20=""),"",M20+IF(G20="肯定主张正确率",H20,IF(G20="否定主张正确率",K20,IF(G20="灵敏度",H20,K20))))</f>
        <v/>
      </c>
      <c r="P20" s="5">
        <f>IF(OR(G20="",M20="",N20=""),"",N20+IF(G20="肯定主张正确率",I20,IF(G20="否定主张正确率",J20,IF(G20="灵敏度",J20,I20))))</f>
        <v/>
      </c>
      <c r="Q20" s="7">
        <f>IF(OR(O20="",P20=""),"",O20/(O20+P20))</f>
        <v/>
      </c>
      <c r="R20" s="7">
        <f>IF(Q20="","",BETA.INV(0.025,O20,P20))</f>
        <v/>
      </c>
      <c r="S20" s="7">
        <f>IF(Q20="","",BETA.INV(0.975,O20,P20))</f>
        <v/>
      </c>
      <c r="T20" s="5">
        <f>IF(OR(O20="",P20=""),"",O20+P20-M20-N20)</f>
        <v/>
      </c>
      <c r="U20" s="5">
        <f>IF(T20="","先填完整分组",IF(T20&lt;30,"样本太少：仅描述",IF(T20&lt;100,"只作试点候选","可进入独立验证")))</f>
        <v/>
      </c>
      <c r="V20" s="3" t="n"/>
      <c r="W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5">
        <f>IF(COUNTA(A21:G21)&lt;7,"",COUNTIFS('原子事实记录'!$C$2:$C$2001,$D21,'原子事实记录'!$E$2:$E$2001,$A21,'原子事实记录'!$F$2:$F$2001,$B21,'原子事实记录'!$G$2:$G$2001,$C21,'原子事实记录'!$I$2:$I$2001,$E21,'原子事实记录'!$J$2:$J$2001,$F21,'原子事实记录'!$Q$2:$Q$2001,"是",'原子事实记录'!$R$2:$R$2001,"TP"))</f>
        <v/>
      </c>
      <c r="I21" s="5">
        <f>IF(COUNTA(A21:G21)&lt;7,"",COUNTIFS('原子事实记录'!$C$2:$C$2001,$D21,'原子事实记录'!$E$2:$E$2001,$A21,'原子事实记录'!$F$2:$F$2001,$B21,'原子事实记录'!$G$2:$G$2001,$C21,'原子事实记录'!$I$2:$I$2001,$E21,'原子事实记录'!$J$2:$J$2001,$F21,'原子事实记录'!$Q$2:$Q$2001,"是",'原子事实记录'!$R$2:$R$2001,"FP"))</f>
        <v/>
      </c>
      <c r="J21" s="5">
        <f>IF(COUNTA(A21:G21)&lt;7,"",COUNTIFS('原子事实记录'!$C$2:$C$2001,$D21,'原子事实记录'!$E$2:$E$2001,$A21,'原子事实记录'!$F$2:$F$2001,$B21,'原子事实记录'!$G$2:$G$2001,$C21,'原子事实记录'!$I$2:$I$2001,$E21,'原子事实记录'!$J$2:$J$2001,$F21,'原子事实记录'!$Q$2:$Q$2001,"是",'原子事实记录'!$R$2:$R$2001,"FN"))</f>
        <v/>
      </c>
      <c r="K21" s="5">
        <f>IF(COUNTA(A21:G21)&lt;7,"",COUNTIFS('原子事实记录'!$C$2:$C$2001,$D21,'原子事实记录'!$E$2:$E$2001,$A21,'原子事实记录'!$F$2:$F$2001,$B21,'原子事实记录'!$G$2:$G$2001,$C21,'原子事实记录'!$I$2:$I$2001,$E21,'原子事实记录'!$J$2:$J$2001,$F21,'原子事实记录'!$Q$2:$Q$2001,"是",'原子事实记录'!$R$2:$R$2001,"TN"))</f>
        <v/>
      </c>
      <c r="L21" s="5">
        <f>IF(COUNTA(A21:G21)&lt;7,"",COUNTIFS('原子事实记录'!$C$2:$C$2001,$D21,'原子事实记录'!$E$2:$E$2001,$A21,'原子事实记录'!$F$2:$F$2001,$B21,'原子事实记录'!$G$2:$G$2001,$C21,'原子事实记录'!$I$2:$I$2001,$E21,'原子事实记录'!$J$2:$J$2001,$F21,'原子事实记录'!$Q$2:$Q$2001,"是",'原子事实记录'!$R$2:$R$2001,"未知"))</f>
        <v/>
      </c>
      <c r="M21" s="3" t="n"/>
      <c r="N21" s="3" t="n"/>
      <c r="O21" s="5">
        <f>IF(OR(G21="",M21="",N21=""),"",M21+IF(G21="肯定主张正确率",H21,IF(G21="否定主张正确率",K21,IF(G21="灵敏度",H21,K21))))</f>
        <v/>
      </c>
      <c r="P21" s="5">
        <f>IF(OR(G21="",M21="",N21=""),"",N21+IF(G21="肯定主张正确率",I21,IF(G21="否定主张正确率",J21,IF(G21="灵敏度",J21,I21))))</f>
        <v/>
      </c>
      <c r="Q21" s="7">
        <f>IF(OR(O21="",P21=""),"",O21/(O21+P21))</f>
        <v/>
      </c>
      <c r="R21" s="7">
        <f>IF(Q21="","",BETA.INV(0.025,O21,P21))</f>
        <v/>
      </c>
      <c r="S21" s="7">
        <f>IF(Q21="","",BETA.INV(0.975,O21,P21))</f>
        <v/>
      </c>
      <c r="T21" s="5">
        <f>IF(OR(O21="",P21=""),"",O21+P21-M21-N21)</f>
        <v/>
      </c>
      <c r="U21" s="5">
        <f>IF(T21="","先填完整分组",IF(T21&lt;30,"样本太少：仅描述",IF(T21&lt;100,"只作试点候选","可进入独立验证")))</f>
        <v/>
      </c>
      <c r="V21" s="3" t="n"/>
      <c r="W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5">
        <f>IF(COUNTA(A22:G22)&lt;7,"",COUNTIFS('原子事实记录'!$C$2:$C$2001,$D22,'原子事实记录'!$E$2:$E$2001,$A22,'原子事实记录'!$F$2:$F$2001,$B22,'原子事实记录'!$G$2:$G$2001,$C22,'原子事实记录'!$I$2:$I$2001,$E22,'原子事实记录'!$J$2:$J$2001,$F22,'原子事实记录'!$Q$2:$Q$2001,"是",'原子事实记录'!$R$2:$R$2001,"TP"))</f>
        <v/>
      </c>
      <c r="I22" s="5">
        <f>IF(COUNTA(A22:G22)&lt;7,"",COUNTIFS('原子事实记录'!$C$2:$C$2001,$D22,'原子事实记录'!$E$2:$E$2001,$A22,'原子事实记录'!$F$2:$F$2001,$B22,'原子事实记录'!$G$2:$G$2001,$C22,'原子事实记录'!$I$2:$I$2001,$E22,'原子事实记录'!$J$2:$J$2001,$F22,'原子事实记录'!$Q$2:$Q$2001,"是",'原子事实记录'!$R$2:$R$2001,"FP"))</f>
        <v/>
      </c>
      <c r="J22" s="5">
        <f>IF(COUNTA(A22:G22)&lt;7,"",COUNTIFS('原子事实记录'!$C$2:$C$2001,$D22,'原子事实记录'!$E$2:$E$2001,$A22,'原子事实记录'!$F$2:$F$2001,$B22,'原子事实记录'!$G$2:$G$2001,$C22,'原子事实记录'!$I$2:$I$2001,$E22,'原子事实记录'!$J$2:$J$2001,$F22,'原子事实记录'!$Q$2:$Q$2001,"是",'原子事实记录'!$R$2:$R$2001,"FN"))</f>
        <v/>
      </c>
      <c r="K22" s="5">
        <f>IF(COUNTA(A22:G22)&lt;7,"",COUNTIFS('原子事实记录'!$C$2:$C$2001,$D22,'原子事实记录'!$E$2:$E$2001,$A22,'原子事实记录'!$F$2:$F$2001,$B22,'原子事实记录'!$G$2:$G$2001,$C22,'原子事实记录'!$I$2:$I$2001,$E22,'原子事实记录'!$J$2:$J$2001,$F22,'原子事实记录'!$Q$2:$Q$2001,"是",'原子事实记录'!$R$2:$R$2001,"TN"))</f>
        <v/>
      </c>
      <c r="L22" s="5">
        <f>IF(COUNTA(A22:G22)&lt;7,"",COUNTIFS('原子事实记录'!$C$2:$C$2001,$D22,'原子事实记录'!$E$2:$E$2001,$A22,'原子事实记录'!$F$2:$F$2001,$B22,'原子事实记录'!$G$2:$G$2001,$C22,'原子事实记录'!$I$2:$I$2001,$E22,'原子事实记录'!$J$2:$J$2001,$F22,'原子事实记录'!$Q$2:$Q$2001,"是",'原子事实记录'!$R$2:$R$2001,"未知"))</f>
        <v/>
      </c>
      <c r="M22" s="3" t="n"/>
      <c r="N22" s="3" t="n"/>
      <c r="O22" s="5">
        <f>IF(OR(G22="",M22="",N22=""),"",M22+IF(G22="肯定主张正确率",H22,IF(G22="否定主张正确率",K22,IF(G22="灵敏度",H22,K22))))</f>
        <v/>
      </c>
      <c r="P22" s="5">
        <f>IF(OR(G22="",M22="",N22=""),"",N22+IF(G22="肯定主张正确率",I22,IF(G22="否定主张正确率",J22,IF(G22="灵敏度",J22,I22))))</f>
        <v/>
      </c>
      <c r="Q22" s="7">
        <f>IF(OR(O22="",P22=""),"",O22/(O22+P22))</f>
        <v/>
      </c>
      <c r="R22" s="7">
        <f>IF(Q22="","",BETA.INV(0.025,O22,P22))</f>
        <v/>
      </c>
      <c r="S22" s="7">
        <f>IF(Q22="","",BETA.INV(0.975,O22,P22))</f>
        <v/>
      </c>
      <c r="T22" s="5">
        <f>IF(OR(O22="",P22=""),"",O22+P22-M22-N22)</f>
        <v/>
      </c>
      <c r="U22" s="5">
        <f>IF(T22="","先填完整分组",IF(T22&lt;30,"样本太少：仅描述",IF(T22&lt;100,"只作试点候选","可进入独立验证")))</f>
        <v/>
      </c>
      <c r="V22" s="3" t="n"/>
      <c r="W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5">
        <f>IF(COUNTA(A23:G23)&lt;7,"",COUNTIFS('原子事实记录'!$C$2:$C$2001,$D23,'原子事实记录'!$E$2:$E$2001,$A23,'原子事实记录'!$F$2:$F$2001,$B23,'原子事实记录'!$G$2:$G$2001,$C23,'原子事实记录'!$I$2:$I$2001,$E23,'原子事实记录'!$J$2:$J$2001,$F23,'原子事实记录'!$Q$2:$Q$2001,"是",'原子事实记录'!$R$2:$R$2001,"TP"))</f>
        <v/>
      </c>
      <c r="I23" s="5">
        <f>IF(COUNTA(A23:G23)&lt;7,"",COUNTIFS('原子事实记录'!$C$2:$C$2001,$D23,'原子事实记录'!$E$2:$E$2001,$A23,'原子事实记录'!$F$2:$F$2001,$B23,'原子事实记录'!$G$2:$G$2001,$C23,'原子事实记录'!$I$2:$I$2001,$E23,'原子事实记录'!$J$2:$J$2001,$F23,'原子事实记录'!$Q$2:$Q$2001,"是",'原子事实记录'!$R$2:$R$2001,"FP"))</f>
        <v/>
      </c>
      <c r="J23" s="5">
        <f>IF(COUNTA(A23:G23)&lt;7,"",COUNTIFS('原子事实记录'!$C$2:$C$2001,$D23,'原子事实记录'!$E$2:$E$2001,$A23,'原子事实记录'!$F$2:$F$2001,$B23,'原子事实记录'!$G$2:$G$2001,$C23,'原子事实记录'!$I$2:$I$2001,$E23,'原子事实记录'!$J$2:$J$2001,$F23,'原子事实记录'!$Q$2:$Q$2001,"是",'原子事实记录'!$R$2:$R$2001,"FN"))</f>
        <v/>
      </c>
      <c r="K23" s="5">
        <f>IF(COUNTA(A23:G23)&lt;7,"",COUNTIFS('原子事实记录'!$C$2:$C$2001,$D23,'原子事实记录'!$E$2:$E$2001,$A23,'原子事实记录'!$F$2:$F$2001,$B23,'原子事实记录'!$G$2:$G$2001,$C23,'原子事实记录'!$I$2:$I$2001,$E23,'原子事实记录'!$J$2:$J$2001,$F23,'原子事实记录'!$Q$2:$Q$2001,"是",'原子事实记录'!$R$2:$R$2001,"TN"))</f>
        <v/>
      </c>
      <c r="L23" s="5">
        <f>IF(COUNTA(A23:G23)&lt;7,"",COUNTIFS('原子事实记录'!$C$2:$C$2001,$D23,'原子事实记录'!$E$2:$E$2001,$A23,'原子事实记录'!$F$2:$F$2001,$B23,'原子事实记录'!$G$2:$G$2001,$C23,'原子事实记录'!$I$2:$I$2001,$E23,'原子事实记录'!$J$2:$J$2001,$F23,'原子事实记录'!$Q$2:$Q$2001,"是",'原子事实记录'!$R$2:$R$2001,"未知"))</f>
        <v/>
      </c>
      <c r="M23" s="3" t="n"/>
      <c r="N23" s="3" t="n"/>
      <c r="O23" s="5">
        <f>IF(OR(G23="",M23="",N23=""),"",M23+IF(G23="肯定主张正确率",H23,IF(G23="否定主张正确率",K23,IF(G23="灵敏度",H23,K23))))</f>
        <v/>
      </c>
      <c r="P23" s="5">
        <f>IF(OR(G23="",M23="",N23=""),"",N23+IF(G23="肯定主张正确率",I23,IF(G23="否定主张正确率",J23,IF(G23="灵敏度",J23,I23))))</f>
        <v/>
      </c>
      <c r="Q23" s="7">
        <f>IF(OR(O23="",P23=""),"",O23/(O23+P23))</f>
        <v/>
      </c>
      <c r="R23" s="7">
        <f>IF(Q23="","",BETA.INV(0.025,O23,P23))</f>
        <v/>
      </c>
      <c r="S23" s="7">
        <f>IF(Q23="","",BETA.INV(0.975,O23,P23))</f>
        <v/>
      </c>
      <c r="T23" s="5">
        <f>IF(OR(O23="",P23=""),"",O23+P23-M23-N23)</f>
        <v/>
      </c>
      <c r="U23" s="5">
        <f>IF(T23="","先填完整分组",IF(T23&lt;30,"样本太少：仅描述",IF(T23&lt;100,"只作试点候选","可进入独立验证")))</f>
        <v/>
      </c>
      <c r="V23" s="3" t="n"/>
      <c r="W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5">
        <f>IF(COUNTA(A24:G24)&lt;7,"",COUNTIFS('原子事实记录'!$C$2:$C$2001,$D24,'原子事实记录'!$E$2:$E$2001,$A24,'原子事实记录'!$F$2:$F$2001,$B24,'原子事实记录'!$G$2:$G$2001,$C24,'原子事实记录'!$I$2:$I$2001,$E24,'原子事实记录'!$J$2:$J$2001,$F24,'原子事实记录'!$Q$2:$Q$2001,"是",'原子事实记录'!$R$2:$R$2001,"TP"))</f>
        <v/>
      </c>
      <c r="I24" s="5">
        <f>IF(COUNTA(A24:G24)&lt;7,"",COUNTIFS('原子事实记录'!$C$2:$C$2001,$D24,'原子事实记录'!$E$2:$E$2001,$A24,'原子事实记录'!$F$2:$F$2001,$B24,'原子事实记录'!$G$2:$G$2001,$C24,'原子事实记录'!$I$2:$I$2001,$E24,'原子事实记录'!$J$2:$J$2001,$F24,'原子事实记录'!$Q$2:$Q$2001,"是",'原子事实记录'!$R$2:$R$2001,"FP"))</f>
        <v/>
      </c>
      <c r="J24" s="5">
        <f>IF(COUNTA(A24:G24)&lt;7,"",COUNTIFS('原子事实记录'!$C$2:$C$2001,$D24,'原子事实记录'!$E$2:$E$2001,$A24,'原子事实记录'!$F$2:$F$2001,$B24,'原子事实记录'!$G$2:$G$2001,$C24,'原子事实记录'!$I$2:$I$2001,$E24,'原子事实记录'!$J$2:$J$2001,$F24,'原子事实记录'!$Q$2:$Q$2001,"是",'原子事实记录'!$R$2:$R$2001,"FN"))</f>
        <v/>
      </c>
      <c r="K24" s="5">
        <f>IF(COUNTA(A24:G24)&lt;7,"",COUNTIFS('原子事实记录'!$C$2:$C$2001,$D24,'原子事实记录'!$E$2:$E$2001,$A24,'原子事实记录'!$F$2:$F$2001,$B24,'原子事实记录'!$G$2:$G$2001,$C24,'原子事实记录'!$I$2:$I$2001,$E24,'原子事实记录'!$J$2:$J$2001,$F24,'原子事实记录'!$Q$2:$Q$2001,"是",'原子事实记录'!$R$2:$R$2001,"TN"))</f>
        <v/>
      </c>
      <c r="L24" s="5">
        <f>IF(COUNTA(A24:G24)&lt;7,"",COUNTIFS('原子事实记录'!$C$2:$C$2001,$D24,'原子事实记录'!$E$2:$E$2001,$A24,'原子事实记录'!$F$2:$F$2001,$B24,'原子事实记录'!$G$2:$G$2001,$C24,'原子事实记录'!$I$2:$I$2001,$E24,'原子事实记录'!$J$2:$J$2001,$F24,'原子事实记录'!$Q$2:$Q$2001,"是",'原子事实记录'!$R$2:$R$2001,"未知"))</f>
        <v/>
      </c>
      <c r="M24" s="3" t="n"/>
      <c r="N24" s="3" t="n"/>
      <c r="O24" s="5">
        <f>IF(OR(G24="",M24="",N24=""),"",M24+IF(G24="肯定主张正确率",H24,IF(G24="否定主张正确率",K24,IF(G24="灵敏度",H24,K24))))</f>
        <v/>
      </c>
      <c r="P24" s="5">
        <f>IF(OR(G24="",M24="",N24=""),"",N24+IF(G24="肯定主张正确率",I24,IF(G24="否定主张正确率",J24,IF(G24="灵敏度",J24,I24))))</f>
        <v/>
      </c>
      <c r="Q24" s="7">
        <f>IF(OR(O24="",P24=""),"",O24/(O24+P24))</f>
        <v/>
      </c>
      <c r="R24" s="7">
        <f>IF(Q24="","",BETA.INV(0.025,O24,P24))</f>
        <v/>
      </c>
      <c r="S24" s="7">
        <f>IF(Q24="","",BETA.INV(0.975,O24,P24))</f>
        <v/>
      </c>
      <c r="T24" s="5">
        <f>IF(OR(O24="",P24=""),"",O24+P24-M24-N24)</f>
        <v/>
      </c>
      <c r="U24" s="5">
        <f>IF(T24="","先填完整分组",IF(T24&lt;30,"样本太少：仅描述",IF(T24&lt;100,"只作试点候选","可进入独立验证")))</f>
        <v/>
      </c>
      <c r="V24" s="3" t="n"/>
      <c r="W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5">
        <f>IF(COUNTA(A25:G25)&lt;7,"",COUNTIFS('原子事实记录'!$C$2:$C$2001,$D25,'原子事实记录'!$E$2:$E$2001,$A25,'原子事实记录'!$F$2:$F$2001,$B25,'原子事实记录'!$G$2:$G$2001,$C25,'原子事实记录'!$I$2:$I$2001,$E25,'原子事实记录'!$J$2:$J$2001,$F25,'原子事实记录'!$Q$2:$Q$2001,"是",'原子事实记录'!$R$2:$R$2001,"TP"))</f>
        <v/>
      </c>
      <c r="I25" s="5">
        <f>IF(COUNTA(A25:G25)&lt;7,"",COUNTIFS('原子事实记录'!$C$2:$C$2001,$D25,'原子事实记录'!$E$2:$E$2001,$A25,'原子事实记录'!$F$2:$F$2001,$B25,'原子事实记录'!$G$2:$G$2001,$C25,'原子事实记录'!$I$2:$I$2001,$E25,'原子事实记录'!$J$2:$J$2001,$F25,'原子事实记录'!$Q$2:$Q$2001,"是",'原子事实记录'!$R$2:$R$2001,"FP"))</f>
        <v/>
      </c>
      <c r="J25" s="5">
        <f>IF(COUNTA(A25:G25)&lt;7,"",COUNTIFS('原子事实记录'!$C$2:$C$2001,$D25,'原子事实记录'!$E$2:$E$2001,$A25,'原子事实记录'!$F$2:$F$2001,$B25,'原子事实记录'!$G$2:$G$2001,$C25,'原子事实记录'!$I$2:$I$2001,$E25,'原子事实记录'!$J$2:$J$2001,$F25,'原子事实记录'!$Q$2:$Q$2001,"是",'原子事实记录'!$R$2:$R$2001,"FN"))</f>
        <v/>
      </c>
      <c r="K25" s="5">
        <f>IF(COUNTA(A25:G25)&lt;7,"",COUNTIFS('原子事实记录'!$C$2:$C$2001,$D25,'原子事实记录'!$E$2:$E$2001,$A25,'原子事实记录'!$F$2:$F$2001,$B25,'原子事实记录'!$G$2:$G$2001,$C25,'原子事实记录'!$I$2:$I$2001,$E25,'原子事实记录'!$J$2:$J$2001,$F25,'原子事实记录'!$Q$2:$Q$2001,"是",'原子事实记录'!$R$2:$R$2001,"TN"))</f>
        <v/>
      </c>
      <c r="L25" s="5">
        <f>IF(COUNTA(A25:G25)&lt;7,"",COUNTIFS('原子事实记录'!$C$2:$C$2001,$D25,'原子事实记录'!$E$2:$E$2001,$A25,'原子事实记录'!$F$2:$F$2001,$B25,'原子事实记录'!$G$2:$G$2001,$C25,'原子事实记录'!$I$2:$I$2001,$E25,'原子事实记录'!$J$2:$J$2001,$F25,'原子事实记录'!$Q$2:$Q$2001,"是",'原子事实记录'!$R$2:$R$2001,"未知"))</f>
        <v/>
      </c>
      <c r="M25" s="3" t="n"/>
      <c r="N25" s="3" t="n"/>
      <c r="O25" s="5">
        <f>IF(OR(G25="",M25="",N25=""),"",M25+IF(G25="肯定主张正确率",H25,IF(G25="否定主张正确率",K25,IF(G25="灵敏度",H25,K25))))</f>
        <v/>
      </c>
      <c r="P25" s="5">
        <f>IF(OR(G25="",M25="",N25=""),"",N25+IF(G25="肯定主张正确率",I25,IF(G25="否定主张正确率",J25,IF(G25="灵敏度",J25,I25))))</f>
        <v/>
      </c>
      <c r="Q25" s="7">
        <f>IF(OR(O25="",P25=""),"",O25/(O25+P25))</f>
        <v/>
      </c>
      <c r="R25" s="7">
        <f>IF(Q25="","",BETA.INV(0.025,O25,P25))</f>
        <v/>
      </c>
      <c r="S25" s="7">
        <f>IF(Q25="","",BETA.INV(0.975,O25,P25))</f>
        <v/>
      </c>
      <c r="T25" s="5">
        <f>IF(OR(O25="",P25=""),"",O25+P25-M25-N25)</f>
        <v/>
      </c>
      <c r="U25" s="5">
        <f>IF(T25="","先填完整分组",IF(T25&lt;30,"样本太少：仅描述",IF(T25&lt;100,"只作试点候选","可进入独立验证")))</f>
        <v/>
      </c>
      <c r="V25" s="3" t="n"/>
      <c r="W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5">
        <f>IF(COUNTA(A26:G26)&lt;7,"",COUNTIFS('原子事实记录'!$C$2:$C$2001,$D26,'原子事实记录'!$E$2:$E$2001,$A26,'原子事实记录'!$F$2:$F$2001,$B26,'原子事实记录'!$G$2:$G$2001,$C26,'原子事实记录'!$I$2:$I$2001,$E26,'原子事实记录'!$J$2:$J$2001,$F26,'原子事实记录'!$Q$2:$Q$2001,"是",'原子事实记录'!$R$2:$R$2001,"TP"))</f>
        <v/>
      </c>
      <c r="I26" s="5">
        <f>IF(COUNTA(A26:G26)&lt;7,"",COUNTIFS('原子事实记录'!$C$2:$C$2001,$D26,'原子事实记录'!$E$2:$E$2001,$A26,'原子事实记录'!$F$2:$F$2001,$B26,'原子事实记录'!$G$2:$G$2001,$C26,'原子事实记录'!$I$2:$I$2001,$E26,'原子事实记录'!$J$2:$J$2001,$F26,'原子事实记录'!$Q$2:$Q$2001,"是",'原子事实记录'!$R$2:$R$2001,"FP"))</f>
        <v/>
      </c>
      <c r="J26" s="5">
        <f>IF(COUNTA(A26:G26)&lt;7,"",COUNTIFS('原子事实记录'!$C$2:$C$2001,$D26,'原子事实记录'!$E$2:$E$2001,$A26,'原子事实记录'!$F$2:$F$2001,$B26,'原子事实记录'!$G$2:$G$2001,$C26,'原子事实记录'!$I$2:$I$2001,$E26,'原子事实记录'!$J$2:$J$2001,$F26,'原子事实记录'!$Q$2:$Q$2001,"是",'原子事实记录'!$R$2:$R$2001,"FN"))</f>
        <v/>
      </c>
      <c r="K26" s="5">
        <f>IF(COUNTA(A26:G26)&lt;7,"",COUNTIFS('原子事实记录'!$C$2:$C$2001,$D26,'原子事实记录'!$E$2:$E$2001,$A26,'原子事实记录'!$F$2:$F$2001,$B26,'原子事实记录'!$G$2:$G$2001,$C26,'原子事实记录'!$I$2:$I$2001,$E26,'原子事实记录'!$J$2:$J$2001,$F26,'原子事实记录'!$Q$2:$Q$2001,"是",'原子事实记录'!$R$2:$R$2001,"TN"))</f>
        <v/>
      </c>
      <c r="L26" s="5">
        <f>IF(COUNTA(A26:G26)&lt;7,"",COUNTIFS('原子事实记录'!$C$2:$C$2001,$D26,'原子事实记录'!$E$2:$E$2001,$A26,'原子事实记录'!$F$2:$F$2001,$B26,'原子事实记录'!$G$2:$G$2001,$C26,'原子事实记录'!$I$2:$I$2001,$E26,'原子事实记录'!$J$2:$J$2001,$F26,'原子事实记录'!$Q$2:$Q$2001,"是",'原子事实记录'!$R$2:$R$2001,"未知"))</f>
        <v/>
      </c>
      <c r="M26" s="3" t="n"/>
      <c r="N26" s="3" t="n"/>
      <c r="O26" s="5">
        <f>IF(OR(G26="",M26="",N26=""),"",M26+IF(G26="肯定主张正确率",H26,IF(G26="否定主张正确率",K26,IF(G26="灵敏度",H26,K26))))</f>
        <v/>
      </c>
      <c r="P26" s="5">
        <f>IF(OR(G26="",M26="",N26=""),"",N26+IF(G26="肯定主张正确率",I26,IF(G26="否定主张正确率",J26,IF(G26="灵敏度",J26,I26))))</f>
        <v/>
      </c>
      <c r="Q26" s="7">
        <f>IF(OR(O26="",P26=""),"",O26/(O26+P26))</f>
        <v/>
      </c>
      <c r="R26" s="7">
        <f>IF(Q26="","",BETA.INV(0.025,O26,P26))</f>
        <v/>
      </c>
      <c r="S26" s="7">
        <f>IF(Q26="","",BETA.INV(0.975,O26,P26))</f>
        <v/>
      </c>
      <c r="T26" s="5">
        <f>IF(OR(O26="",P26=""),"",O26+P26-M26-N26)</f>
        <v/>
      </c>
      <c r="U26" s="5">
        <f>IF(T26="","先填完整分组",IF(T26&lt;30,"样本太少：仅描述",IF(T26&lt;100,"只作试点候选","可进入独立验证")))</f>
        <v/>
      </c>
      <c r="V26" s="3" t="n"/>
      <c r="W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5">
        <f>IF(COUNTA(A27:G27)&lt;7,"",COUNTIFS('原子事实记录'!$C$2:$C$2001,$D27,'原子事实记录'!$E$2:$E$2001,$A27,'原子事实记录'!$F$2:$F$2001,$B27,'原子事实记录'!$G$2:$G$2001,$C27,'原子事实记录'!$I$2:$I$2001,$E27,'原子事实记录'!$J$2:$J$2001,$F27,'原子事实记录'!$Q$2:$Q$2001,"是",'原子事实记录'!$R$2:$R$2001,"TP"))</f>
        <v/>
      </c>
      <c r="I27" s="5">
        <f>IF(COUNTA(A27:G27)&lt;7,"",COUNTIFS('原子事实记录'!$C$2:$C$2001,$D27,'原子事实记录'!$E$2:$E$2001,$A27,'原子事实记录'!$F$2:$F$2001,$B27,'原子事实记录'!$G$2:$G$2001,$C27,'原子事实记录'!$I$2:$I$2001,$E27,'原子事实记录'!$J$2:$J$2001,$F27,'原子事实记录'!$Q$2:$Q$2001,"是",'原子事实记录'!$R$2:$R$2001,"FP"))</f>
        <v/>
      </c>
      <c r="J27" s="5">
        <f>IF(COUNTA(A27:G27)&lt;7,"",COUNTIFS('原子事实记录'!$C$2:$C$2001,$D27,'原子事实记录'!$E$2:$E$2001,$A27,'原子事实记录'!$F$2:$F$2001,$B27,'原子事实记录'!$G$2:$G$2001,$C27,'原子事实记录'!$I$2:$I$2001,$E27,'原子事实记录'!$J$2:$J$2001,$F27,'原子事实记录'!$Q$2:$Q$2001,"是",'原子事实记录'!$R$2:$R$2001,"FN"))</f>
        <v/>
      </c>
      <c r="K27" s="5">
        <f>IF(COUNTA(A27:G27)&lt;7,"",COUNTIFS('原子事实记录'!$C$2:$C$2001,$D27,'原子事实记录'!$E$2:$E$2001,$A27,'原子事实记录'!$F$2:$F$2001,$B27,'原子事实记录'!$G$2:$G$2001,$C27,'原子事实记录'!$I$2:$I$2001,$E27,'原子事实记录'!$J$2:$J$2001,$F27,'原子事实记录'!$Q$2:$Q$2001,"是",'原子事实记录'!$R$2:$R$2001,"TN"))</f>
        <v/>
      </c>
      <c r="L27" s="5">
        <f>IF(COUNTA(A27:G27)&lt;7,"",COUNTIFS('原子事实记录'!$C$2:$C$2001,$D27,'原子事实记录'!$E$2:$E$2001,$A27,'原子事实记录'!$F$2:$F$2001,$B27,'原子事实记录'!$G$2:$G$2001,$C27,'原子事实记录'!$I$2:$I$2001,$E27,'原子事实记录'!$J$2:$J$2001,$F27,'原子事实记录'!$Q$2:$Q$2001,"是",'原子事实记录'!$R$2:$R$2001,"未知"))</f>
        <v/>
      </c>
      <c r="M27" s="3" t="n"/>
      <c r="N27" s="3" t="n"/>
      <c r="O27" s="5">
        <f>IF(OR(G27="",M27="",N27=""),"",M27+IF(G27="肯定主张正确率",H27,IF(G27="否定主张正确率",K27,IF(G27="灵敏度",H27,K27))))</f>
        <v/>
      </c>
      <c r="P27" s="5">
        <f>IF(OR(G27="",M27="",N27=""),"",N27+IF(G27="肯定主张正确率",I27,IF(G27="否定主张正确率",J27,IF(G27="灵敏度",J27,I27))))</f>
        <v/>
      </c>
      <c r="Q27" s="7">
        <f>IF(OR(O27="",P27=""),"",O27/(O27+P27))</f>
        <v/>
      </c>
      <c r="R27" s="7">
        <f>IF(Q27="","",BETA.INV(0.025,O27,P27))</f>
        <v/>
      </c>
      <c r="S27" s="7">
        <f>IF(Q27="","",BETA.INV(0.975,O27,P27))</f>
        <v/>
      </c>
      <c r="T27" s="5">
        <f>IF(OR(O27="",P27=""),"",O27+P27-M27-N27)</f>
        <v/>
      </c>
      <c r="U27" s="5">
        <f>IF(T27="","先填完整分组",IF(T27&lt;30,"样本太少：仅描述",IF(T27&lt;100,"只作试点候选","可进入独立验证")))</f>
        <v/>
      </c>
      <c r="V27" s="3" t="n"/>
      <c r="W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5">
        <f>IF(COUNTA(A28:G28)&lt;7,"",COUNTIFS('原子事实记录'!$C$2:$C$2001,$D28,'原子事实记录'!$E$2:$E$2001,$A28,'原子事实记录'!$F$2:$F$2001,$B28,'原子事实记录'!$G$2:$G$2001,$C28,'原子事实记录'!$I$2:$I$2001,$E28,'原子事实记录'!$J$2:$J$2001,$F28,'原子事实记录'!$Q$2:$Q$2001,"是",'原子事实记录'!$R$2:$R$2001,"TP"))</f>
        <v/>
      </c>
      <c r="I28" s="5">
        <f>IF(COUNTA(A28:G28)&lt;7,"",COUNTIFS('原子事实记录'!$C$2:$C$2001,$D28,'原子事实记录'!$E$2:$E$2001,$A28,'原子事实记录'!$F$2:$F$2001,$B28,'原子事实记录'!$G$2:$G$2001,$C28,'原子事实记录'!$I$2:$I$2001,$E28,'原子事实记录'!$J$2:$J$2001,$F28,'原子事实记录'!$Q$2:$Q$2001,"是",'原子事实记录'!$R$2:$R$2001,"FP"))</f>
        <v/>
      </c>
      <c r="J28" s="5">
        <f>IF(COUNTA(A28:G28)&lt;7,"",COUNTIFS('原子事实记录'!$C$2:$C$2001,$D28,'原子事实记录'!$E$2:$E$2001,$A28,'原子事实记录'!$F$2:$F$2001,$B28,'原子事实记录'!$G$2:$G$2001,$C28,'原子事实记录'!$I$2:$I$2001,$E28,'原子事实记录'!$J$2:$J$2001,$F28,'原子事实记录'!$Q$2:$Q$2001,"是",'原子事实记录'!$R$2:$R$2001,"FN"))</f>
        <v/>
      </c>
      <c r="K28" s="5">
        <f>IF(COUNTA(A28:G28)&lt;7,"",COUNTIFS('原子事实记录'!$C$2:$C$2001,$D28,'原子事实记录'!$E$2:$E$2001,$A28,'原子事实记录'!$F$2:$F$2001,$B28,'原子事实记录'!$G$2:$G$2001,$C28,'原子事实记录'!$I$2:$I$2001,$E28,'原子事实记录'!$J$2:$J$2001,$F28,'原子事实记录'!$Q$2:$Q$2001,"是",'原子事实记录'!$R$2:$R$2001,"TN"))</f>
        <v/>
      </c>
      <c r="L28" s="5">
        <f>IF(COUNTA(A28:G28)&lt;7,"",COUNTIFS('原子事实记录'!$C$2:$C$2001,$D28,'原子事实记录'!$E$2:$E$2001,$A28,'原子事实记录'!$F$2:$F$2001,$B28,'原子事实记录'!$G$2:$G$2001,$C28,'原子事实记录'!$I$2:$I$2001,$E28,'原子事实记录'!$J$2:$J$2001,$F28,'原子事实记录'!$Q$2:$Q$2001,"是",'原子事实记录'!$R$2:$R$2001,"未知"))</f>
        <v/>
      </c>
      <c r="M28" s="3" t="n"/>
      <c r="N28" s="3" t="n"/>
      <c r="O28" s="5">
        <f>IF(OR(G28="",M28="",N28=""),"",M28+IF(G28="肯定主张正确率",H28,IF(G28="否定主张正确率",K28,IF(G28="灵敏度",H28,K28))))</f>
        <v/>
      </c>
      <c r="P28" s="5">
        <f>IF(OR(G28="",M28="",N28=""),"",N28+IF(G28="肯定主张正确率",I28,IF(G28="否定主张正确率",J28,IF(G28="灵敏度",J28,I28))))</f>
        <v/>
      </c>
      <c r="Q28" s="7">
        <f>IF(OR(O28="",P28=""),"",O28/(O28+P28))</f>
        <v/>
      </c>
      <c r="R28" s="7">
        <f>IF(Q28="","",BETA.INV(0.025,O28,P28))</f>
        <v/>
      </c>
      <c r="S28" s="7">
        <f>IF(Q28="","",BETA.INV(0.975,O28,P28))</f>
        <v/>
      </c>
      <c r="T28" s="5">
        <f>IF(OR(O28="",P28=""),"",O28+P28-M28-N28)</f>
        <v/>
      </c>
      <c r="U28" s="5">
        <f>IF(T28="","先填完整分组",IF(T28&lt;30,"样本太少：仅描述",IF(T28&lt;100,"只作试点候选","可进入独立验证")))</f>
        <v/>
      </c>
      <c r="V28" s="3" t="n"/>
      <c r="W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5">
        <f>IF(COUNTA(A29:G29)&lt;7,"",COUNTIFS('原子事实记录'!$C$2:$C$2001,$D29,'原子事实记录'!$E$2:$E$2001,$A29,'原子事实记录'!$F$2:$F$2001,$B29,'原子事实记录'!$G$2:$G$2001,$C29,'原子事实记录'!$I$2:$I$2001,$E29,'原子事实记录'!$J$2:$J$2001,$F29,'原子事实记录'!$Q$2:$Q$2001,"是",'原子事实记录'!$R$2:$R$2001,"TP"))</f>
        <v/>
      </c>
      <c r="I29" s="5">
        <f>IF(COUNTA(A29:G29)&lt;7,"",COUNTIFS('原子事实记录'!$C$2:$C$2001,$D29,'原子事实记录'!$E$2:$E$2001,$A29,'原子事实记录'!$F$2:$F$2001,$B29,'原子事实记录'!$G$2:$G$2001,$C29,'原子事实记录'!$I$2:$I$2001,$E29,'原子事实记录'!$J$2:$J$2001,$F29,'原子事实记录'!$Q$2:$Q$2001,"是",'原子事实记录'!$R$2:$R$2001,"FP"))</f>
        <v/>
      </c>
      <c r="J29" s="5">
        <f>IF(COUNTA(A29:G29)&lt;7,"",COUNTIFS('原子事实记录'!$C$2:$C$2001,$D29,'原子事实记录'!$E$2:$E$2001,$A29,'原子事实记录'!$F$2:$F$2001,$B29,'原子事实记录'!$G$2:$G$2001,$C29,'原子事实记录'!$I$2:$I$2001,$E29,'原子事实记录'!$J$2:$J$2001,$F29,'原子事实记录'!$Q$2:$Q$2001,"是",'原子事实记录'!$R$2:$R$2001,"FN"))</f>
        <v/>
      </c>
      <c r="K29" s="5">
        <f>IF(COUNTA(A29:G29)&lt;7,"",COUNTIFS('原子事实记录'!$C$2:$C$2001,$D29,'原子事实记录'!$E$2:$E$2001,$A29,'原子事实记录'!$F$2:$F$2001,$B29,'原子事实记录'!$G$2:$G$2001,$C29,'原子事实记录'!$I$2:$I$2001,$E29,'原子事实记录'!$J$2:$J$2001,$F29,'原子事实记录'!$Q$2:$Q$2001,"是",'原子事实记录'!$R$2:$R$2001,"TN"))</f>
        <v/>
      </c>
      <c r="L29" s="5">
        <f>IF(COUNTA(A29:G29)&lt;7,"",COUNTIFS('原子事实记录'!$C$2:$C$2001,$D29,'原子事实记录'!$E$2:$E$2001,$A29,'原子事实记录'!$F$2:$F$2001,$B29,'原子事实记录'!$G$2:$G$2001,$C29,'原子事实记录'!$I$2:$I$2001,$E29,'原子事实记录'!$J$2:$J$2001,$F29,'原子事实记录'!$Q$2:$Q$2001,"是",'原子事实记录'!$R$2:$R$2001,"未知"))</f>
        <v/>
      </c>
      <c r="M29" s="3" t="n"/>
      <c r="N29" s="3" t="n"/>
      <c r="O29" s="5">
        <f>IF(OR(G29="",M29="",N29=""),"",M29+IF(G29="肯定主张正确率",H29,IF(G29="否定主张正确率",K29,IF(G29="灵敏度",H29,K29))))</f>
        <v/>
      </c>
      <c r="P29" s="5">
        <f>IF(OR(G29="",M29="",N29=""),"",N29+IF(G29="肯定主张正确率",I29,IF(G29="否定主张正确率",J29,IF(G29="灵敏度",J29,I29))))</f>
        <v/>
      </c>
      <c r="Q29" s="7">
        <f>IF(OR(O29="",P29=""),"",O29/(O29+P29))</f>
        <v/>
      </c>
      <c r="R29" s="7">
        <f>IF(Q29="","",BETA.INV(0.025,O29,P29))</f>
        <v/>
      </c>
      <c r="S29" s="7">
        <f>IF(Q29="","",BETA.INV(0.975,O29,P29))</f>
        <v/>
      </c>
      <c r="T29" s="5">
        <f>IF(OR(O29="",P29=""),"",O29+P29-M29-N29)</f>
        <v/>
      </c>
      <c r="U29" s="5">
        <f>IF(T29="","先填完整分组",IF(T29&lt;30,"样本太少：仅描述",IF(T29&lt;100,"只作试点候选","可进入独立验证")))</f>
        <v/>
      </c>
      <c r="V29" s="3" t="n"/>
      <c r="W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5">
        <f>IF(COUNTA(A30:G30)&lt;7,"",COUNTIFS('原子事实记录'!$C$2:$C$2001,$D30,'原子事实记录'!$E$2:$E$2001,$A30,'原子事实记录'!$F$2:$F$2001,$B30,'原子事实记录'!$G$2:$G$2001,$C30,'原子事实记录'!$I$2:$I$2001,$E30,'原子事实记录'!$J$2:$J$2001,$F30,'原子事实记录'!$Q$2:$Q$2001,"是",'原子事实记录'!$R$2:$R$2001,"TP"))</f>
        <v/>
      </c>
      <c r="I30" s="5">
        <f>IF(COUNTA(A30:G30)&lt;7,"",COUNTIFS('原子事实记录'!$C$2:$C$2001,$D30,'原子事实记录'!$E$2:$E$2001,$A30,'原子事实记录'!$F$2:$F$2001,$B30,'原子事实记录'!$G$2:$G$2001,$C30,'原子事实记录'!$I$2:$I$2001,$E30,'原子事实记录'!$J$2:$J$2001,$F30,'原子事实记录'!$Q$2:$Q$2001,"是",'原子事实记录'!$R$2:$R$2001,"FP"))</f>
        <v/>
      </c>
      <c r="J30" s="5">
        <f>IF(COUNTA(A30:G30)&lt;7,"",COUNTIFS('原子事实记录'!$C$2:$C$2001,$D30,'原子事实记录'!$E$2:$E$2001,$A30,'原子事实记录'!$F$2:$F$2001,$B30,'原子事实记录'!$G$2:$G$2001,$C30,'原子事实记录'!$I$2:$I$2001,$E30,'原子事实记录'!$J$2:$J$2001,$F30,'原子事实记录'!$Q$2:$Q$2001,"是",'原子事实记录'!$R$2:$R$2001,"FN"))</f>
        <v/>
      </c>
      <c r="K30" s="5">
        <f>IF(COUNTA(A30:G30)&lt;7,"",COUNTIFS('原子事实记录'!$C$2:$C$2001,$D30,'原子事实记录'!$E$2:$E$2001,$A30,'原子事实记录'!$F$2:$F$2001,$B30,'原子事实记录'!$G$2:$G$2001,$C30,'原子事实记录'!$I$2:$I$2001,$E30,'原子事实记录'!$J$2:$J$2001,$F30,'原子事实记录'!$Q$2:$Q$2001,"是",'原子事实记录'!$R$2:$R$2001,"TN"))</f>
        <v/>
      </c>
      <c r="L30" s="5">
        <f>IF(COUNTA(A30:G30)&lt;7,"",COUNTIFS('原子事实记录'!$C$2:$C$2001,$D30,'原子事实记录'!$E$2:$E$2001,$A30,'原子事实记录'!$F$2:$F$2001,$B30,'原子事实记录'!$G$2:$G$2001,$C30,'原子事实记录'!$I$2:$I$2001,$E30,'原子事实记录'!$J$2:$J$2001,$F30,'原子事实记录'!$Q$2:$Q$2001,"是",'原子事实记录'!$R$2:$R$2001,"未知"))</f>
        <v/>
      </c>
      <c r="M30" s="3" t="n"/>
      <c r="N30" s="3" t="n"/>
      <c r="O30" s="5">
        <f>IF(OR(G30="",M30="",N30=""),"",M30+IF(G30="肯定主张正确率",H30,IF(G30="否定主张正确率",K30,IF(G30="灵敏度",H30,K30))))</f>
        <v/>
      </c>
      <c r="P30" s="5">
        <f>IF(OR(G30="",M30="",N30=""),"",N30+IF(G30="肯定主张正确率",I30,IF(G30="否定主张正确率",J30,IF(G30="灵敏度",J30,I30))))</f>
        <v/>
      </c>
      <c r="Q30" s="7">
        <f>IF(OR(O30="",P30=""),"",O30/(O30+P30))</f>
        <v/>
      </c>
      <c r="R30" s="7">
        <f>IF(Q30="","",BETA.INV(0.025,O30,P30))</f>
        <v/>
      </c>
      <c r="S30" s="7">
        <f>IF(Q30="","",BETA.INV(0.975,O30,P30))</f>
        <v/>
      </c>
      <c r="T30" s="5">
        <f>IF(OR(O30="",P30=""),"",O30+P30-M30-N30)</f>
        <v/>
      </c>
      <c r="U30" s="5">
        <f>IF(T30="","先填完整分组",IF(T30&lt;30,"样本太少：仅描述",IF(T30&lt;100,"只作试点候选","可进入独立验证")))</f>
        <v/>
      </c>
      <c r="V30" s="3" t="n"/>
      <c r="W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5">
        <f>IF(COUNTA(A31:G31)&lt;7,"",COUNTIFS('原子事实记录'!$C$2:$C$2001,$D31,'原子事实记录'!$E$2:$E$2001,$A31,'原子事实记录'!$F$2:$F$2001,$B31,'原子事实记录'!$G$2:$G$2001,$C31,'原子事实记录'!$I$2:$I$2001,$E31,'原子事实记录'!$J$2:$J$2001,$F31,'原子事实记录'!$Q$2:$Q$2001,"是",'原子事实记录'!$R$2:$R$2001,"TP"))</f>
        <v/>
      </c>
      <c r="I31" s="5">
        <f>IF(COUNTA(A31:G31)&lt;7,"",COUNTIFS('原子事实记录'!$C$2:$C$2001,$D31,'原子事实记录'!$E$2:$E$2001,$A31,'原子事实记录'!$F$2:$F$2001,$B31,'原子事实记录'!$G$2:$G$2001,$C31,'原子事实记录'!$I$2:$I$2001,$E31,'原子事实记录'!$J$2:$J$2001,$F31,'原子事实记录'!$Q$2:$Q$2001,"是",'原子事实记录'!$R$2:$R$2001,"FP"))</f>
        <v/>
      </c>
      <c r="J31" s="5">
        <f>IF(COUNTA(A31:G31)&lt;7,"",COUNTIFS('原子事实记录'!$C$2:$C$2001,$D31,'原子事实记录'!$E$2:$E$2001,$A31,'原子事实记录'!$F$2:$F$2001,$B31,'原子事实记录'!$G$2:$G$2001,$C31,'原子事实记录'!$I$2:$I$2001,$E31,'原子事实记录'!$J$2:$J$2001,$F31,'原子事实记录'!$Q$2:$Q$2001,"是",'原子事实记录'!$R$2:$R$2001,"FN"))</f>
        <v/>
      </c>
      <c r="K31" s="5">
        <f>IF(COUNTA(A31:G31)&lt;7,"",COUNTIFS('原子事实记录'!$C$2:$C$2001,$D31,'原子事实记录'!$E$2:$E$2001,$A31,'原子事实记录'!$F$2:$F$2001,$B31,'原子事实记录'!$G$2:$G$2001,$C31,'原子事实记录'!$I$2:$I$2001,$E31,'原子事实记录'!$J$2:$J$2001,$F31,'原子事实记录'!$Q$2:$Q$2001,"是",'原子事实记录'!$R$2:$R$2001,"TN"))</f>
        <v/>
      </c>
      <c r="L31" s="5">
        <f>IF(COUNTA(A31:G31)&lt;7,"",COUNTIFS('原子事实记录'!$C$2:$C$2001,$D31,'原子事实记录'!$E$2:$E$2001,$A31,'原子事实记录'!$F$2:$F$2001,$B31,'原子事实记录'!$G$2:$G$2001,$C31,'原子事实记录'!$I$2:$I$2001,$E31,'原子事实记录'!$J$2:$J$2001,$F31,'原子事实记录'!$Q$2:$Q$2001,"是",'原子事实记录'!$R$2:$R$2001,"未知"))</f>
        <v/>
      </c>
      <c r="M31" s="3" t="n"/>
      <c r="N31" s="3" t="n"/>
      <c r="O31" s="5">
        <f>IF(OR(G31="",M31="",N31=""),"",M31+IF(G31="肯定主张正确率",H31,IF(G31="否定主张正确率",K31,IF(G31="灵敏度",H31,K31))))</f>
        <v/>
      </c>
      <c r="P31" s="5">
        <f>IF(OR(G31="",M31="",N31=""),"",N31+IF(G31="肯定主张正确率",I31,IF(G31="否定主张正确率",J31,IF(G31="灵敏度",J31,I31))))</f>
        <v/>
      </c>
      <c r="Q31" s="7">
        <f>IF(OR(O31="",P31=""),"",O31/(O31+P31))</f>
        <v/>
      </c>
      <c r="R31" s="7">
        <f>IF(Q31="","",BETA.INV(0.025,O31,P31))</f>
        <v/>
      </c>
      <c r="S31" s="7">
        <f>IF(Q31="","",BETA.INV(0.975,O31,P31))</f>
        <v/>
      </c>
      <c r="T31" s="5">
        <f>IF(OR(O31="",P31=""),"",O31+P31-M31-N31)</f>
        <v/>
      </c>
      <c r="U31" s="5">
        <f>IF(T31="","先填完整分组",IF(T31&lt;30,"样本太少：仅描述",IF(T31&lt;100,"只作试点候选","可进入独立验证")))</f>
        <v/>
      </c>
      <c r="V31" s="3" t="n"/>
      <c r="W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5">
        <f>IF(COUNTA(A32:G32)&lt;7,"",COUNTIFS('原子事实记录'!$C$2:$C$2001,$D32,'原子事实记录'!$E$2:$E$2001,$A32,'原子事实记录'!$F$2:$F$2001,$B32,'原子事实记录'!$G$2:$G$2001,$C32,'原子事实记录'!$I$2:$I$2001,$E32,'原子事实记录'!$J$2:$J$2001,$F32,'原子事实记录'!$Q$2:$Q$2001,"是",'原子事实记录'!$R$2:$R$2001,"TP"))</f>
        <v/>
      </c>
      <c r="I32" s="5">
        <f>IF(COUNTA(A32:G32)&lt;7,"",COUNTIFS('原子事实记录'!$C$2:$C$2001,$D32,'原子事实记录'!$E$2:$E$2001,$A32,'原子事实记录'!$F$2:$F$2001,$B32,'原子事实记录'!$G$2:$G$2001,$C32,'原子事实记录'!$I$2:$I$2001,$E32,'原子事实记录'!$J$2:$J$2001,$F32,'原子事实记录'!$Q$2:$Q$2001,"是",'原子事实记录'!$R$2:$R$2001,"FP"))</f>
        <v/>
      </c>
      <c r="J32" s="5">
        <f>IF(COUNTA(A32:G32)&lt;7,"",COUNTIFS('原子事实记录'!$C$2:$C$2001,$D32,'原子事实记录'!$E$2:$E$2001,$A32,'原子事实记录'!$F$2:$F$2001,$B32,'原子事实记录'!$G$2:$G$2001,$C32,'原子事实记录'!$I$2:$I$2001,$E32,'原子事实记录'!$J$2:$J$2001,$F32,'原子事实记录'!$Q$2:$Q$2001,"是",'原子事实记录'!$R$2:$R$2001,"FN"))</f>
        <v/>
      </c>
      <c r="K32" s="5">
        <f>IF(COUNTA(A32:G32)&lt;7,"",COUNTIFS('原子事实记录'!$C$2:$C$2001,$D32,'原子事实记录'!$E$2:$E$2001,$A32,'原子事实记录'!$F$2:$F$2001,$B32,'原子事实记录'!$G$2:$G$2001,$C32,'原子事实记录'!$I$2:$I$2001,$E32,'原子事实记录'!$J$2:$J$2001,$F32,'原子事实记录'!$Q$2:$Q$2001,"是",'原子事实记录'!$R$2:$R$2001,"TN"))</f>
        <v/>
      </c>
      <c r="L32" s="5">
        <f>IF(COUNTA(A32:G32)&lt;7,"",COUNTIFS('原子事实记录'!$C$2:$C$2001,$D32,'原子事实记录'!$E$2:$E$2001,$A32,'原子事实记录'!$F$2:$F$2001,$B32,'原子事实记录'!$G$2:$G$2001,$C32,'原子事实记录'!$I$2:$I$2001,$E32,'原子事实记录'!$J$2:$J$2001,$F32,'原子事实记录'!$Q$2:$Q$2001,"是",'原子事实记录'!$R$2:$R$2001,"未知"))</f>
        <v/>
      </c>
      <c r="M32" s="3" t="n"/>
      <c r="N32" s="3" t="n"/>
      <c r="O32" s="5">
        <f>IF(OR(G32="",M32="",N32=""),"",M32+IF(G32="肯定主张正确率",H32,IF(G32="否定主张正确率",K32,IF(G32="灵敏度",H32,K32))))</f>
        <v/>
      </c>
      <c r="P32" s="5">
        <f>IF(OR(G32="",M32="",N32=""),"",N32+IF(G32="肯定主张正确率",I32,IF(G32="否定主张正确率",J32,IF(G32="灵敏度",J32,I32))))</f>
        <v/>
      </c>
      <c r="Q32" s="7">
        <f>IF(OR(O32="",P32=""),"",O32/(O32+P32))</f>
        <v/>
      </c>
      <c r="R32" s="7">
        <f>IF(Q32="","",BETA.INV(0.025,O32,P32))</f>
        <v/>
      </c>
      <c r="S32" s="7">
        <f>IF(Q32="","",BETA.INV(0.975,O32,P32))</f>
        <v/>
      </c>
      <c r="T32" s="5">
        <f>IF(OR(O32="",P32=""),"",O32+P32-M32-N32)</f>
        <v/>
      </c>
      <c r="U32" s="5">
        <f>IF(T32="","先填完整分组",IF(T32&lt;30,"样本太少：仅描述",IF(T32&lt;100,"只作试点候选","可进入独立验证")))</f>
        <v/>
      </c>
      <c r="V32" s="3" t="n"/>
      <c r="W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5">
        <f>IF(COUNTA(A33:G33)&lt;7,"",COUNTIFS('原子事实记录'!$C$2:$C$2001,$D33,'原子事实记录'!$E$2:$E$2001,$A33,'原子事实记录'!$F$2:$F$2001,$B33,'原子事实记录'!$G$2:$G$2001,$C33,'原子事实记录'!$I$2:$I$2001,$E33,'原子事实记录'!$J$2:$J$2001,$F33,'原子事实记录'!$Q$2:$Q$2001,"是",'原子事实记录'!$R$2:$R$2001,"TP"))</f>
        <v/>
      </c>
      <c r="I33" s="5">
        <f>IF(COUNTA(A33:G33)&lt;7,"",COUNTIFS('原子事实记录'!$C$2:$C$2001,$D33,'原子事实记录'!$E$2:$E$2001,$A33,'原子事实记录'!$F$2:$F$2001,$B33,'原子事实记录'!$G$2:$G$2001,$C33,'原子事实记录'!$I$2:$I$2001,$E33,'原子事实记录'!$J$2:$J$2001,$F33,'原子事实记录'!$Q$2:$Q$2001,"是",'原子事实记录'!$R$2:$R$2001,"FP"))</f>
        <v/>
      </c>
      <c r="J33" s="5">
        <f>IF(COUNTA(A33:G33)&lt;7,"",COUNTIFS('原子事实记录'!$C$2:$C$2001,$D33,'原子事实记录'!$E$2:$E$2001,$A33,'原子事实记录'!$F$2:$F$2001,$B33,'原子事实记录'!$G$2:$G$2001,$C33,'原子事实记录'!$I$2:$I$2001,$E33,'原子事实记录'!$J$2:$J$2001,$F33,'原子事实记录'!$Q$2:$Q$2001,"是",'原子事实记录'!$R$2:$R$2001,"FN"))</f>
        <v/>
      </c>
      <c r="K33" s="5">
        <f>IF(COUNTA(A33:G33)&lt;7,"",COUNTIFS('原子事实记录'!$C$2:$C$2001,$D33,'原子事实记录'!$E$2:$E$2001,$A33,'原子事实记录'!$F$2:$F$2001,$B33,'原子事实记录'!$G$2:$G$2001,$C33,'原子事实记录'!$I$2:$I$2001,$E33,'原子事实记录'!$J$2:$J$2001,$F33,'原子事实记录'!$Q$2:$Q$2001,"是",'原子事实记录'!$R$2:$R$2001,"TN"))</f>
        <v/>
      </c>
      <c r="L33" s="5">
        <f>IF(COUNTA(A33:G33)&lt;7,"",COUNTIFS('原子事实记录'!$C$2:$C$2001,$D33,'原子事实记录'!$E$2:$E$2001,$A33,'原子事实记录'!$F$2:$F$2001,$B33,'原子事实记录'!$G$2:$G$2001,$C33,'原子事实记录'!$I$2:$I$2001,$E33,'原子事实记录'!$J$2:$J$2001,$F33,'原子事实记录'!$Q$2:$Q$2001,"是",'原子事实记录'!$R$2:$R$2001,"未知"))</f>
        <v/>
      </c>
      <c r="M33" s="3" t="n"/>
      <c r="N33" s="3" t="n"/>
      <c r="O33" s="5">
        <f>IF(OR(G33="",M33="",N33=""),"",M33+IF(G33="肯定主张正确率",H33,IF(G33="否定主张正确率",K33,IF(G33="灵敏度",H33,K33))))</f>
        <v/>
      </c>
      <c r="P33" s="5">
        <f>IF(OR(G33="",M33="",N33=""),"",N33+IF(G33="肯定主张正确率",I33,IF(G33="否定主张正确率",J33,IF(G33="灵敏度",J33,I33))))</f>
        <v/>
      </c>
      <c r="Q33" s="7">
        <f>IF(OR(O33="",P33=""),"",O33/(O33+P33))</f>
        <v/>
      </c>
      <c r="R33" s="7">
        <f>IF(Q33="","",BETA.INV(0.025,O33,P33))</f>
        <v/>
      </c>
      <c r="S33" s="7">
        <f>IF(Q33="","",BETA.INV(0.975,O33,P33))</f>
        <v/>
      </c>
      <c r="T33" s="5">
        <f>IF(OR(O33="",P33=""),"",O33+P33-M33-N33)</f>
        <v/>
      </c>
      <c r="U33" s="5">
        <f>IF(T33="","先填完整分组",IF(T33&lt;30,"样本太少：仅描述",IF(T33&lt;100,"只作试点候选","可进入独立验证")))</f>
        <v/>
      </c>
      <c r="V33" s="3" t="n"/>
      <c r="W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5">
        <f>IF(COUNTA(A34:G34)&lt;7,"",COUNTIFS('原子事实记录'!$C$2:$C$2001,$D34,'原子事实记录'!$E$2:$E$2001,$A34,'原子事实记录'!$F$2:$F$2001,$B34,'原子事实记录'!$G$2:$G$2001,$C34,'原子事实记录'!$I$2:$I$2001,$E34,'原子事实记录'!$J$2:$J$2001,$F34,'原子事实记录'!$Q$2:$Q$2001,"是",'原子事实记录'!$R$2:$R$2001,"TP"))</f>
        <v/>
      </c>
      <c r="I34" s="5">
        <f>IF(COUNTA(A34:G34)&lt;7,"",COUNTIFS('原子事实记录'!$C$2:$C$2001,$D34,'原子事实记录'!$E$2:$E$2001,$A34,'原子事实记录'!$F$2:$F$2001,$B34,'原子事实记录'!$G$2:$G$2001,$C34,'原子事实记录'!$I$2:$I$2001,$E34,'原子事实记录'!$J$2:$J$2001,$F34,'原子事实记录'!$Q$2:$Q$2001,"是",'原子事实记录'!$R$2:$R$2001,"FP"))</f>
        <v/>
      </c>
      <c r="J34" s="5">
        <f>IF(COUNTA(A34:G34)&lt;7,"",COUNTIFS('原子事实记录'!$C$2:$C$2001,$D34,'原子事实记录'!$E$2:$E$2001,$A34,'原子事实记录'!$F$2:$F$2001,$B34,'原子事实记录'!$G$2:$G$2001,$C34,'原子事实记录'!$I$2:$I$2001,$E34,'原子事实记录'!$J$2:$J$2001,$F34,'原子事实记录'!$Q$2:$Q$2001,"是",'原子事实记录'!$R$2:$R$2001,"FN"))</f>
        <v/>
      </c>
      <c r="K34" s="5">
        <f>IF(COUNTA(A34:G34)&lt;7,"",COUNTIFS('原子事实记录'!$C$2:$C$2001,$D34,'原子事实记录'!$E$2:$E$2001,$A34,'原子事实记录'!$F$2:$F$2001,$B34,'原子事实记录'!$G$2:$G$2001,$C34,'原子事实记录'!$I$2:$I$2001,$E34,'原子事实记录'!$J$2:$J$2001,$F34,'原子事实记录'!$Q$2:$Q$2001,"是",'原子事实记录'!$R$2:$R$2001,"TN"))</f>
        <v/>
      </c>
      <c r="L34" s="5">
        <f>IF(COUNTA(A34:G34)&lt;7,"",COUNTIFS('原子事实记录'!$C$2:$C$2001,$D34,'原子事实记录'!$E$2:$E$2001,$A34,'原子事实记录'!$F$2:$F$2001,$B34,'原子事实记录'!$G$2:$G$2001,$C34,'原子事实记录'!$I$2:$I$2001,$E34,'原子事实记录'!$J$2:$J$2001,$F34,'原子事实记录'!$Q$2:$Q$2001,"是",'原子事实记录'!$R$2:$R$2001,"未知"))</f>
        <v/>
      </c>
      <c r="M34" s="3" t="n"/>
      <c r="N34" s="3" t="n"/>
      <c r="O34" s="5">
        <f>IF(OR(G34="",M34="",N34=""),"",M34+IF(G34="肯定主张正确率",H34,IF(G34="否定主张正确率",K34,IF(G34="灵敏度",H34,K34))))</f>
        <v/>
      </c>
      <c r="P34" s="5">
        <f>IF(OR(G34="",M34="",N34=""),"",N34+IF(G34="肯定主张正确率",I34,IF(G34="否定主张正确率",J34,IF(G34="灵敏度",J34,I34))))</f>
        <v/>
      </c>
      <c r="Q34" s="7">
        <f>IF(OR(O34="",P34=""),"",O34/(O34+P34))</f>
        <v/>
      </c>
      <c r="R34" s="7">
        <f>IF(Q34="","",BETA.INV(0.025,O34,P34))</f>
        <v/>
      </c>
      <c r="S34" s="7">
        <f>IF(Q34="","",BETA.INV(0.975,O34,P34))</f>
        <v/>
      </c>
      <c r="T34" s="5">
        <f>IF(OR(O34="",P34=""),"",O34+P34-M34-N34)</f>
        <v/>
      </c>
      <c r="U34" s="5">
        <f>IF(T34="","先填完整分组",IF(T34&lt;30,"样本太少：仅描述",IF(T34&lt;100,"只作试点候选","可进入独立验证")))</f>
        <v/>
      </c>
      <c r="V34" s="3" t="n"/>
      <c r="W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5">
        <f>IF(COUNTA(A35:G35)&lt;7,"",COUNTIFS('原子事实记录'!$C$2:$C$2001,$D35,'原子事实记录'!$E$2:$E$2001,$A35,'原子事实记录'!$F$2:$F$2001,$B35,'原子事实记录'!$G$2:$G$2001,$C35,'原子事实记录'!$I$2:$I$2001,$E35,'原子事实记录'!$J$2:$J$2001,$F35,'原子事实记录'!$Q$2:$Q$2001,"是",'原子事实记录'!$R$2:$R$2001,"TP"))</f>
        <v/>
      </c>
      <c r="I35" s="5">
        <f>IF(COUNTA(A35:G35)&lt;7,"",COUNTIFS('原子事实记录'!$C$2:$C$2001,$D35,'原子事实记录'!$E$2:$E$2001,$A35,'原子事实记录'!$F$2:$F$2001,$B35,'原子事实记录'!$G$2:$G$2001,$C35,'原子事实记录'!$I$2:$I$2001,$E35,'原子事实记录'!$J$2:$J$2001,$F35,'原子事实记录'!$Q$2:$Q$2001,"是",'原子事实记录'!$R$2:$R$2001,"FP"))</f>
        <v/>
      </c>
      <c r="J35" s="5">
        <f>IF(COUNTA(A35:G35)&lt;7,"",COUNTIFS('原子事实记录'!$C$2:$C$2001,$D35,'原子事实记录'!$E$2:$E$2001,$A35,'原子事实记录'!$F$2:$F$2001,$B35,'原子事实记录'!$G$2:$G$2001,$C35,'原子事实记录'!$I$2:$I$2001,$E35,'原子事实记录'!$J$2:$J$2001,$F35,'原子事实记录'!$Q$2:$Q$2001,"是",'原子事实记录'!$R$2:$R$2001,"FN"))</f>
        <v/>
      </c>
      <c r="K35" s="5">
        <f>IF(COUNTA(A35:G35)&lt;7,"",COUNTIFS('原子事实记录'!$C$2:$C$2001,$D35,'原子事实记录'!$E$2:$E$2001,$A35,'原子事实记录'!$F$2:$F$2001,$B35,'原子事实记录'!$G$2:$G$2001,$C35,'原子事实记录'!$I$2:$I$2001,$E35,'原子事实记录'!$J$2:$J$2001,$F35,'原子事实记录'!$Q$2:$Q$2001,"是",'原子事实记录'!$R$2:$R$2001,"TN"))</f>
        <v/>
      </c>
      <c r="L35" s="5">
        <f>IF(COUNTA(A35:G35)&lt;7,"",COUNTIFS('原子事实记录'!$C$2:$C$2001,$D35,'原子事实记录'!$E$2:$E$2001,$A35,'原子事实记录'!$F$2:$F$2001,$B35,'原子事实记录'!$G$2:$G$2001,$C35,'原子事实记录'!$I$2:$I$2001,$E35,'原子事实记录'!$J$2:$J$2001,$F35,'原子事实记录'!$Q$2:$Q$2001,"是",'原子事实记录'!$R$2:$R$2001,"未知"))</f>
        <v/>
      </c>
      <c r="M35" s="3" t="n"/>
      <c r="N35" s="3" t="n"/>
      <c r="O35" s="5">
        <f>IF(OR(G35="",M35="",N35=""),"",M35+IF(G35="肯定主张正确率",H35,IF(G35="否定主张正确率",K35,IF(G35="灵敏度",H35,K35))))</f>
        <v/>
      </c>
      <c r="P35" s="5">
        <f>IF(OR(G35="",M35="",N35=""),"",N35+IF(G35="肯定主张正确率",I35,IF(G35="否定主张正确率",J35,IF(G35="灵敏度",J35,I35))))</f>
        <v/>
      </c>
      <c r="Q35" s="7">
        <f>IF(OR(O35="",P35=""),"",O35/(O35+P35))</f>
        <v/>
      </c>
      <c r="R35" s="7">
        <f>IF(Q35="","",BETA.INV(0.025,O35,P35))</f>
        <v/>
      </c>
      <c r="S35" s="7">
        <f>IF(Q35="","",BETA.INV(0.975,O35,P35))</f>
        <v/>
      </c>
      <c r="T35" s="5">
        <f>IF(OR(O35="",P35=""),"",O35+P35-M35-N35)</f>
        <v/>
      </c>
      <c r="U35" s="5">
        <f>IF(T35="","先填完整分组",IF(T35&lt;30,"样本太少：仅描述",IF(T35&lt;100,"只作试点候选","可进入独立验证")))</f>
        <v/>
      </c>
      <c r="V35" s="3" t="n"/>
      <c r="W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5">
        <f>IF(COUNTA(A36:G36)&lt;7,"",COUNTIFS('原子事实记录'!$C$2:$C$2001,$D36,'原子事实记录'!$E$2:$E$2001,$A36,'原子事实记录'!$F$2:$F$2001,$B36,'原子事实记录'!$G$2:$G$2001,$C36,'原子事实记录'!$I$2:$I$2001,$E36,'原子事实记录'!$J$2:$J$2001,$F36,'原子事实记录'!$Q$2:$Q$2001,"是",'原子事实记录'!$R$2:$R$2001,"TP"))</f>
        <v/>
      </c>
      <c r="I36" s="5">
        <f>IF(COUNTA(A36:G36)&lt;7,"",COUNTIFS('原子事实记录'!$C$2:$C$2001,$D36,'原子事实记录'!$E$2:$E$2001,$A36,'原子事实记录'!$F$2:$F$2001,$B36,'原子事实记录'!$G$2:$G$2001,$C36,'原子事实记录'!$I$2:$I$2001,$E36,'原子事实记录'!$J$2:$J$2001,$F36,'原子事实记录'!$Q$2:$Q$2001,"是",'原子事实记录'!$R$2:$R$2001,"FP"))</f>
        <v/>
      </c>
      <c r="J36" s="5">
        <f>IF(COUNTA(A36:G36)&lt;7,"",COUNTIFS('原子事实记录'!$C$2:$C$2001,$D36,'原子事实记录'!$E$2:$E$2001,$A36,'原子事实记录'!$F$2:$F$2001,$B36,'原子事实记录'!$G$2:$G$2001,$C36,'原子事实记录'!$I$2:$I$2001,$E36,'原子事实记录'!$J$2:$J$2001,$F36,'原子事实记录'!$Q$2:$Q$2001,"是",'原子事实记录'!$R$2:$R$2001,"FN"))</f>
        <v/>
      </c>
      <c r="K36" s="5">
        <f>IF(COUNTA(A36:G36)&lt;7,"",COUNTIFS('原子事实记录'!$C$2:$C$2001,$D36,'原子事实记录'!$E$2:$E$2001,$A36,'原子事实记录'!$F$2:$F$2001,$B36,'原子事实记录'!$G$2:$G$2001,$C36,'原子事实记录'!$I$2:$I$2001,$E36,'原子事实记录'!$J$2:$J$2001,$F36,'原子事实记录'!$Q$2:$Q$2001,"是",'原子事实记录'!$R$2:$R$2001,"TN"))</f>
        <v/>
      </c>
      <c r="L36" s="5">
        <f>IF(COUNTA(A36:G36)&lt;7,"",COUNTIFS('原子事实记录'!$C$2:$C$2001,$D36,'原子事实记录'!$E$2:$E$2001,$A36,'原子事实记录'!$F$2:$F$2001,$B36,'原子事实记录'!$G$2:$G$2001,$C36,'原子事实记录'!$I$2:$I$2001,$E36,'原子事实记录'!$J$2:$J$2001,$F36,'原子事实记录'!$Q$2:$Q$2001,"是",'原子事实记录'!$R$2:$R$2001,"未知"))</f>
        <v/>
      </c>
      <c r="M36" s="3" t="n"/>
      <c r="N36" s="3" t="n"/>
      <c r="O36" s="5">
        <f>IF(OR(G36="",M36="",N36=""),"",M36+IF(G36="肯定主张正确率",H36,IF(G36="否定主张正确率",K36,IF(G36="灵敏度",H36,K36))))</f>
        <v/>
      </c>
      <c r="P36" s="5">
        <f>IF(OR(G36="",M36="",N36=""),"",N36+IF(G36="肯定主张正确率",I36,IF(G36="否定主张正确率",J36,IF(G36="灵敏度",J36,I36))))</f>
        <v/>
      </c>
      <c r="Q36" s="7">
        <f>IF(OR(O36="",P36=""),"",O36/(O36+P36))</f>
        <v/>
      </c>
      <c r="R36" s="7">
        <f>IF(Q36="","",BETA.INV(0.025,O36,P36))</f>
        <v/>
      </c>
      <c r="S36" s="7">
        <f>IF(Q36="","",BETA.INV(0.975,O36,P36))</f>
        <v/>
      </c>
      <c r="T36" s="5">
        <f>IF(OR(O36="",P36=""),"",O36+P36-M36-N36)</f>
        <v/>
      </c>
      <c r="U36" s="5">
        <f>IF(T36="","先填完整分组",IF(T36&lt;30,"样本太少：仅描述",IF(T36&lt;100,"只作试点候选","可进入独立验证")))</f>
        <v/>
      </c>
      <c r="V36" s="3" t="n"/>
      <c r="W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5">
        <f>IF(COUNTA(A37:G37)&lt;7,"",COUNTIFS('原子事实记录'!$C$2:$C$2001,$D37,'原子事实记录'!$E$2:$E$2001,$A37,'原子事实记录'!$F$2:$F$2001,$B37,'原子事实记录'!$G$2:$G$2001,$C37,'原子事实记录'!$I$2:$I$2001,$E37,'原子事实记录'!$J$2:$J$2001,$F37,'原子事实记录'!$Q$2:$Q$2001,"是",'原子事实记录'!$R$2:$R$2001,"TP"))</f>
        <v/>
      </c>
      <c r="I37" s="5">
        <f>IF(COUNTA(A37:G37)&lt;7,"",COUNTIFS('原子事实记录'!$C$2:$C$2001,$D37,'原子事实记录'!$E$2:$E$2001,$A37,'原子事实记录'!$F$2:$F$2001,$B37,'原子事实记录'!$G$2:$G$2001,$C37,'原子事实记录'!$I$2:$I$2001,$E37,'原子事实记录'!$J$2:$J$2001,$F37,'原子事实记录'!$Q$2:$Q$2001,"是",'原子事实记录'!$R$2:$R$2001,"FP"))</f>
        <v/>
      </c>
      <c r="J37" s="5">
        <f>IF(COUNTA(A37:G37)&lt;7,"",COUNTIFS('原子事实记录'!$C$2:$C$2001,$D37,'原子事实记录'!$E$2:$E$2001,$A37,'原子事实记录'!$F$2:$F$2001,$B37,'原子事实记录'!$G$2:$G$2001,$C37,'原子事实记录'!$I$2:$I$2001,$E37,'原子事实记录'!$J$2:$J$2001,$F37,'原子事实记录'!$Q$2:$Q$2001,"是",'原子事实记录'!$R$2:$R$2001,"FN"))</f>
        <v/>
      </c>
      <c r="K37" s="5">
        <f>IF(COUNTA(A37:G37)&lt;7,"",COUNTIFS('原子事实记录'!$C$2:$C$2001,$D37,'原子事实记录'!$E$2:$E$2001,$A37,'原子事实记录'!$F$2:$F$2001,$B37,'原子事实记录'!$G$2:$G$2001,$C37,'原子事实记录'!$I$2:$I$2001,$E37,'原子事实记录'!$J$2:$J$2001,$F37,'原子事实记录'!$Q$2:$Q$2001,"是",'原子事实记录'!$R$2:$R$2001,"TN"))</f>
        <v/>
      </c>
      <c r="L37" s="5">
        <f>IF(COUNTA(A37:G37)&lt;7,"",COUNTIFS('原子事实记录'!$C$2:$C$2001,$D37,'原子事实记录'!$E$2:$E$2001,$A37,'原子事实记录'!$F$2:$F$2001,$B37,'原子事实记录'!$G$2:$G$2001,$C37,'原子事实记录'!$I$2:$I$2001,$E37,'原子事实记录'!$J$2:$J$2001,$F37,'原子事实记录'!$Q$2:$Q$2001,"是",'原子事实记录'!$R$2:$R$2001,"未知"))</f>
        <v/>
      </c>
      <c r="M37" s="3" t="n"/>
      <c r="N37" s="3" t="n"/>
      <c r="O37" s="5">
        <f>IF(OR(G37="",M37="",N37=""),"",M37+IF(G37="肯定主张正确率",H37,IF(G37="否定主张正确率",K37,IF(G37="灵敏度",H37,K37))))</f>
        <v/>
      </c>
      <c r="P37" s="5">
        <f>IF(OR(G37="",M37="",N37=""),"",N37+IF(G37="肯定主张正确率",I37,IF(G37="否定主张正确率",J37,IF(G37="灵敏度",J37,I37))))</f>
        <v/>
      </c>
      <c r="Q37" s="7">
        <f>IF(OR(O37="",P37=""),"",O37/(O37+P37))</f>
        <v/>
      </c>
      <c r="R37" s="7">
        <f>IF(Q37="","",BETA.INV(0.025,O37,P37))</f>
        <v/>
      </c>
      <c r="S37" s="7">
        <f>IF(Q37="","",BETA.INV(0.975,O37,P37))</f>
        <v/>
      </c>
      <c r="T37" s="5">
        <f>IF(OR(O37="",P37=""),"",O37+P37-M37-N37)</f>
        <v/>
      </c>
      <c r="U37" s="5">
        <f>IF(T37="","先填完整分组",IF(T37&lt;30,"样本太少：仅描述",IF(T37&lt;100,"只作试点候选","可进入独立验证")))</f>
        <v/>
      </c>
      <c r="V37" s="3" t="n"/>
      <c r="W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5">
        <f>IF(COUNTA(A38:G38)&lt;7,"",COUNTIFS('原子事实记录'!$C$2:$C$2001,$D38,'原子事实记录'!$E$2:$E$2001,$A38,'原子事实记录'!$F$2:$F$2001,$B38,'原子事实记录'!$G$2:$G$2001,$C38,'原子事实记录'!$I$2:$I$2001,$E38,'原子事实记录'!$J$2:$J$2001,$F38,'原子事实记录'!$Q$2:$Q$2001,"是",'原子事实记录'!$R$2:$R$2001,"TP"))</f>
        <v/>
      </c>
      <c r="I38" s="5">
        <f>IF(COUNTA(A38:G38)&lt;7,"",COUNTIFS('原子事实记录'!$C$2:$C$2001,$D38,'原子事实记录'!$E$2:$E$2001,$A38,'原子事实记录'!$F$2:$F$2001,$B38,'原子事实记录'!$G$2:$G$2001,$C38,'原子事实记录'!$I$2:$I$2001,$E38,'原子事实记录'!$J$2:$J$2001,$F38,'原子事实记录'!$Q$2:$Q$2001,"是",'原子事实记录'!$R$2:$R$2001,"FP"))</f>
        <v/>
      </c>
      <c r="J38" s="5">
        <f>IF(COUNTA(A38:G38)&lt;7,"",COUNTIFS('原子事实记录'!$C$2:$C$2001,$D38,'原子事实记录'!$E$2:$E$2001,$A38,'原子事实记录'!$F$2:$F$2001,$B38,'原子事实记录'!$G$2:$G$2001,$C38,'原子事实记录'!$I$2:$I$2001,$E38,'原子事实记录'!$J$2:$J$2001,$F38,'原子事实记录'!$Q$2:$Q$2001,"是",'原子事实记录'!$R$2:$R$2001,"FN"))</f>
        <v/>
      </c>
      <c r="K38" s="5">
        <f>IF(COUNTA(A38:G38)&lt;7,"",COUNTIFS('原子事实记录'!$C$2:$C$2001,$D38,'原子事实记录'!$E$2:$E$2001,$A38,'原子事实记录'!$F$2:$F$2001,$B38,'原子事实记录'!$G$2:$G$2001,$C38,'原子事实记录'!$I$2:$I$2001,$E38,'原子事实记录'!$J$2:$J$2001,$F38,'原子事实记录'!$Q$2:$Q$2001,"是",'原子事实记录'!$R$2:$R$2001,"TN"))</f>
        <v/>
      </c>
      <c r="L38" s="5">
        <f>IF(COUNTA(A38:G38)&lt;7,"",COUNTIFS('原子事实记录'!$C$2:$C$2001,$D38,'原子事实记录'!$E$2:$E$2001,$A38,'原子事实记录'!$F$2:$F$2001,$B38,'原子事实记录'!$G$2:$G$2001,$C38,'原子事实记录'!$I$2:$I$2001,$E38,'原子事实记录'!$J$2:$J$2001,$F38,'原子事实记录'!$Q$2:$Q$2001,"是",'原子事实记录'!$R$2:$R$2001,"未知"))</f>
        <v/>
      </c>
      <c r="M38" s="3" t="n"/>
      <c r="N38" s="3" t="n"/>
      <c r="O38" s="5">
        <f>IF(OR(G38="",M38="",N38=""),"",M38+IF(G38="肯定主张正确率",H38,IF(G38="否定主张正确率",K38,IF(G38="灵敏度",H38,K38))))</f>
        <v/>
      </c>
      <c r="P38" s="5">
        <f>IF(OR(G38="",M38="",N38=""),"",N38+IF(G38="肯定主张正确率",I38,IF(G38="否定主张正确率",J38,IF(G38="灵敏度",J38,I38))))</f>
        <v/>
      </c>
      <c r="Q38" s="7">
        <f>IF(OR(O38="",P38=""),"",O38/(O38+P38))</f>
        <v/>
      </c>
      <c r="R38" s="7">
        <f>IF(Q38="","",BETA.INV(0.025,O38,P38))</f>
        <v/>
      </c>
      <c r="S38" s="7">
        <f>IF(Q38="","",BETA.INV(0.975,O38,P38))</f>
        <v/>
      </c>
      <c r="T38" s="5">
        <f>IF(OR(O38="",P38=""),"",O38+P38-M38-N38)</f>
        <v/>
      </c>
      <c r="U38" s="5">
        <f>IF(T38="","先填完整分组",IF(T38&lt;30,"样本太少：仅描述",IF(T38&lt;100,"只作试点候选","可进入独立验证")))</f>
        <v/>
      </c>
      <c r="V38" s="3" t="n"/>
      <c r="W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5">
        <f>IF(COUNTA(A39:G39)&lt;7,"",COUNTIFS('原子事实记录'!$C$2:$C$2001,$D39,'原子事实记录'!$E$2:$E$2001,$A39,'原子事实记录'!$F$2:$F$2001,$B39,'原子事实记录'!$G$2:$G$2001,$C39,'原子事实记录'!$I$2:$I$2001,$E39,'原子事实记录'!$J$2:$J$2001,$F39,'原子事实记录'!$Q$2:$Q$2001,"是",'原子事实记录'!$R$2:$R$2001,"TP"))</f>
        <v/>
      </c>
      <c r="I39" s="5">
        <f>IF(COUNTA(A39:G39)&lt;7,"",COUNTIFS('原子事实记录'!$C$2:$C$2001,$D39,'原子事实记录'!$E$2:$E$2001,$A39,'原子事实记录'!$F$2:$F$2001,$B39,'原子事实记录'!$G$2:$G$2001,$C39,'原子事实记录'!$I$2:$I$2001,$E39,'原子事实记录'!$J$2:$J$2001,$F39,'原子事实记录'!$Q$2:$Q$2001,"是",'原子事实记录'!$R$2:$R$2001,"FP"))</f>
        <v/>
      </c>
      <c r="J39" s="5">
        <f>IF(COUNTA(A39:G39)&lt;7,"",COUNTIFS('原子事实记录'!$C$2:$C$2001,$D39,'原子事实记录'!$E$2:$E$2001,$A39,'原子事实记录'!$F$2:$F$2001,$B39,'原子事实记录'!$G$2:$G$2001,$C39,'原子事实记录'!$I$2:$I$2001,$E39,'原子事实记录'!$J$2:$J$2001,$F39,'原子事实记录'!$Q$2:$Q$2001,"是",'原子事实记录'!$R$2:$R$2001,"FN"))</f>
        <v/>
      </c>
      <c r="K39" s="5">
        <f>IF(COUNTA(A39:G39)&lt;7,"",COUNTIFS('原子事实记录'!$C$2:$C$2001,$D39,'原子事实记录'!$E$2:$E$2001,$A39,'原子事实记录'!$F$2:$F$2001,$B39,'原子事实记录'!$G$2:$G$2001,$C39,'原子事实记录'!$I$2:$I$2001,$E39,'原子事实记录'!$J$2:$J$2001,$F39,'原子事实记录'!$Q$2:$Q$2001,"是",'原子事实记录'!$R$2:$R$2001,"TN"))</f>
        <v/>
      </c>
      <c r="L39" s="5">
        <f>IF(COUNTA(A39:G39)&lt;7,"",COUNTIFS('原子事实记录'!$C$2:$C$2001,$D39,'原子事实记录'!$E$2:$E$2001,$A39,'原子事实记录'!$F$2:$F$2001,$B39,'原子事实记录'!$G$2:$G$2001,$C39,'原子事实记录'!$I$2:$I$2001,$E39,'原子事实记录'!$J$2:$J$2001,$F39,'原子事实记录'!$Q$2:$Q$2001,"是",'原子事实记录'!$R$2:$R$2001,"未知"))</f>
        <v/>
      </c>
      <c r="M39" s="3" t="n"/>
      <c r="N39" s="3" t="n"/>
      <c r="O39" s="5">
        <f>IF(OR(G39="",M39="",N39=""),"",M39+IF(G39="肯定主张正确率",H39,IF(G39="否定主张正确率",K39,IF(G39="灵敏度",H39,K39))))</f>
        <v/>
      </c>
      <c r="P39" s="5">
        <f>IF(OR(G39="",M39="",N39=""),"",N39+IF(G39="肯定主张正确率",I39,IF(G39="否定主张正确率",J39,IF(G39="灵敏度",J39,I39))))</f>
        <v/>
      </c>
      <c r="Q39" s="7">
        <f>IF(OR(O39="",P39=""),"",O39/(O39+P39))</f>
        <v/>
      </c>
      <c r="R39" s="7">
        <f>IF(Q39="","",BETA.INV(0.025,O39,P39))</f>
        <v/>
      </c>
      <c r="S39" s="7">
        <f>IF(Q39="","",BETA.INV(0.975,O39,P39))</f>
        <v/>
      </c>
      <c r="T39" s="5">
        <f>IF(OR(O39="",P39=""),"",O39+P39-M39-N39)</f>
        <v/>
      </c>
      <c r="U39" s="5">
        <f>IF(T39="","先填完整分组",IF(T39&lt;30,"样本太少：仅描述",IF(T39&lt;100,"只作试点候选","可进入独立验证")))</f>
        <v/>
      </c>
      <c r="V39" s="3" t="n"/>
      <c r="W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5">
        <f>IF(COUNTA(A40:G40)&lt;7,"",COUNTIFS('原子事实记录'!$C$2:$C$2001,$D40,'原子事实记录'!$E$2:$E$2001,$A40,'原子事实记录'!$F$2:$F$2001,$B40,'原子事实记录'!$G$2:$G$2001,$C40,'原子事实记录'!$I$2:$I$2001,$E40,'原子事实记录'!$J$2:$J$2001,$F40,'原子事实记录'!$Q$2:$Q$2001,"是",'原子事实记录'!$R$2:$R$2001,"TP"))</f>
        <v/>
      </c>
      <c r="I40" s="5">
        <f>IF(COUNTA(A40:G40)&lt;7,"",COUNTIFS('原子事实记录'!$C$2:$C$2001,$D40,'原子事实记录'!$E$2:$E$2001,$A40,'原子事实记录'!$F$2:$F$2001,$B40,'原子事实记录'!$G$2:$G$2001,$C40,'原子事实记录'!$I$2:$I$2001,$E40,'原子事实记录'!$J$2:$J$2001,$F40,'原子事实记录'!$Q$2:$Q$2001,"是",'原子事实记录'!$R$2:$R$2001,"FP"))</f>
        <v/>
      </c>
      <c r="J40" s="5">
        <f>IF(COUNTA(A40:G40)&lt;7,"",COUNTIFS('原子事实记录'!$C$2:$C$2001,$D40,'原子事实记录'!$E$2:$E$2001,$A40,'原子事实记录'!$F$2:$F$2001,$B40,'原子事实记录'!$G$2:$G$2001,$C40,'原子事实记录'!$I$2:$I$2001,$E40,'原子事实记录'!$J$2:$J$2001,$F40,'原子事实记录'!$Q$2:$Q$2001,"是",'原子事实记录'!$R$2:$R$2001,"FN"))</f>
        <v/>
      </c>
      <c r="K40" s="5">
        <f>IF(COUNTA(A40:G40)&lt;7,"",COUNTIFS('原子事实记录'!$C$2:$C$2001,$D40,'原子事实记录'!$E$2:$E$2001,$A40,'原子事实记录'!$F$2:$F$2001,$B40,'原子事实记录'!$G$2:$G$2001,$C40,'原子事实记录'!$I$2:$I$2001,$E40,'原子事实记录'!$J$2:$J$2001,$F40,'原子事实记录'!$Q$2:$Q$2001,"是",'原子事实记录'!$R$2:$R$2001,"TN"))</f>
        <v/>
      </c>
      <c r="L40" s="5">
        <f>IF(COUNTA(A40:G40)&lt;7,"",COUNTIFS('原子事实记录'!$C$2:$C$2001,$D40,'原子事实记录'!$E$2:$E$2001,$A40,'原子事实记录'!$F$2:$F$2001,$B40,'原子事实记录'!$G$2:$G$2001,$C40,'原子事实记录'!$I$2:$I$2001,$E40,'原子事实记录'!$J$2:$J$2001,$F40,'原子事实记录'!$Q$2:$Q$2001,"是",'原子事实记录'!$R$2:$R$2001,"未知"))</f>
        <v/>
      </c>
      <c r="M40" s="3" t="n"/>
      <c r="N40" s="3" t="n"/>
      <c r="O40" s="5">
        <f>IF(OR(G40="",M40="",N40=""),"",M40+IF(G40="肯定主张正确率",H40,IF(G40="否定主张正确率",K40,IF(G40="灵敏度",H40,K40))))</f>
        <v/>
      </c>
      <c r="P40" s="5">
        <f>IF(OR(G40="",M40="",N40=""),"",N40+IF(G40="肯定主张正确率",I40,IF(G40="否定主张正确率",J40,IF(G40="灵敏度",J40,I40))))</f>
        <v/>
      </c>
      <c r="Q40" s="7">
        <f>IF(OR(O40="",P40=""),"",O40/(O40+P40))</f>
        <v/>
      </c>
      <c r="R40" s="7">
        <f>IF(Q40="","",BETA.INV(0.025,O40,P40))</f>
        <v/>
      </c>
      <c r="S40" s="7">
        <f>IF(Q40="","",BETA.INV(0.975,O40,P40))</f>
        <v/>
      </c>
      <c r="T40" s="5">
        <f>IF(OR(O40="",P40=""),"",O40+P40-M40-N40)</f>
        <v/>
      </c>
      <c r="U40" s="5">
        <f>IF(T40="","先填完整分组",IF(T40&lt;30,"样本太少：仅描述",IF(T40&lt;100,"只作试点候选","可进入独立验证")))</f>
        <v/>
      </c>
      <c r="V40" s="3" t="n"/>
      <c r="W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5">
        <f>IF(COUNTA(A41:G41)&lt;7,"",COUNTIFS('原子事实记录'!$C$2:$C$2001,$D41,'原子事实记录'!$E$2:$E$2001,$A41,'原子事实记录'!$F$2:$F$2001,$B41,'原子事实记录'!$G$2:$G$2001,$C41,'原子事实记录'!$I$2:$I$2001,$E41,'原子事实记录'!$J$2:$J$2001,$F41,'原子事实记录'!$Q$2:$Q$2001,"是",'原子事实记录'!$R$2:$R$2001,"TP"))</f>
        <v/>
      </c>
      <c r="I41" s="5">
        <f>IF(COUNTA(A41:G41)&lt;7,"",COUNTIFS('原子事实记录'!$C$2:$C$2001,$D41,'原子事实记录'!$E$2:$E$2001,$A41,'原子事实记录'!$F$2:$F$2001,$B41,'原子事实记录'!$G$2:$G$2001,$C41,'原子事实记录'!$I$2:$I$2001,$E41,'原子事实记录'!$J$2:$J$2001,$F41,'原子事实记录'!$Q$2:$Q$2001,"是",'原子事实记录'!$R$2:$R$2001,"FP"))</f>
        <v/>
      </c>
      <c r="J41" s="5">
        <f>IF(COUNTA(A41:G41)&lt;7,"",COUNTIFS('原子事实记录'!$C$2:$C$2001,$D41,'原子事实记录'!$E$2:$E$2001,$A41,'原子事实记录'!$F$2:$F$2001,$B41,'原子事实记录'!$G$2:$G$2001,$C41,'原子事实记录'!$I$2:$I$2001,$E41,'原子事实记录'!$J$2:$J$2001,$F41,'原子事实记录'!$Q$2:$Q$2001,"是",'原子事实记录'!$R$2:$R$2001,"FN"))</f>
        <v/>
      </c>
      <c r="K41" s="5">
        <f>IF(COUNTA(A41:G41)&lt;7,"",COUNTIFS('原子事实记录'!$C$2:$C$2001,$D41,'原子事实记录'!$E$2:$E$2001,$A41,'原子事实记录'!$F$2:$F$2001,$B41,'原子事实记录'!$G$2:$G$2001,$C41,'原子事实记录'!$I$2:$I$2001,$E41,'原子事实记录'!$J$2:$J$2001,$F41,'原子事实记录'!$Q$2:$Q$2001,"是",'原子事实记录'!$R$2:$R$2001,"TN"))</f>
        <v/>
      </c>
      <c r="L41" s="5">
        <f>IF(COUNTA(A41:G41)&lt;7,"",COUNTIFS('原子事实记录'!$C$2:$C$2001,$D41,'原子事实记录'!$E$2:$E$2001,$A41,'原子事实记录'!$F$2:$F$2001,$B41,'原子事实记录'!$G$2:$G$2001,$C41,'原子事实记录'!$I$2:$I$2001,$E41,'原子事实记录'!$J$2:$J$2001,$F41,'原子事实记录'!$Q$2:$Q$2001,"是",'原子事实记录'!$R$2:$R$2001,"未知"))</f>
        <v/>
      </c>
      <c r="M41" s="3" t="n"/>
      <c r="N41" s="3" t="n"/>
      <c r="O41" s="5">
        <f>IF(OR(G41="",M41="",N41=""),"",M41+IF(G41="肯定主张正确率",H41,IF(G41="否定主张正确率",K41,IF(G41="灵敏度",H41,K41))))</f>
        <v/>
      </c>
      <c r="P41" s="5">
        <f>IF(OR(G41="",M41="",N41=""),"",N41+IF(G41="肯定主张正确率",I41,IF(G41="否定主张正确率",J41,IF(G41="灵敏度",J41,I41))))</f>
        <v/>
      </c>
      <c r="Q41" s="7">
        <f>IF(OR(O41="",P41=""),"",O41/(O41+P41))</f>
        <v/>
      </c>
      <c r="R41" s="7">
        <f>IF(Q41="","",BETA.INV(0.025,O41,P41))</f>
        <v/>
      </c>
      <c r="S41" s="7">
        <f>IF(Q41="","",BETA.INV(0.975,O41,P41))</f>
        <v/>
      </c>
      <c r="T41" s="5">
        <f>IF(OR(O41="",P41=""),"",O41+P41-M41-N41)</f>
        <v/>
      </c>
      <c r="U41" s="5">
        <f>IF(T41="","先填完整分组",IF(T41&lt;30,"样本太少：仅描述",IF(T41&lt;100,"只作试点候选","可进入独立验证")))</f>
        <v/>
      </c>
      <c r="V41" s="3" t="n"/>
      <c r="W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5">
        <f>IF(COUNTA(A42:G42)&lt;7,"",COUNTIFS('原子事实记录'!$C$2:$C$2001,$D42,'原子事实记录'!$E$2:$E$2001,$A42,'原子事实记录'!$F$2:$F$2001,$B42,'原子事实记录'!$G$2:$G$2001,$C42,'原子事实记录'!$I$2:$I$2001,$E42,'原子事实记录'!$J$2:$J$2001,$F42,'原子事实记录'!$Q$2:$Q$2001,"是",'原子事实记录'!$R$2:$R$2001,"TP"))</f>
        <v/>
      </c>
      <c r="I42" s="5">
        <f>IF(COUNTA(A42:G42)&lt;7,"",COUNTIFS('原子事实记录'!$C$2:$C$2001,$D42,'原子事实记录'!$E$2:$E$2001,$A42,'原子事实记录'!$F$2:$F$2001,$B42,'原子事实记录'!$G$2:$G$2001,$C42,'原子事实记录'!$I$2:$I$2001,$E42,'原子事实记录'!$J$2:$J$2001,$F42,'原子事实记录'!$Q$2:$Q$2001,"是",'原子事实记录'!$R$2:$R$2001,"FP"))</f>
        <v/>
      </c>
      <c r="J42" s="5">
        <f>IF(COUNTA(A42:G42)&lt;7,"",COUNTIFS('原子事实记录'!$C$2:$C$2001,$D42,'原子事实记录'!$E$2:$E$2001,$A42,'原子事实记录'!$F$2:$F$2001,$B42,'原子事实记录'!$G$2:$G$2001,$C42,'原子事实记录'!$I$2:$I$2001,$E42,'原子事实记录'!$J$2:$J$2001,$F42,'原子事实记录'!$Q$2:$Q$2001,"是",'原子事实记录'!$R$2:$R$2001,"FN"))</f>
        <v/>
      </c>
      <c r="K42" s="5">
        <f>IF(COUNTA(A42:G42)&lt;7,"",COUNTIFS('原子事实记录'!$C$2:$C$2001,$D42,'原子事实记录'!$E$2:$E$2001,$A42,'原子事实记录'!$F$2:$F$2001,$B42,'原子事实记录'!$G$2:$G$2001,$C42,'原子事实记录'!$I$2:$I$2001,$E42,'原子事实记录'!$J$2:$J$2001,$F42,'原子事实记录'!$Q$2:$Q$2001,"是",'原子事实记录'!$R$2:$R$2001,"TN"))</f>
        <v/>
      </c>
      <c r="L42" s="5">
        <f>IF(COUNTA(A42:G42)&lt;7,"",COUNTIFS('原子事实记录'!$C$2:$C$2001,$D42,'原子事实记录'!$E$2:$E$2001,$A42,'原子事实记录'!$F$2:$F$2001,$B42,'原子事实记录'!$G$2:$G$2001,$C42,'原子事实记录'!$I$2:$I$2001,$E42,'原子事实记录'!$J$2:$J$2001,$F42,'原子事实记录'!$Q$2:$Q$2001,"是",'原子事实记录'!$R$2:$R$2001,"未知"))</f>
        <v/>
      </c>
      <c r="M42" s="3" t="n"/>
      <c r="N42" s="3" t="n"/>
      <c r="O42" s="5">
        <f>IF(OR(G42="",M42="",N42=""),"",M42+IF(G42="肯定主张正确率",H42,IF(G42="否定主张正确率",K42,IF(G42="灵敏度",H42,K42))))</f>
        <v/>
      </c>
      <c r="P42" s="5">
        <f>IF(OR(G42="",M42="",N42=""),"",N42+IF(G42="肯定主张正确率",I42,IF(G42="否定主张正确率",J42,IF(G42="灵敏度",J42,I42))))</f>
        <v/>
      </c>
      <c r="Q42" s="7">
        <f>IF(OR(O42="",P42=""),"",O42/(O42+P42))</f>
        <v/>
      </c>
      <c r="R42" s="7">
        <f>IF(Q42="","",BETA.INV(0.025,O42,P42))</f>
        <v/>
      </c>
      <c r="S42" s="7">
        <f>IF(Q42="","",BETA.INV(0.975,O42,P42))</f>
        <v/>
      </c>
      <c r="T42" s="5">
        <f>IF(OR(O42="",P42=""),"",O42+P42-M42-N42)</f>
        <v/>
      </c>
      <c r="U42" s="5">
        <f>IF(T42="","先填完整分组",IF(T42&lt;30,"样本太少：仅描述",IF(T42&lt;100,"只作试点候选","可进入独立验证")))</f>
        <v/>
      </c>
      <c r="V42" s="3" t="n"/>
      <c r="W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5">
        <f>IF(COUNTA(A43:G43)&lt;7,"",COUNTIFS('原子事实记录'!$C$2:$C$2001,$D43,'原子事实记录'!$E$2:$E$2001,$A43,'原子事实记录'!$F$2:$F$2001,$B43,'原子事实记录'!$G$2:$G$2001,$C43,'原子事实记录'!$I$2:$I$2001,$E43,'原子事实记录'!$J$2:$J$2001,$F43,'原子事实记录'!$Q$2:$Q$2001,"是",'原子事实记录'!$R$2:$R$2001,"TP"))</f>
        <v/>
      </c>
      <c r="I43" s="5">
        <f>IF(COUNTA(A43:G43)&lt;7,"",COUNTIFS('原子事实记录'!$C$2:$C$2001,$D43,'原子事实记录'!$E$2:$E$2001,$A43,'原子事实记录'!$F$2:$F$2001,$B43,'原子事实记录'!$G$2:$G$2001,$C43,'原子事实记录'!$I$2:$I$2001,$E43,'原子事实记录'!$J$2:$J$2001,$F43,'原子事实记录'!$Q$2:$Q$2001,"是",'原子事实记录'!$R$2:$R$2001,"FP"))</f>
        <v/>
      </c>
      <c r="J43" s="5">
        <f>IF(COUNTA(A43:G43)&lt;7,"",COUNTIFS('原子事实记录'!$C$2:$C$2001,$D43,'原子事实记录'!$E$2:$E$2001,$A43,'原子事实记录'!$F$2:$F$2001,$B43,'原子事实记录'!$G$2:$G$2001,$C43,'原子事实记录'!$I$2:$I$2001,$E43,'原子事实记录'!$J$2:$J$2001,$F43,'原子事实记录'!$Q$2:$Q$2001,"是",'原子事实记录'!$R$2:$R$2001,"FN"))</f>
        <v/>
      </c>
      <c r="K43" s="5">
        <f>IF(COUNTA(A43:G43)&lt;7,"",COUNTIFS('原子事实记录'!$C$2:$C$2001,$D43,'原子事实记录'!$E$2:$E$2001,$A43,'原子事实记录'!$F$2:$F$2001,$B43,'原子事实记录'!$G$2:$G$2001,$C43,'原子事实记录'!$I$2:$I$2001,$E43,'原子事实记录'!$J$2:$J$2001,$F43,'原子事实记录'!$Q$2:$Q$2001,"是",'原子事实记录'!$R$2:$R$2001,"TN"))</f>
        <v/>
      </c>
      <c r="L43" s="5">
        <f>IF(COUNTA(A43:G43)&lt;7,"",COUNTIFS('原子事实记录'!$C$2:$C$2001,$D43,'原子事实记录'!$E$2:$E$2001,$A43,'原子事实记录'!$F$2:$F$2001,$B43,'原子事实记录'!$G$2:$G$2001,$C43,'原子事实记录'!$I$2:$I$2001,$E43,'原子事实记录'!$J$2:$J$2001,$F43,'原子事实记录'!$Q$2:$Q$2001,"是",'原子事实记录'!$R$2:$R$2001,"未知"))</f>
        <v/>
      </c>
      <c r="M43" s="3" t="n"/>
      <c r="N43" s="3" t="n"/>
      <c r="O43" s="5">
        <f>IF(OR(G43="",M43="",N43=""),"",M43+IF(G43="肯定主张正确率",H43,IF(G43="否定主张正确率",K43,IF(G43="灵敏度",H43,K43))))</f>
        <v/>
      </c>
      <c r="P43" s="5">
        <f>IF(OR(G43="",M43="",N43=""),"",N43+IF(G43="肯定主张正确率",I43,IF(G43="否定主张正确率",J43,IF(G43="灵敏度",J43,I43))))</f>
        <v/>
      </c>
      <c r="Q43" s="7">
        <f>IF(OR(O43="",P43=""),"",O43/(O43+P43))</f>
        <v/>
      </c>
      <c r="R43" s="7">
        <f>IF(Q43="","",BETA.INV(0.025,O43,P43))</f>
        <v/>
      </c>
      <c r="S43" s="7">
        <f>IF(Q43="","",BETA.INV(0.975,O43,P43))</f>
        <v/>
      </c>
      <c r="T43" s="5">
        <f>IF(OR(O43="",P43=""),"",O43+P43-M43-N43)</f>
        <v/>
      </c>
      <c r="U43" s="5">
        <f>IF(T43="","先填完整分组",IF(T43&lt;30,"样本太少：仅描述",IF(T43&lt;100,"只作试点候选","可进入独立验证")))</f>
        <v/>
      </c>
      <c r="V43" s="3" t="n"/>
      <c r="W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5">
        <f>IF(COUNTA(A44:G44)&lt;7,"",COUNTIFS('原子事实记录'!$C$2:$C$2001,$D44,'原子事实记录'!$E$2:$E$2001,$A44,'原子事实记录'!$F$2:$F$2001,$B44,'原子事实记录'!$G$2:$G$2001,$C44,'原子事实记录'!$I$2:$I$2001,$E44,'原子事实记录'!$J$2:$J$2001,$F44,'原子事实记录'!$Q$2:$Q$2001,"是",'原子事实记录'!$R$2:$R$2001,"TP"))</f>
        <v/>
      </c>
      <c r="I44" s="5">
        <f>IF(COUNTA(A44:G44)&lt;7,"",COUNTIFS('原子事实记录'!$C$2:$C$2001,$D44,'原子事实记录'!$E$2:$E$2001,$A44,'原子事实记录'!$F$2:$F$2001,$B44,'原子事实记录'!$G$2:$G$2001,$C44,'原子事实记录'!$I$2:$I$2001,$E44,'原子事实记录'!$J$2:$J$2001,$F44,'原子事实记录'!$Q$2:$Q$2001,"是",'原子事实记录'!$R$2:$R$2001,"FP"))</f>
        <v/>
      </c>
      <c r="J44" s="5">
        <f>IF(COUNTA(A44:G44)&lt;7,"",COUNTIFS('原子事实记录'!$C$2:$C$2001,$D44,'原子事实记录'!$E$2:$E$2001,$A44,'原子事实记录'!$F$2:$F$2001,$B44,'原子事实记录'!$G$2:$G$2001,$C44,'原子事实记录'!$I$2:$I$2001,$E44,'原子事实记录'!$J$2:$J$2001,$F44,'原子事实记录'!$Q$2:$Q$2001,"是",'原子事实记录'!$R$2:$R$2001,"FN"))</f>
        <v/>
      </c>
      <c r="K44" s="5">
        <f>IF(COUNTA(A44:G44)&lt;7,"",COUNTIFS('原子事实记录'!$C$2:$C$2001,$D44,'原子事实记录'!$E$2:$E$2001,$A44,'原子事实记录'!$F$2:$F$2001,$B44,'原子事实记录'!$G$2:$G$2001,$C44,'原子事实记录'!$I$2:$I$2001,$E44,'原子事实记录'!$J$2:$J$2001,$F44,'原子事实记录'!$Q$2:$Q$2001,"是",'原子事实记录'!$R$2:$R$2001,"TN"))</f>
        <v/>
      </c>
      <c r="L44" s="5">
        <f>IF(COUNTA(A44:G44)&lt;7,"",COUNTIFS('原子事实记录'!$C$2:$C$2001,$D44,'原子事实记录'!$E$2:$E$2001,$A44,'原子事实记录'!$F$2:$F$2001,$B44,'原子事实记录'!$G$2:$G$2001,$C44,'原子事实记录'!$I$2:$I$2001,$E44,'原子事实记录'!$J$2:$J$2001,$F44,'原子事实记录'!$Q$2:$Q$2001,"是",'原子事实记录'!$R$2:$R$2001,"未知"))</f>
        <v/>
      </c>
      <c r="M44" s="3" t="n"/>
      <c r="N44" s="3" t="n"/>
      <c r="O44" s="5">
        <f>IF(OR(G44="",M44="",N44=""),"",M44+IF(G44="肯定主张正确率",H44,IF(G44="否定主张正确率",K44,IF(G44="灵敏度",H44,K44))))</f>
        <v/>
      </c>
      <c r="P44" s="5">
        <f>IF(OR(G44="",M44="",N44=""),"",N44+IF(G44="肯定主张正确率",I44,IF(G44="否定主张正确率",J44,IF(G44="灵敏度",J44,I44))))</f>
        <v/>
      </c>
      <c r="Q44" s="7">
        <f>IF(OR(O44="",P44=""),"",O44/(O44+P44))</f>
        <v/>
      </c>
      <c r="R44" s="7">
        <f>IF(Q44="","",BETA.INV(0.025,O44,P44))</f>
        <v/>
      </c>
      <c r="S44" s="7">
        <f>IF(Q44="","",BETA.INV(0.975,O44,P44))</f>
        <v/>
      </c>
      <c r="T44" s="5">
        <f>IF(OR(O44="",P44=""),"",O44+P44-M44-N44)</f>
        <v/>
      </c>
      <c r="U44" s="5">
        <f>IF(T44="","先填完整分组",IF(T44&lt;30,"样本太少：仅描述",IF(T44&lt;100,"只作试点候选","可进入独立验证")))</f>
        <v/>
      </c>
      <c r="V44" s="3" t="n"/>
      <c r="W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5">
        <f>IF(COUNTA(A45:G45)&lt;7,"",COUNTIFS('原子事实记录'!$C$2:$C$2001,$D45,'原子事实记录'!$E$2:$E$2001,$A45,'原子事实记录'!$F$2:$F$2001,$B45,'原子事实记录'!$G$2:$G$2001,$C45,'原子事实记录'!$I$2:$I$2001,$E45,'原子事实记录'!$J$2:$J$2001,$F45,'原子事实记录'!$Q$2:$Q$2001,"是",'原子事实记录'!$R$2:$R$2001,"TP"))</f>
        <v/>
      </c>
      <c r="I45" s="5">
        <f>IF(COUNTA(A45:G45)&lt;7,"",COUNTIFS('原子事实记录'!$C$2:$C$2001,$D45,'原子事实记录'!$E$2:$E$2001,$A45,'原子事实记录'!$F$2:$F$2001,$B45,'原子事实记录'!$G$2:$G$2001,$C45,'原子事实记录'!$I$2:$I$2001,$E45,'原子事实记录'!$J$2:$J$2001,$F45,'原子事实记录'!$Q$2:$Q$2001,"是",'原子事实记录'!$R$2:$R$2001,"FP"))</f>
        <v/>
      </c>
      <c r="J45" s="5">
        <f>IF(COUNTA(A45:G45)&lt;7,"",COUNTIFS('原子事实记录'!$C$2:$C$2001,$D45,'原子事实记录'!$E$2:$E$2001,$A45,'原子事实记录'!$F$2:$F$2001,$B45,'原子事实记录'!$G$2:$G$2001,$C45,'原子事实记录'!$I$2:$I$2001,$E45,'原子事实记录'!$J$2:$J$2001,$F45,'原子事实记录'!$Q$2:$Q$2001,"是",'原子事实记录'!$R$2:$R$2001,"FN"))</f>
        <v/>
      </c>
      <c r="K45" s="5">
        <f>IF(COUNTA(A45:G45)&lt;7,"",COUNTIFS('原子事实记录'!$C$2:$C$2001,$D45,'原子事实记录'!$E$2:$E$2001,$A45,'原子事实记录'!$F$2:$F$2001,$B45,'原子事实记录'!$G$2:$G$2001,$C45,'原子事实记录'!$I$2:$I$2001,$E45,'原子事实记录'!$J$2:$J$2001,$F45,'原子事实记录'!$Q$2:$Q$2001,"是",'原子事实记录'!$R$2:$R$2001,"TN"))</f>
        <v/>
      </c>
      <c r="L45" s="5">
        <f>IF(COUNTA(A45:G45)&lt;7,"",COUNTIFS('原子事实记录'!$C$2:$C$2001,$D45,'原子事实记录'!$E$2:$E$2001,$A45,'原子事实记录'!$F$2:$F$2001,$B45,'原子事实记录'!$G$2:$G$2001,$C45,'原子事实记录'!$I$2:$I$2001,$E45,'原子事实记录'!$J$2:$J$2001,$F45,'原子事实记录'!$Q$2:$Q$2001,"是",'原子事实记录'!$R$2:$R$2001,"未知"))</f>
        <v/>
      </c>
      <c r="M45" s="3" t="n"/>
      <c r="N45" s="3" t="n"/>
      <c r="O45" s="5">
        <f>IF(OR(G45="",M45="",N45=""),"",M45+IF(G45="肯定主张正确率",H45,IF(G45="否定主张正确率",K45,IF(G45="灵敏度",H45,K45))))</f>
        <v/>
      </c>
      <c r="P45" s="5">
        <f>IF(OR(G45="",M45="",N45=""),"",N45+IF(G45="肯定主张正确率",I45,IF(G45="否定主张正确率",J45,IF(G45="灵敏度",J45,I45))))</f>
        <v/>
      </c>
      <c r="Q45" s="7">
        <f>IF(OR(O45="",P45=""),"",O45/(O45+P45))</f>
        <v/>
      </c>
      <c r="R45" s="7">
        <f>IF(Q45="","",BETA.INV(0.025,O45,P45))</f>
        <v/>
      </c>
      <c r="S45" s="7">
        <f>IF(Q45="","",BETA.INV(0.975,O45,P45))</f>
        <v/>
      </c>
      <c r="T45" s="5">
        <f>IF(OR(O45="",P45=""),"",O45+P45-M45-N45)</f>
        <v/>
      </c>
      <c r="U45" s="5">
        <f>IF(T45="","先填完整分组",IF(T45&lt;30,"样本太少：仅描述",IF(T45&lt;100,"只作试点候选","可进入独立验证")))</f>
        <v/>
      </c>
      <c r="V45" s="3" t="n"/>
      <c r="W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5">
        <f>IF(COUNTA(A46:G46)&lt;7,"",COUNTIFS('原子事实记录'!$C$2:$C$2001,$D46,'原子事实记录'!$E$2:$E$2001,$A46,'原子事实记录'!$F$2:$F$2001,$B46,'原子事实记录'!$G$2:$G$2001,$C46,'原子事实记录'!$I$2:$I$2001,$E46,'原子事实记录'!$J$2:$J$2001,$F46,'原子事实记录'!$Q$2:$Q$2001,"是",'原子事实记录'!$R$2:$R$2001,"TP"))</f>
        <v/>
      </c>
      <c r="I46" s="5">
        <f>IF(COUNTA(A46:G46)&lt;7,"",COUNTIFS('原子事实记录'!$C$2:$C$2001,$D46,'原子事实记录'!$E$2:$E$2001,$A46,'原子事实记录'!$F$2:$F$2001,$B46,'原子事实记录'!$G$2:$G$2001,$C46,'原子事实记录'!$I$2:$I$2001,$E46,'原子事实记录'!$J$2:$J$2001,$F46,'原子事实记录'!$Q$2:$Q$2001,"是",'原子事实记录'!$R$2:$R$2001,"FP"))</f>
        <v/>
      </c>
      <c r="J46" s="5">
        <f>IF(COUNTA(A46:G46)&lt;7,"",COUNTIFS('原子事实记录'!$C$2:$C$2001,$D46,'原子事实记录'!$E$2:$E$2001,$A46,'原子事实记录'!$F$2:$F$2001,$B46,'原子事实记录'!$G$2:$G$2001,$C46,'原子事实记录'!$I$2:$I$2001,$E46,'原子事实记录'!$J$2:$J$2001,$F46,'原子事实记录'!$Q$2:$Q$2001,"是",'原子事实记录'!$R$2:$R$2001,"FN"))</f>
        <v/>
      </c>
      <c r="K46" s="5">
        <f>IF(COUNTA(A46:G46)&lt;7,"",COUNTIFS('原子事实记录'!$C$2:$C$2001,$D46,'原子事实记录'!$E$2:$E$2001,$A46,'原子事实记录'!$F$2:$F$2001,$B46,'原子事实记录'!$G$2:$G$2001,$C46,'原子事实记录'!$I$2:$I$2001,$E46,'原子事实记录'!$J$2:$J$2001,$F46,'原子事实记录'!$Q$2:$Q$2001,"是",'原子事实记录'!$R$2:$R$2001,"TN"))</f>
        <v/>
      </c>
      <c r="L46" s="5">
        <f>IF(COUNTA(A46:G46)&lt;7,"",COUNTIFS('原子事实记录'!$C$2:$C$2001,$D46,'原子事实记录'!$E$2:$E$2001,$A46,'原子事实记录'!$F$2:$F$2001,$B46,'原子事实记录'!$G$2:$G$2001,$C46,'原子事实记录'!$I$2:$I$2001,$E46,'原子事实记录'!$J$2:$J$2001,$F46,'原子事实记录'!$Q$2:$Q$2001,"是",'原子事实记录'!$R$2:$R$2001,"未知"))</f>
        <v/>
      </c>
      <c r="M46" s="3" t="n"/>
      <c r="N46" s="3" t="n"/>
      <c r="O46" s="5">
        <f>IF(OR(G46="",M46="",N46=""),"",M46+IF(G46="肯定主张正确率",H46,IF(G46="否定主张正确率",K46,IF(G46="灵敏度",H46,K46))))</f>
        <v/>
      </c>
      <c r="P46" s="5">
        <f>IF(OR(G46="",M46="",N46=""),"",N46+IF(G46="肯定主张正确率",I46,IF(G46="否定主张正确率",J46,IF(G46="灵敏度",J46,I46))))</f>
        <v/>
      </c>
      <c r="Q46" s="7">
        <f>IF(OR(O46="",P46=""),"",O46/(O46+P46))</f>
        <v/>
      </c>
      <c r="R46" s="7">
        <f>IF(Q46="","",BETA.INV(0.025,O46,P46))</f>
        <v/>
      </c>
      <c r="S46" s="7">
        <f>IF(Q46="","",BETA.INV(0.975,O46,P46))</f>
        <v/>
      </c>
      <c r="T46" s="5">
        <f>IF(OR(O46="",P46=""),"",O46+P46-M46-N46)</f>
        <v/>
      </c>
      <c r="U46" s="5">
        <f>IF(T46="","先填完整分组",IF(T46&lt;30,"样本太少：仅描述",IF(T46&lt;100,"只作试点候选","可进入独立验证")))</f>
        <v/>
      </c>
      <c r="V46" s="3" t="n"/>
      <c r="W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5">
        <f>IF(COUNTA(A47:G47)&lt;7,"",COUNTIFS('原子事实记录'!$C$2:$C$2001,$D47,'原子事实记录'!$E$2:$E$2001,$A47,'原子事实记录'!$F$2:$F$2001,$B47,'原子事实记录'!$G$2:$G$2001,$C47,'原子事实记录'!$I$2:$I$2001,$E47,'原子事实记录'!$J$2:$J$2001,$F47,'原子事实记录'!$Q$2:$Q$2001,"是",'原子事实记录'!$R$2:$R$2001,"TP"))</f>
        <v/>
      </c>
      <c r="I47" s="5">
        <f>IF(COUNTA(A47:G47)&lt;7,"",COUNTIFS('原子事实记录'!$C$2:$C$2001,$D47,'原子事实记录'!$E$2:$E$2001,$A47,'原子事实记录'!$F$2:$F$2001,$B47,'原子事实记录'!$G$2:$G$2001,$C47,'原子事实记录'!$I$2:$I$2001,$E47,'原子事实记录'!$J$2:$J$2001,$F47,'原子事实记录'!$Q$2:$Q$2001,"是",'原子事实记录'!$R$2:$R$2001,"FP"))</f>
        <v/>
      </c>
      <c r="J47" s="5">
        <f>IF(COUNTA(A47:G47)&lt;7,"",COUNTIFS('原子事实记录'!$C$2:$C$2001,$D47,'原子事实记录'!$E$2:$E$2001,$A47,'原子事实记录'!$F$2:$F$2001,$B47,'原子事实记录'!$G$2:$G$2001,$C47,'原子事实记录'!$I$2:$I$2001,$E47,'原子事实记录'!$J$2:$J$2001,$F47,'原子事实记录'!$Q$2:$Q$2001,"是",'原子事实记录'!$R$2:$R$2001,"FN"))</f>
        <v/>
      </c>
      <c r="K47" s="5">
        <f>IF(COUNTA(A47:G47)&lt;7,"",COUNTIFS('原子事实记录'!$C$2:$C$2001,$D47,'原子事实记录'!$E$2:$E$2001,$A47,'原子事实记录'!$F$2:$F$2001,$B47,'原子事实记录'!$G$2:$G$2001,$C47,'原子事实记录'!$I$2:$I$2001,$E47,'原子事实记录'!$J$2:$J$2001,$F47,'原子事实记录'!$Q$2:$Q$2001,"是",'原子事实记录'!$R$2:$R$2001,"TN"))</f>
        <v/>
      </c>
      <c r="L47" s="5">
        <f>IF(COUNTA(A47:G47)&lt;7,"",COUNTIFS('原子事实记录'!$C$2:$C$2001,$D47,'原子事实记录'!$E$2:$E$2001,$A47,'原子事实记录'!$F$2:$F$2001,$B47,'原子事实记录'!$G$2:$G$2001,$C47,'原子事实记录'!$I$2:$I$2001,$E47,'原子事实记录'!$J$2:$J$2001,$F47,'原子事实记录'!$Q$2:$Q$2001,"是",'原子事实记录'!$R$2:$R$2001,"未知"))</f>
        <v/>
      </c>
      <c r="M47" s="3" t="n"/>
      <c r="N47" s="3" t="n"/>
      <c r="O47" s="5">
        <f>IF(OR(G47="",M47="",N47=""),"",M47+IF(G47="肯定主张正确率",H47,IF(G47="否定主张正确率",K47,IF(G47="灵敏度",H47,K47))))</f>
        <v/>
      </c>
      <c r="P47" s="5">
        <f>IF(OR(G47="",M47="",N47=""),"",N47+IF(G47="肯定主张正确率",I47,IF(G47="否定主张正确率",J47,IF(G47="灵敏度",J47,I47))))</f>
        <v/>
      </c>
      <c r="Q47" s="7">
        <f>IF(OR(O47="",P47=""),"",O47/(O47+P47))</f>
        <v/>
      </c>
      <c r="R47" s="7">
        <f>IF(Q47="","",BETA.INV(0.025,O47,P47))</f>
        <v/>
      </c>
      <c r="S47" s="7">
        <f>IF(Q47="","",BETA.INV(0.975,O47,P47))</f>
        <v/>
      </c>
      <c r="T47" s="5">
        <f>IF(OR(O47="",P47=""),"",O47+P47-M47-N47)</f>
        <v/>
      </c>
      <c r="U47" s="5">
        <f>IF(T47="","先填完整分组",IF(T47&lt;30,"样本太少：仅描述",IF(T47&lt;100,"只作试点候选","可进入独立验证")))</f>
        <v/>
      </c>
      <c r="V47" s="3" t="n"/>
      <c r="W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5">
        <f>IF(COUNTA(A48:G48)&lt;7,"",COUNTIFS('原子事实记录'!$C$2:$C$2001,$D48,'原子事实记录'!$E$2:$E$2001,$A48,'原子事实记录'!$F$2:$F$2001,$B48,'原子事实记录'!$G$2:$G$2001,$C48,'原子事实记录'!$I$2:$I$2001,$E48,'原子事实记录'!$J$2:$J$2001,$F48,'原子事实记录'!$Q$2:$Q$2001,"是",'原子事实记录'!$R$2:$R$2001,"TP"))</f>
        <v/>
      </c>
      <c r="I48" s="5">
        <f>IF(COUNTA(A48:G48)&lt;7,"",COUNTIFS('原子事实记录'!$C$2:$C$2001,$D48,'原子事实记录'!$E$2:$E$2001,$A48,'原子事实记录'!$F$2:$F$2001,$B48,'原子事实记录'!$G$2:$G$2001,$C48,'原子事实记录'!$I$2:$I$2001,$E48,'原子事实记录'!$J$2:$J$2001,$F48,'原子事实记录'!$Q$2:$Q$2001,"是",'原子事实记录'!$R$2:$R$2001,"FP"))</f>
        <v/>
      </c>
      <c r="J48" s="5">
        <f>IF(COUNTA(A48:G48)&lt;7,"",COUNTIFS('原子事实记录'!$C$2:$C$2001,$D48,'原子事实记录'!$E$2:$E$2001,$A48,'原子事实记录'!$F$2:$F$2001,$B48,'原子事实记录'!$G$2:$G$2001,$C48,'原子事实记录'!$I$2:$I$2001,$E48,'原子事实记录'!$J$2:$J$2001,$F48,'原子事实记录'!$Q$2:$Q$2001,"是",'原子事实记录'!$R$2:$R$2001,"FN"))</f>
        <v/>
      </c>
      <c r="K48" s="5">
        <f>IF(COUNTA(A48:G48)&lt;7,"",COUNTIFS('原子事实记录'!$C$2:$C$2001,$D48,'原子事实记录'!$E$2:$E$2001,$A48,'原子事实记录'!$F$2:$F$2001,$B48,'原子事实记录'!$G$2:$G$2001,$C48,'原子事实记录'!$I$2:$I$2001,$E48,'原子事实记录'!$J$2:$J$2001,$F48,'原子事实记录'!$Q$2:$Q$2001,"是",'原子事实记录'!$R$2:$R$2001,"TN"))</f>
        <v/>
      </c>
      <c r="L48" s="5">
        <f>IF(COUNTA(A48:G48)&lt;7,"",COUNTIFS('原子事实记录'!$C$2:$C$2001,$D48,'原子事实记录'!$E$2:$E$2001,$A48,'原子事实记录'!$F$2:$F$2001,$B48,'原子事实记录'!$G$2:$G$2001,$C48,'原子事实记录'!$I$2:$I$2001,$E48,'原子事实记录'!$J$2:$J$2001,$F48,'原子事实记录'!$Q$2:$Q$2001,"是",'原子事实记录'!$R$2:$R$2001,"未知"))</f>
        <v/>
      </c>
      <c r="M48" s="3" t="n"/>
      <c r="N48" s="3" t="n"/>
      <c r="O48" s="5">
        <f>IF(OR(G48="",M48="",N48=""),"",M48+IF(G48="肯定主张正确率",H48,IF(G48="否定主张正确率",K48,IF(G48="灵敏度",H48,K48))))</f>
        <v/>
      </c>
      <c r="P48" s="5">
        <f>IF(OR(G48="",M48="",N48=""),"",N48+IF(G48="肯定主张正确率",I48,IF(G48="否定主张正确率",J48,IF(G48="灵敏度",J48,I48))))</f>
        <v/>
      </c>
      <c r="Q48" s="7">
        <f>IF(OR(O48="",P48=""),"",O48/(O48+P48))</f>
        <v/>
      </c>
      <c r="R48" s="7">
        <f>IF(Q48="","",BETA.INV(0.025,O48,P48))</f>
        <v/>
      </c>
      <c r="S48" s="7">
        <f>IF(Q48="","",BETA.INV(0.975,O48,P48))</f>
        <v/>
      </c>
      <c r="T48" s="5">
        <f>IF(OR(O48="",P48=""),"",O48+P48-M48-N48)</f>
        <v/>
      </c>
      <c r="U48" s="5">
        <f>IF(T48="","先填完整分组",IF(T48&lt;30,"样本太少：仅描述",IF(T48&lt;100,"只作试点候选","可进入独立验证")))</f>
        <v/>
      </c>
      <c r="V48" s="3" t="n"/>
      <c r="W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5">
        <f>IF(COUNTA(A49:G49)&lt;7,"",COUNTIFS('原子事实记录'!$C$2:$C$2001,$D49,'原子事实记录'!$E$2:$E$2001,$A49,'原子事实记录'!$F$2:$F$2001,$B49,'原子事实记录'!$G$2:$G$2001,$C49,'原子事实记录'!$I$2:$I$2001,$E49,'原子事实记录'!$J$2:$J$2001,$F49,'原子事实记录'!$Q$2:$Q$2001,"是",'原子事实记录'!$R$2:$R$2001,"TP"))</f>
        <v/>
      </c>
      <c r="I49" s="5">
        <f>IF(COUNTA(A49:G49)&lt;7,"",COUNTIFS('原子事实记录'!$C$2:$C$2001,$D49,'原子事实记录'!$E$2:$E$2001,$A49,'原子事实记录'!$F$2:$F$2001,$B49,'原子事实记录'!$G$2:$G$2001,$C49,'原子事实记录'!$I$2:$I$2001,$E49,'原子事实记录'!$J$2:$J$2001,$F49,'原子事实记录'!$Q$2:$Q$2001,"是",'原子事实记录'!$R$2:$R$2001,"FP"))</f>
        <v/>
      </c>
      <c r="J49" s="5">
        <f>IF(COUNTA(A49:G49)&lt;7,"",COUNTIFS('原子事实记录'!$C$2:$C$2001,$D49,'原子事实记录'!$E$2:$E$2001,$A49,'原子事实记录'!$F$2:$F$2001,$B49,'原子事实记录'!$G$2:$G$2001,$C49,'原子事实记录'!$I$2:$I$2001,$E49,'原子事实记录'!$J$2:$J$2001,$F49,'原子事实记录'!$Q$2:$Q$2001,"是",'原子事实记录'!$R$2:$R$2001,"FN"))</f>
        <v/>
      </c>
      <c r="K49" s="5">
        <f>IF(COUNTA(A49:G49)&lt;7,"",COUNTIFS('原子事实记录'!$C$2:$C$2001,$D49,'原子事实记录'!$E$2:$E$2001,$A49,'原子事实记录'!$F$2:$F$2001,$B49,'原子事实记录'!$G$2:$G$2001,$C49,'原子事实记录'!$I$2:$I$2001,$E49,'原子事实记录'!$J$2:$J$2001,$F49,'原子事实记录'!$Q$2:$Q$2001,"是",'原子事实记录'!$R$2:$R$2001,"TN"))</f>
        <v/>
      </c>
      <c r="L49" s="5">
        <f>IF(COUNTA(A49:G49)&lt;7,"",COUNTIFS('原子事实记录'!$C$2:$C$2001,$D49,'原子事实记录'!$E$2:$E$2001,$A49,'原子事实记录'!$F$2:$F$2001,$B49,'原子事实记录'!$G$2:$G$2001,$C49,'原子事实记录'!$I$2:$I$2001,$E49,'原子事实记录'!$J$2:$J$2001,$F49,'原子事实记录'!$Q$2:$Q$2001,"是",'原子事实记录'!$R$2:$R$2001,"未知"))</f>
        <v/>
      </c>
      <c r="M49" s="3" t="n"/>
      <c r="N49" s="3" t="n"/>
      <c r="O49" s="5">
        <f>IF(OR(G49="",M49="",N49=""),"",M49+IF(G49="肯定主张正确率",H49,IF(G49="否定主张正确率",K49,IF(G49="灵敏度",H49,K49))))</f>
        <v/>
      </c>
      <c r="P49" s="5">
        <f>IF(OR(G49="",M49="",N49=""),"",N49+IF(G49="肯定主张正确率",I49,IF(G49="否定主张正确率",J49,IF(G49="灵敏度",J49,I49))))</f>
        <v/>
      </c>
      <c r="Q49" s="7">
        <f>IF(OR(O49="",P49=""),"",O49/(O49+P49))</f>
        <v/>
      </c>
      <c r="R49" s="7">
        <f>IF(Q49="","",BETA.INV(0.025,O49,P49))</f>
        <v/>
      </c>
      <c r="S49" s="7">
        <f>IF(Q49="","",BETA.INV(0.975,O49,P49))</f>
        <v/>
      </c>
      <c r="T49" s="5">
        <f>IF(OR(O49="",P49=""),"",O49+P49-M49-N49)</f>
        <v/>
      </c>
      <c r="U49" s="5">
        <f>IF(T49="","先填完整分组",IF(T49&lt;30,"样本太少：仅描述",IF(T49&lt;100,"只作试点候选","可进入独立验证")))</f>
        <v/>
      </c>
      <c r="V49" s="3" t="n"/>
      <c r="W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5">
        <f>IF(COUNTA(A50:G50)&lt;7,"",COUNTIFS('原子事实记录'!$C$2:$C$2001,$D50,'原子事实记录'!$E$2:$E$2001,$A50,'原子事实记录'!$F$2:$F$2001,$B50,'原子事实记录'!$G$2:$G$2001,$C50,'原子事实记录'!$I$2:$I$2001,$E50,'原子事实记录'!$J$2:$J$2001,$F50,'原子事实记录'!$Q$2:$Q$2001,"是",'原子事实记录'!$R$2:$R$2001,"TP"))</f>
        <v/>
      </c>
      <c r="I50" s="5">
        <f>IF(COUNTA(A50:G50)&lt;7,"",COUNTIFS('原子事实记录'!$C$2:$C$2001,$D50,'原子事实记录'!$E$2:$E$2001,$A50,'原子事实记录'!$F$2:$F$2001,$B50,'原子事实记录'!$G$2:$G$2001,$C50,'原子事实记录'!$I$2:$I$2001,$E50,'原子事实记录'!$J$2:$J$2001,$F50,'原子事实记录'!$Q$2:$Q$2001,"是",'原子事实记录'!$R$2:$R$2001,"FP"))</f>
        <v/>
      </c>
      <c r="J50" s="5">
        <f>IF(COUNTA(A50:G50)&lt;7,"",COUNTIFS('原子事实记录'!$C$2:$C$2001,$D50,'原子事实记录'!$E$2:$E$2001,$A50,'原子事实记录'!$F$2:$F$2001,$B50,'原子事实记录'!$G$2:$G$2001,$C50,'原子事实记录'!$I$2:$I$2001,$E50,'原子事实记录'!$J$2:$J$2001,$F50,'原子事实记录'!$Q$2:$Q$2001,"是",'原子事实记录'!$R$2:$R$2001,"FN"))</f>
        <v/>
      </c>
      <c r="K50" s="5">
        <f>IF(COUNTA(A50:G50)&lt;7,"",COUNTIFS('原子事实记录'!$C$2:$C$2001,$D50,'原子事实记录'!$E$2:$E$2001,$A50,'原子事实记录'!$F$2:$F$2001,$B50,'原子事实记录'!$G$2:$G$2001,$C50,'原子事实记录'!$I$2:$I$2001,$E50,'原子事实记录'!$J$2:$J$2001,$F50,'原子事实记录'!$Q$2:$Q$2001,"是",'原子事实记录'!$R$2:$R$2001,"TN"))</f>
        <v/>
      </c>
      <c r="L50" s="5">
        <f>IF(COUNTA(A50:G50)&lt;7,"",COUNTIFS('原子事实记录'!$C$2:$C$2001,$D50,'原子事实记录'!$E$2:$E$2001,$A50,'原子事实记录'!$F$2:$F$2001,$B50,'原子事实记录'!$G$2:$G$2001,$C50,'原子事实记录'!$I$2:$I$2001,$E50,'原子事实记录'!$J$2:$J$2001,$F50,'原子事实记录'!$Q$2:$Q$2001,"是",'原子事实记录'!$R$2:$R$2001,"未知"))</f>
        <v/>
      </c>
      <c r="M50" s="3" t="n"/>
      <c r="N50" s="3" t="n"/>
      <c r="O50" s="5">
        <f>IF(OR(G50="",M50="",N50=""),"",M50+IF(G50="肯定主张正确率",H50,IF(G50="否定主张正确率",K50,IF(G50="灵敏度",H50,K50))))</f>
        <v/>
      </c>
      <c r="P50" s="5">
        <f>IF(OR(G50="",M50="",N50=""),"",N50+IF(G50="肯定主张正确率",I50,IF(G50="否定主张正确率",J50,IF(G50="灵敏度",J50,I50))))</f>
        <v/>
      </c>
      <c r="Q50" s="7">
        <f>IF(OR(O50="",P50=""),"",O50/(O50+P50))</f>
        <v/>
      </c>
      <c r="R50" s="7">
        <f>IF(Q50="","",BETA.INV(0.025,O50,P50))</f>
        <v/>
      </c>
      <c r="S50" s="7">
        <f>IF(Q50="","",BETA.INV(0.975,O50,P50))</f>
        <v/>
      </c>
      <c r="T50" s="5">
        <f>IF(OR(O50="",P50=""),"",O50+P50-M50-N50)</f>
        <v/>
      </c>
      <c r="U50" s="5">
        <f>IF(T50="","先填完整分组",IF(T50&lt;30,"样本太少：仅描述",IF(T50&lt;100,"只作试点候选","可进入独立验证")))</f>
        <v/>
      </c>
      <c r="V50" s="3" t="n"/>
      <c r="W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5">
        <f>IF(COUNTA(A51:G51)&lt;7,"",COUNTIFS('原子事实记录'!$C$2:$C$2001,$D51,'原子事实记录'!$E$2:$E$2001,$A51,'原子事实记录'!$F$2:$F$2001,$B51,'原子事实记录'!$G$2:$G$2001,$C51,'原子事实记录'!$I$2:$I$2001,$E51,'原子事实记录'!$J$2:$J$2001,$F51,'原子事实记录'!$Q$2:$Q$2001,"是",'原子事实记录'!$R$2:$R$2001,"TP"))</f>
        <v/>
      </c>
      <c r="I51" s="5">
        <f>IF(COUNTA(A51:G51)&lt;7,"",COUNTIFS('原子事实记录'!$C$2:$C$2001,$D51,'原子事实记录'!$E$2:$E$2001,$A51,'原子事实记录'!$F$2:$F$2001,$B51,'原子事实记录'!$G$2:$G$2001,$C51,'原子事实记录'!$I$2:$I$2001,$E51,'原子事实记录'!$J$2:$J$2001,$F51,'原子事实记录'!$Q$2:$Q$2001,"是",'原子事实记录'!$R$2:$R$2001,"FP"))</f>
        <v/>
      </c>
      <c r="J51" s="5">
        <f>IF(COUNTA(A51:G51)&lt;7,"",COUNTIFS('原子事实记录'!$C$2:$C$2001,$D51,'原子事实记录'!$E$2:$E$2001,$A51,'原子事实记录'!$F$2:$F$2001,$B51,'原子事实记录'!$G$2:$G$2001,$C51,'原子事实记录'!$I$2:$I$2001,$E51,'原子事实记录'!$J$2:$J$2001,$F51,'原子事实记录'!$Q$2:$Q$2001,"是",'原子事实记录'!$R$2:$R$2001,"FN"))</f>
        <v/>
      </c>
      <c r="K51" s="5">
        <f>IF(COUNTA(A51:G51)&lt;7,"",COUNTIFS('原子事实记录'!$C$2:$C$2001,$D51,'原子事实记录'!$E$2:$E$2001,$A51,'原子事实记录'!$F$2:$F$2001,$B51,'原子事实记录'!$G$2:$G$2001,$C51,'原子事实记录'!$I$2:$I$2001,$E51,'原子事实记录'!$J$2:$J$2001,$F51,'原子事实记录'!$Q$2:$Q$2001,"是",'原子事实记录'!$R$2:$R$2001,"TN"))</f>
        <v/>
      </c>
      <c r="L51" s="5">
        <f>IF(COUNTA(A51:G51)&lt;7,"",COUNTIFS('原子事实记录'!$C$2:$C$2001,$D51,'原子事实记录'!$E$2:$E$2001,$A51,'原子事实记录'!$F$2:$F$2001,$B51,'原子事实记录'!$G$2:$G$2001,$C51,'原子事实记录'!$I$2:$I$2001,$E51,'原子事实记录'!$J$2:$J$2001,$F51,'原子事实记录'!$Q$2:$Q$2001,"是",'原子事实记录'!$R$2:$R$2001,"未知"))</f>
        <v/>
      </c>
      <c r="M51" s="3" t="n"/>
      <c r="N51" s="3" t="n"/>
      <c r="O51" s="5">
        <f>IF(OR(G51="",M51="",N51=""),"",M51+IF(G51="肯定主张正确率",H51,IF(G51="否定主张正确率",K51,IF(G51="灵敏度",H51,K51))))</f>
        <v/>
      </c>
      <c r="P51" s="5">
        <f>IF(OR(G51="",M51="",N51=""),"",N51+IF(G51="肯定主张正确率",I51,IF(G51="否定主张正确率",J51,IF(G51="灵敏度",J51,I51))))</f>
        <v/>
      </c>
      <c r="Q51" s="7">
        <f>IF(OR(O51="",P51=""),"",O51/(O51+P51))</f>
        <v/>
      </c>
      <c r="R51" s="7">
        <f>IF(Q51="","",BETA.INV(0.025,O51,P51))</f>
        <v/>
      </c>
      <c r="S51" s="7">
        <f>IF(Q51="","",BETA.INV(0.975,O51,P51))</f>
        <v/>
      </c>
      <c r="T51" s="5">
        <f>IF(OR(O51="",P51=""),"",O51+P51-M51-N51)</f>
        <v/>
      </c>
      <c r="U51" s="5">
        <f>IF(T51="","先填完整分组",IF(T51&lt;30,"样本太少：仅描述",IF(T51&lt;100,"只作试点候选","可进入独立验证")))</f>
        <v/>
      </c>
      <c r="V51" s="3" t="n"/>
      <c r="W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5">
        <f>IF(COUNTA(A52:G52)&lt;7,"",COUNTIFS('原子事实记录'!$C$2:$C$2001,$D52,'原子事实记录'!$E$2:$E$2001,$A52,'原子事实记录'!$F$2:$F$2001,$B52,'原子事实记录'!$G$2:$G$2001,$C52,'原子事实记录'!$I$2:$I$2001,$E52,'原子事实记录'!$J$2:$J$2001,$F52,'原子事实记录'!$Q$2:$Q$2001,"是",'原子事实记录'!$R$2:$R$2001,"TP"))</f>
        <v/>
      </c>
      <c r="I52" s="5">
        <f>IF(COUNTA(A52:G52)&lt;7,"",COUNTIFS('原子事实记录'!$C$2:$C$2001,$D52,'原子事实记录'!$E$2:$E$2001,$A52,'原子事实记录'!$F$2:$F$2001,$B52,'原子事实记录'!$G$2:$G$2001,$C52,'原子事实记录'!$I$2:$I$2001,$E52,'原子事实记录'!$J$2:$J$2001,$F52,'原子事实记录'!$Q$2:$Q$2001,"是",'原子事实记录'!$R$2:$R$2001,"FP"))</f>
        <v/>
      </c>
      <c r="J52" s="5">
        <f>IF(COUNTA(A52:G52)&lt;7,"",COUNTIFS('原子事实记录'!$C$2:$C$2001,$D52,'原子事实记录'!$E$2:$E$2001,$A52,'原子事实记录'!$F$2:$F$2001,$B52,'原子事实记录'!$G$2:$G$2001,$C52,'原子事实记录'!$I$2:$I$2001,$E52,'原子事实记录'!$J$2:$J$2001,$F52,'原子事实记录'!$Q$2:$Q$2001,"是",'原子事实记录'!$R$2:$R$2001,"FN"))</f>
        <v/>
      </c>
      <c r="K52" s="5">
        <f>IF(COUNTA(A52:G52)&lt;7,"",COUNTIFS('原子事实记录'!$C$2:$C$2001,$D52,'原子事实记录'!$E$2:$E$2001,$A52,'原子事实记录'!$F$2:$F$2001,$B52,'原子事实记录'!$G$2:$G$2001,$C52,'原子事实记录'!$I$2:$I$2001,$E52,'原子事实记录'!$J$2:$J$2001,$F52,'原子事实记录'!$Q$2:$Q$2001,"是",'原子事实记录'!$R$2:$R$2001,"TN"))</f>
        <v/>
      </c>
      <c r="L52" s="5">
        <f>IF(COUNTA(A52:G52)&lt;7,"",COUNTIFS('原子事实记录'!$C$2:$C$2001,$D52,'原子事实记录'!$E$2:$E$2001,$A52,'原子事实记录'!$F$2:$F$2001,$B52,'原子事实记录'!$G$2:$G$2001,$C52,'原子事实记录'!$I$2:$I$2001,$E52,'原子事实记录'!$J$2:$J$2001,$F52,'原子事实记录'!$Q$2:$Q$2001,"是",'原子事实记录'!$R$2:$R$2001,"未知"))</f>
        <v/>
      </c>
      <c r="M52" s="3" t="n"/>
      <c r="N52" s="3" t="n"/>
      <c r="O52" s="5">
        <f>IF(OR(G52="",M52="",N52=""),"",M52+IF(G52="肯定主张正确率",H52,IF(G52="否定主张正确率",K52,IF(G52="灵敏度",H52,K52))))</f>
        <v/>
      </c>
      <c r="P52" s="5">
        <f>IF(OR(G52="",M52="",N52=""),"",N52+IF(G52="肯定主张正确率",I52,IF(G52="否定主张正确率",J52,IF(G52="灵敏度",J52,I52))))</f>
        <v/>
      </c>
      <c r="Q52" s="7">
        <f>IF(OR(O52="",P52=""),"",O52/(O52+P52))</f>
        <v/>
      </c>
      <c r="R52" s="7">
        <f>IF(Q52="","",BETA.INV(0.025,O52,P52))</f>
        <v/>
      </c>
      <c r="S52" s="7">
        <f>IF(Q52="","",BETA.INV(0.975,O52,P52))</f>
        <v/>
      </c>
      <c r="T52" s="5">
        <f>IF(OR(O52="",P52=""),"",O52+P52-M52-N52)</f>
        <v/>
      </c>
      <c r="U52" s="5">
        <f>IF(T52="","先填完整分组",IF(T52&lt;30,"样本太少：仅描述",IF(T52&lt;100,"只作试点候选","可进入独立验证")))</f>
        <v/>
      </c>
      <c r="V52" s="3" t="n"/>
      <c r="W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5">
        <f>IF(COUNTA(A53:G53)&lt;7,"",COUNTIFS('原子事实记录'!$C$2:$C$2001,$D53,'原子事实记录'!$E$2:$E$2001,$A53,'原子事实记录'!$F$2:$F$2001,$B53,'原子事实记录'!$G$2:$G$2001,$C53,'原子事实记录'!$I$2:$I$2001,$E53,'原子事实记录'!$J$2:$J$2001,$F53,'原子事实记录'!$Q$2:$Q$2001,"是",'原子事实记录'!$R$2:$R$2001,"TP"))</f>
        <v/>
      </c>
      <c r="I53" s="5">
        <f>IF(COUNTA(A53:G53)&lt;7,"",COUNTIFS('原子事实记录'!$C$2:$C$2001,$D53,'原子事实记录'!$E$2:$E$2001,$A53,'原子事实记录'!$F$2:$F$2001,$B53,'原子事实记录'!$G$2:$G$2001,$C53,'原子事实记录'!$I$2:$I$2001,$E53,'原子事实记录'!$J$2:$J$2001,$F53,'原子事实记录'!$Q$2:$Q$2001,"是",'原子事实记录'!$R$2:$R$2001,"FP"))</f>
        <v/>
      </c>
      <c r="J53" s="5">
        <f>IF(COUNTA(A53:G53)&lt;7,"",COUNTIFS('原子事实记录'!$C$2:$C$2001,$D53,'原子事实记录'!$E$2:$E$2001,$A53,'原子事实记录'!$F$2:$F$2001,$B53,'原子事实记录'!$G$2:$G$2001,$C53,'原子事实记录'!$I$2:$I$2001,$E53,'原子事实记录'!$J$2:$J$2001,$F53,'原子事实记录'!$Q$2:$Q$2001,"是",'原子事实记录'!$R$2:$R$2001,"FN"))</f>
        <v/>
      </c>
      <c r="K53" s="5">
        <f>IF(COUNTA(A53:G53)&lt;7,"",COUNTIFS('原子事实记录'!$C$2:$C$2001,$D53,'原子事实记录'!$E$2:$E$2001,$A53,'原子事实记录'!$F$2:$F$2001,$B53,'原子事实记录'!$G$2:$G$2001,$C53,'原子事实记录'!$I$2:$I$2001,$E53,'原子事实记录'!$J$2:$J$2001,$F53,'原子事实记录'!$Q$2:$Q$2001,"是",'原子事实记录'!$R$2:$R$2001,"TN"))</f>
        <v/>
      </c>
      <c r="L53" s="5">
        <f>IF(COUNTA(A53:G53)&lt;7,"",COUNTIFS('原子事实记录'!$C$2:$C$2001,$D53,'原子事实记录'!$E$2:$E$2001,$A53,'原子事实记录'!$F$2:$F$2001,$B53,'原子事实记录'!$G$2:$G$2001,$C53,'原子事实记录'!$I$2:$I$2001,$E53,'原子事实记录'!$J$2:$J$2001,$F53,'原子事实记录'!$Q$2:$Q$2001,"是",'原子事实记录'!$R$2:$R$2001,"未知"))</f>
        <v/>
      </c>
      <c r="M53" s="3" t="n"/>
      <c r="N53" s="3" t="n"/>
      <c r="O53" s="5">
        <f>IF(OR(G53="",M53="",N53=""),"",M53+IF(G53="肯定主张正确率",H53,IF(G53="否定主张正确率",K53,IF(G53="灵敏度",H53,K53))))</f>
        <v/>
      </c>
      <c r="P53" s="5">
        <f>IF(OR(G53="",M53="",N53=""),"",N53+IF(G53="肯定主张正确率",I53,IF(G53="否定主张正确率",J53,IF(G53="灵敏度",J53,I53))))</f>
        <v/>
      </c>
      <c r="Q53" s="7">
        <f>IF(OR(O53="",P53=""),"",O53/(O53+P53))</f>
        <v/>
      </c>
      <c r="R53" s="7">
        <f>IF(Q53="","",BETA.INV(0.025,O53,P53))</f>
        <v/>
      </c>
      <c r="S53" s="7">
        <f>IF(Q53="","",BETA.INV(0.975,O53,P53))</f>
        <v/>
      </c>
      <c r="T53" s="5">
        <f>IF(OR(O53="",P53=""),"",O53+P53-M53-N53)</f>
        <v/>
      </c>
      <c r="U53" s="5">
        <f>IF(T53="","先填完整分组",IF(T53&lt;30,"样本太少：仅描述",IF(T53&lt;100,"只作试点候选","可进入独立验证")))</f>
        <v/>
      </c>
      <c r="V53" s="3" t="n"/>
      <c r="W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5">
        <f>IF(COUNTA(A54:G54)&lt;7,"",COUNTIFS('原子事实记录'!$C$2:$C$2001,$D54,'原子事实记录'!$E$2:$E$2001,$A54,'原子事实记录'!$F$2:$F$2001,$B54,'原子事实记录'!$G$2:$G$2001,$C54,'原子事实记录'!$I$2:$I$2001,$E54,'原子事实记录'!$J$2:$J$2001,$F54,'原子事实记录'!$Q$2:$Q$2001,"是",'原子事实记录'!$R$2:$R$2001,"TP"))</f>
        <v/>
      </c>
      <c r="I54" s="5">
        <f>IF(COUNTA(A54:G54)&lt;7,"",COUNTIFS('原子事实记录'!$C$2:$C$2001,$D54,'原子事实记录'!$E$2:$E$2001,$A54,'原子事实记录'!$F$2:$F$2001,$B54,'原子事实记录'!$G$2:$G$2001,$C54,'原子事实记录'!$I$2:$I$2001,$E54,'原子事实记录'!$J$2:$J$2001,$F54,'原子事实记录'!$Q$2:$Q$2001,"是",'原子事实记录'!$R$2:$R$2001,"FP"))</f>
        <v/>
      </c>
      <c r="J54" s="5">
        <f>IF(COUNTA(A54:G54)&lt;7,"",COUNTIFS('原子事实记录'!$C$2:$C$2001,$D54,'原子事实记录'!$E$2:$E$2001,$A54,'原子事实记录'!$F$2:$F$2001,$B54,'原子事实记录'!$G$2:$G$2001,$C54,'原子事实记录'!$I$2:$I$2001,$E54,'原子事实记录'!$J$2:$J$2001,$F54,'原子事实记录'!$Q$2:$Q$2001,"是",'原子事实记录'!$R$2:$R$2001,"FN"))</f>
        <v/>
      </c>
      <c r="K54" s="5">
        <f>IF(COUNTA(A54:G54)&lt;7,"",COUNTIFS('原子事实记录'!$C$2:$C$2001,$D54,'原子事实记录'!$E$2:$E$2001,$A54,'原子事实记录'!$F$2:$F$2001,$B54,'原子事实记录'!$G$2:$G$2001,$C54,'原子事实记录'!$I$2:$I$2001,$E54,'原子事实记录'!$J$2:$J$2001,$F54,'原子事实记录'!$Q$2:$Q$2001,"是",'原子事实记录'!$R$2:$R$2001,"TN"))</f>
        <v/>
      </c>
      <c r="L54" s="5">
        <f>IF(COUNTA(A54:G54)&lt;7,"",COUNTIFS('原子事实记录'!$C$2:$C$2001,$D54,'原子事实记录'!$E$2:$E$2001,$A54,'原子事实记录'!$F$2:$F$2001,$B54,'原子事实记录'!$G$2:$G$2001,$C54,'原子事实记录'!$I$2:$I$2001,$E54,'原子事实记录'!$J$2:$J$2001,$F54,'原子事实记录'!$Q$2:$Q$2001,"是",'原子事实记录'!$R$2:$R$2001,"未知"))</f>
        <v/>
      </c>
      <c r="M54" s="3" t="n"/>
      <c r="N54" s="3" t="n"/>
      <c r="O54" s="5">
        <f>IF(OR(G54="",M54="",N54=""),"",M54+IF(G54="肯定主张正确率",H54,IF(G54="否定主张正确率",K54,IF(G54="灵敏度",H54,K54))))</f>
        <v/>
      </c>
      <c r="P54" s="5">
        <f>IF(OR(G54="",M54="",N54=""),"",N54+IF(G54="肯定主张正确率",I54,IF(G54="否定主张正确率",J54,IF(G54="灵敏度",J54,I54))))</f>
        <v/>
      </c>
      <c r="Q54" s="7">
        <f>IF(OR(O54="",P54=""),"",O54/(O54+P54))</f>
        <v/>
      </c>
      <c r="R54" s="7">
        <f>IF(Q54="","",BETA.INV(0.025,O54,P54))</f>
        <v/>
      </c>
      <c r="S54" s="7">
        <f>IF(Q54="","",BETA.INV(0.975,O54,P54))</f>
        <v/>
      </c>
      <c r="T54" s="5">
        <f>IF(OR(O54="",P54=""),"",O54+P54-M54-N54)</f>
        <v/>
      </c>
      <c r="U54" s="5">
        <f>IF(T54="","先填完整分组",IF(T54&lt;30,"样本太少：仅描述",IF(T54&lt;100,"只作试点候选","可进入独立验证")))</f>
        <v/>
      </c>
      <c r="V54" s="3" t="n"/>
      <c r="W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5">
        <f>IF(COUNTA(A55:G55)&lt;7,"",COUNTIFS('原子事实记录'!$C$2:$C$2001,$D55,'原子事实记录'!$E$2:$E$2001,$A55,'原子事实记录'!$F$2:$F$2001,$B55,'原子事实记录'!$G$2:$G$2001,$C55,'原子事实记录'!$I$2:$I$2001,$E55,'原子事实记录'!$J$2:$J$2001,$F55,'原子事实记录'!$Q$2:$Q$2001,"是",'原子事实记录'!$R$2:$R$2001,"TP"))</f>
        <v/>
      </c>
      <c r="I55" s="5">
        <f>IF(COUNTA(A55:G55)&lt;7,"",COUNTIFS('原子事实记录'!$C$2:$C$2001,$D55,'原子事实记录'!$E$2:$E$2001,$A55,'原子事实记录'!$F$2:$F$2001,$B55,'原子事实记录'!$G$2:$G$2001,$C55,'原子事实记录'!$I$2:$I$2001,$E55,'原子事实记录'!$J$2:$J$2001,$F55,'原子事实记录'!$Q$2:$Q$2001,"是",'原子事实记录'!$R$2:$R$2001,"FP"))</f>
        <v/>
      </c>
      <c r="J55" s="5">
        <f>IF(COUNTA(A55:G55)&lt;7,"",COUNTIFS('原子事实记录'!$C$2:$C$2001,$D55,'原子事实记录'!$E$2:$E$2001,$A55,'原子事实记录'!$F$2:$F$2001,$B55,'原子事实记录'!$G$2:$G$2001,$C55,'原子事实记录'!$I$2:$I$2001,$E55,'原子事实记录'!$J$2:$J$2001,$F55,'原子事实记录'!$Q$2:$Q$2001,"是",'原子事实记录'!$R$2:$R$2001,"FN"))</f>
        <v/>
      </c>
      <c r="K55" s="5">
        <f>IF(COUNTA(A55:G55)&lt;7,"",COUNTIFS('原子事实记录'!$C$2:$C$2001,$D55,'原子事实记录'!$E$2:$E$2001,$A55,'原子事实记录'!$F$2:$F$2001,$B55,'原子事实记录'!$G$2:$G$2001,$C55,'原子事实记录'!$I$2:$I$2001,$E55,'原子事实记录'!$J$2:$J$2001,$F55,'原子事实记录'!$Q$2:$Q$2001,"是",'原子事实记录'!$R$2:$R$2001,"TN"))</f>
        <v/>
      </c>
      <c r="L55" s="5">
        <f>IF(COUNTA(A55:G55)&lt;7,"",COUNTIFS('原子事实记录'!$C$2:$C$2001,$D55,'原子事实记录'!$E$2:$E$2001,$A55,'原子事实记录'!$F$2:$F$2001,$B55,'原子事实记录'!$G$2:$G$2001,$C55,'原子事实记录'!$I$2:$I$2001,$E55,'原子事实记录'!$J$2:$J$2001,$F55,'原子事实记录'!$Q$2:$Q$2001,"是",'原子事实记录'!$R$2:$R$2001,"未知"))</f>
        <v/>
      </c>
      <c r="M55" s="3" t="n"/>
      <c r="N55" s="3" t="n"/>
      <c r="O55" s="5">
        <f>IF(OR(G55="",M55="",N55=""),"",M55+IF(G55="肯定主张正确率",H55,IF(G55="否定主张正确率",K55,IF(G55="灵敏度",H55,K55))))</f>
        <v/>
      </c>
      <c r="P55" s="5">
        <f>IF(OR(G55="",M55="",N55=""),"",N55+IF(G55="肯定主张正确率",I55,IF(G55="否定主张正确率",J55,IF(G55="灵敏度",J55,I55))))</f>
        <v/>
      </c>
      <c r="Q55" s="7">
        <f>IF(OR(O55="",P55=""),"",O55/(O55+P55))</f>
        <v/>
      </c>
      <c r="R55" s="7">
        <f>IF(Q55="","",BETA.INV(0.025,O55,P55))</f>
        <v/>
      </c>
      <c r="S55" s="7">
        <f>IF(Q55="","",BETA.INV(0.975,O55,P55))</f>
        <v/>
      </c>
      <c r="T55" s="5">
        <f>IF(OR(O55="",P55=""),"",O55+P55-M55-N55)</f>
        <v/>
      </c>
      <c r="U55" s="5">
        <f>IF(T55="","先填完整分组",IF(T55&lt;30,"样本太少：仅描述",IF(T55&lt;100,"只作试点候选","可进入独立验证")))</f>
        <v/>
      </c>
      <c r="V55" s="3" t="n"/>
      <c r="W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5">
        <f>IF(COUNTA(A56:G56)&lt;7,"",COUNTIFS('原子事实记录'!$C$2:$C$2001,$D56,'原子事实记录'!$E$2:$E$2001,$A56,'原子事实记录'!$F$2:$F$2001,$B56,'原子事实记录'!$G$2:$G$2001,$C56,'原子事实记录'!$I$2:$I$2001,$E56,'原子事实记录'!$J$2:$J$2001,$F56,'原子事实记录'!$Q$2:$Q$2001,"是",'原子事实记录'!$R$2:$R$2001,"TP"))</f>
        <v/>
      </c>
      <c r="I56" s="5">
        <f>IF(COUNTA(A56:G56)&lt;7,"",COUNTIFS('原子事实记录'!$C$2:$C$2001,$D56,'原子事实记录'!$E$2:$E$2001,$A56,'原子事实记录'!$F$2:$F$2001,$B56,'原子事实记录'!$G$2:$G$2001,$C56,'原子事实记录'!$I$2:$I$2001,$E56,'原子事实记录'!$J$2:$J$2001,$F56,'原子事实记录'!$Q$2:$Q$2001,"是",'原子事实记录'!$R$2:$R$2001,"FP"))</f>
        <v/>
      </c>
      <c r="J56" s="5">
        <f>IF(COUNTA(A56:G56)&lt;7,"",COUNTIFS('原子事实记录'!$C$2:$C$2001,$D56,'原子事实记录'!$E$2:$E$2001,$A56,'原子事实记录'!$F$2:$F$2001,$B56,'原子事实记录'!$G$2:$G$2001,$C56,'原子事实记录'!$I$2:$I$2001,$E56,'原子事实记录'!$J$2:$J$2001,$F56,'原子事实记录'!$Q$2:$Q$2001,"是",'原子事实记录'!$R$2:$R$2001,"FN"))</f>
        <v/>
      </c>
      <c r="K56" s="5">
        <f>IF(COUNTA(A56:G56)&lt;7,"",COUNTIFS('原子事实记录'!$C$2:$C$2001,$D56,'原子事实记录'!$E$2:$E$2001,$A56,'原子事实记录'!$F$2:$F$2001,$B56,'原子事实记录'!$G$2:$G$2001,$C56,'原子事实记录'!$I$2:$I$2001,$E56,'原子事实记录'!$J$2:$J$2001,$F56,'原子事实记录'!$Q$2:$Q$2001,"是",'原子事实记录'!$R$2:$R$2001,"TN"))</f>
        <v/>
      </c>
      <c r="L56" s="5">
        <f>IF(COUNTA(A56:G56)&lt;7,"",COUNTIFS('原子事实记录'!$C$2:$C$2001,$D56,'原子事实记录'!$E$2:$E$2001,$A56,'原子事实记录'!$F$2:$F$2001,$B56,'原子事实记录'!$G$2:$G$2001,$C56,'原子事实记录'!$I$2:$I$2001,$E56,'原子事实记录'!$J$2:$J$2001,$F56,'原子事实记录'!$Q$2:$Q$2001,"是",'原子事实记录'!$R$2:$R$2001,"未知"))</f>
        <v/>
      </c>
      <c r="M56" s="3" t="n"/>
      <c r="N56" s="3" t="n"/>
      <c r="O56" s="5">
        <f>IF(OR(G56="",M56="",N56=""),"",M56+IF(G56="肯定主张正确率",H56,IF(G56="否定主张正确率",K56,IF(G56="灵敏度",H56,K56))))</f>
        <v/>
      </c>
      <c r="P56" s="5">
        <f>IF(OR(G56="",M56="",N56=""),"",N56+IF(G56="肯定主张正确率",I56,IF(G56="否定主张正确率",J56,IF(G56="灵敏度",J56,I56))))</f>
        <v/>
      </c>
      <c r="Q56" s="7">
        <f>IF(OR(O56="",P56=""),"",O56/(O56+P56))</f>
        <v/>
      </c>
      <c r="R56" s="7">
        <f>IF(Q56="","",BETA.INV(0.025,O56,P56))</f>
        <v/>
      </c>
      <c r="S56" s="7">
        <f>IF(Q56="","",BETA.INV(0.975,O56,P56))</f>
        <v/>
      </c>
      <c r="T56" s="5">
        <f>IF(OR(O56="",P56=""),"",O56+P56-M56-N56)</f>
        <v/>
      </c>
      <c r="U56" s="5">
        <f>IF(T56="","先填完整分组",IF(T56&lt;30,"样本太少：仅描述",IF(T56&lt;100,"只作试点候选","可进入独立验证")))</f>
        <v/>
      </c>
      <c r="V56" s="3" t="n"/>
      <c r="W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5">
        <f>IF(COUNTA(A57:G57)&lt;7,"",COUNTIFS('原子事实记录'!$C$2:$C$2001,$D57,'原子事实记录'!$E$2:$E$2001,$A57,'原子事实记录'!$F$2:$F$2001,$B57,'原子事实记录'!$G$2:$G$2001,$C57,'原子事实记录'!$I$2:$I$2001,$E57,'原子事实记录'!$J$2:$J$2001,$F57,'原子事实记录'!$Q$2:$Q$2001,"是",'原子事实记录'!$R$2:$R$2001,"TP"))</f>
        <v/>
      </c>
      <c r="I57" s="5">
        <f>IF(COUNTA(A57:G57)&lt;7,"",COUNTIFS('原子事实记录'!$C$2:$C$2001,$D57,'原子事实记录'!$E$2:$E$2001,$A57,'原子事实记录'!$F$2:$F$2001,$B57,'原子事实记录'!$G$2:$G$2001,$C57,'原子事实记录'!$I$2:$I$2001,$E57,'原子事实记录'!$J$2:$J$2001,$F57,'原子事实记录'!$Q$2:$Q$2001,"是",'原子事实记录'!$R$2:$R$2001,"FP"))</f>
        <v/>
      </c>
      <c r="J57" s="5">
        <f>IF(COUNTA(A57:G57)&lt;7,"",COUNTIFS('原子事实记录'!$C$2:$C$2001,$D57,'原子事实记录'!$E$2:$E$2001,$A57,'原子事实记录'!$F$2:$F$2001,$B57,'原子事实记录'!$G$2:$G$2001,$C57,'原子事实记录'!$I$2:$I$2001,$E57,'原子事实记录'!$J$2:$J$2001,$F57,'原子事实记录'!$Q$2:$Q$2001,"是",'原子事实记录'!$R$2:$R$2001,"FN"))</f>
        <v/>
      </c>
      <c r="K57" s="5">
        <f>IF(COUNTA(A57:G57)&lt;7,"",COUNTIFS('原子事实记录'!$C$2:$C$2001,$D57,'原子事实记录'!$E$2:$E$2001,$A57,'原子事实记录'!$F$2:$F$2001,$B57,'原子事实记录'!$G$2:$G$2001,$C57,'原子事实记录'!$I$2:$I$2001,$E57,'原子事实记录'!$J$2:$J$2001,$F57,'原子事实记录'!$Q$2:$Q$2001,"是",'原子事实记录'!$R$2:$R$2001,"TN"))</f>
        <v/>
      </c>
      <c r="L57" s="5">
        <f>IF(COUNTA(A57:G57)&lt;7,"",COUNTIFS('原子事实记录'!$C$2:$C$2001,$D57,'原子事实记录'!$E$2:$E$2001,$A57,'原子事实记录'!$F$2:$F$2001,$B57,'原子事实记录'!$G$2:$G$2001,$C57,'原子事实记录'!$I$2:$I$2001,$E57,'原子事实记录'!$J$2:$J$2001,$F57,'原子事实记录'!$Q$2:$Q$2001,"是",'原子事实记录'!$R$2:$R$2001,"未知"))</f>
        <v/>
      </c>
      <c r="M57" s="3" t="n"/>
      <c r="N57" s="3" t="n"/>
      <c r="O57" s="5">
        <f>IF(OR(G57="",M57="",N57=""),"",M57+IF(G57="肯定主张正确率",H57,IF(G57="否定主张正确率",K57,IF(G57="灵敏度",H57,K57))))</f>
        <v/>
      </c>
      <c r="P57" s="5">
        <f>IF(OR(G57="",M57="",N57=""),"",N57+IF(G57="肯定主张正确率",I57,IF(G57="否定主张正确率",J57,IF(G57="灵敏度",J57,I57))))</f>
        <v/>
      </c>
      <c r="Q57" s="7">
        <f>IF(OR(O57="",P57=""),"",O57/(O57+P57))</f>
        <v/>
      </c>
      <c r="R57" s="7">
        <f>IF(Q57="","",BETA.INV(0.025,O57,P57))</f>
        <v/>
      </c>
      <c r="S57" s="7">
        <f>IF(Q57="","",BETA.INV(0.975,O57,P57))</f>
        <v/>
      </c>
      <c r="T57" s="5">
        <f>IF(OR(O57="",P57=""),"",O57+P57-M57-N57)</f>
        <v/>
      </c>
      <c r="U57" s="5">
        <f>IF(T57="","先填完整分组",IF(T57&lt;30,"样本太少：仅描述",IF(T57&lt;100,"只作试点候选","可进入独立验证")))</f>
        <v/>
      </c>
      <c r="V57" s="3" t="n"/>
      <c r="W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5">
        <f>IF(COUNTA(A58:G58)&lt;7,"",COUNTIFS('原子事实记录'!$C$2:$C$2001,$D58,'原子事实记录'!$E$2:$E$2001,$A58,'原子事实记录'!$F$2:$F$2001,$B58,'原子事实记录'!$G$2:$G$2001,$C58,'原子事实记录'!$I$2:$I$2001,$E58,'原子事实记录'!$J$2:$J$2001,$F58,'原子事实记录'!$Q$2:$Q$2001,"是",'原子事实记录'!$R$2:$R$2001,"TP"))</f>
        <v/>
      </c>
      <c r="I58" s="5">
        <f>IF(COUNTA(A58:G58)&lt;7,"",COUNTIFS('原子事实记录'!$C$2:$C$2001,$D58,'原子事实记录'!$E$2:$E$2001,$A58,'原子事实记录'!$F$2:$F$2001,$B58,'原子事实记录'!$G$2:$G$2001,$C58,'原子事实记录'!$I$2:$I$2001,$E58,'原子事实记录'!$J$2:$J$2001,$F58,'原子事实记录'!$Q$2:$Q$2001,"是",'原子事实记录'!$R$2:$R$2001,"FP"))</f>
        <v/>
      </c>
      <c r="J58" s="5">
        <f>IF(COUNTA(A58:G58)&lt;7,"",COUNTIFS('原子事实记录'!$C$2:$C$2001,$D58,'原子事实记录'!$E$2:$E$2001,$A58,'原子事实记录'!$F$2:$F$2001,$B58,'原子事实记录'!$G$2:$G$2001,$C58,'原子事实记录'!$I$2:$I$2001,$E58,'原子事实记录'!$J$2:$J$2001,$F58,'原子事实记录'!$Q$2:$Q$2001,"是",'原子事实记录'!$R$2:$R$2001,"FN"))</f>
        <v/>
      </c>
      <c r="K58" s="5">
        <f>IF(COUNTA(A58:G58)&lt;7,"",COUNTIFS('原子事实记录'!$C$2:$C$2001,$D58,'原子事实记录'!$E$2:$E$2001,$A58,'原子事实记录'!$F$2:$F$2001,$B58,'原子事实记录'!$G$2:$G$2001,$C58,'原子事实记录'!$I$2:$I$2001,$E58,'原子事实记录'!$J$2:$J$2001,$F58,'原子事实记录'!$Q$2:$Q$2001,"是",'原子事实记录'!$R$2:$R$2001,"TN"))</f>
        <v/>
      </c>
      <c r="L58" s="5">
        <f>IF(COUNTA(A58:G58)&lt;7,"",COUNTIFS('原子事实记录'!$C$2:$C$2001,$D58,'原子事实记录'!$E$2:$E$2001,$A58,'原子事实记录'!$F$2:$F$2001,$B58,'原子事实记录'!$G$2:$G$2001,$C58,'原子事实记录'!$I$2:$I$2001,$E58,'原子事实记录'!$J$2:$J$2001,$F58,'原子事实记录'!$Q$2:$Q$2001,"是",'原子事实记录'!$R$2:$R$2001,"未知"))</f>
        <v/>
      </c>
      <c r="M58" s="3" t="n"/>
      <c r="N58" s="3" t="n"/>
      <c r="O58" s="5">
        <f>IF(OR(G58="",M58="",N58=""),"",M58+IF(G58="肯定主张正确率",H58,IF(G58="否定主张正确率",K58,IF(G58="灵敏度",H58,K58))))</f>
        <v/>
      </c>
      <c r="P58" s="5">
        <f>IF(OR(G58="",M58="",N58=""),"",N58+IF(G58="肯定主张正确率",I58,IF(G58="否定主张正确率",J58,IF(G58="灵敏度",J58,I58))))</f>
        <v/>
      </c>
      <c r="Q58" s="7">
        <f>IF(OR(O58="",P58=""),"",O58/(O58+P58))</f>
        <v/>
      </c>
      <c r="R58" s="7">
        <f>IF(Q58="","",BETA.INV(0.025,O58,P58))</f>
        <v/>
      </c>
      <c r="S58" s="7">
        <f>IF(Q58="","",BETA.INV(0.975,O58,P58))</f>
        <v/>
      </c>
      <c r="T58" s="5">
        <f>IF(OR(O58="",P58=""),"",O58+P58-M58-N58)</f>
        <v/>
      </c>
      <c r="U58" s="5">
        <f>IF(T58="","先填完整分组",IF(T58&lt;30,"样本太少：仅描述",IF(T58&lt;100,"只作试点候选","可进入独立验证")))</f>
        <v/>
      </c>
      <c r="V58" s="3" t="n"/>
      <c r="W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5">
        <f>IF(COUNTA(A59:G59)&lt;7,"",COUNTIFS('原子事实记录'!$C$2:$C$2001,$D59,'原子事实记录'!$E$2:$E$2001,$A59,'原子事实记录'!$F$2:$F$2001,$B59,'原子事实记录'!$G$2:$G$2001,$C59,'原子事实记录'!$I$2:$I$2001,$E59,'原子事实记录'!$J$2:$J$2001,$F59,'原子事实记录'!$Q$2:$Q$2001,"是",'原子事实记录'!$R$2:$R$2001,"TP"))</f>
        <v/>
      </c>
      <c r="I59" s="5">
        <f>IF(COUNTA(A59:G59)&lt;7,"",COUNTIFS('原子事实记录'!$C$2:$C$2001,$D59,'原子事实记录'!$E$2:$E$2001,$A59,'原子事实记录'!$F$2:$F$2001,$B59,'原子事实记录'!$G$2:$G$2001,$C59,'原子事实记录'!$I$2:$I$2001,$E59,'原子事实记录'!$J$2:$J$2001,$F59,'原子事实记录'!$Q$2:$Q$2001,"是",'原子事实记录'!$R$2:$R$2001,"FP"))</f>
        <v/>
      </c>
      <c r="J59" s="5">
        <f>IF(COUNTA(A59:G59)&lt;7,"",COUNTIFS('原子事实记录'!$C$2:$C$2001,$D59,'原子事实记录'!$E$2:$E$2001,$A59,'原子事实记录'!$F$2:$F$2001,$B59,'原子事实记录'!$G$2:$G$2001,$C59,'原子事实记录'!$I$2:$I$2001,$E59,'原子事实记录'!$J$2:$J$2001,$F59,'原子事实记录'!$Q$2:$Q$2001,"是",'原子事实记录'!$R$2:$R$2001,"FN"))</f>
        <v/>
      </c>
      <c r="K59" s="5">
        <f>IF(COUNTA(A59:G59)&lt;7,"",COUNTIFS('原子事实记录'!$C$2:$C$2001,$D59,'原子事实记录'!$E$2:$E$2001,$A59,'原子事实记录'!$F$2:$F$2001,$B59,'原子事实记录'!$G$2:$G$2001,$C59,'原子事实记录'!$I$2:$I$2001,$E59,'原子事实记录'!$J$2:$J$2001,$F59,'原子事实记录'!$Q$2:$Q$2001,"是",'原子事实记录'!$R$2:$R$2001,"TN"))</f>
        <v/>
      </c>
      <c r="L59" s="5">
        <f>IF(COUNTA(A59:G59)&lt;7,"",COUNTIFS('原子事实记录'!$C$2:$C$2001,$D59,'原子事实记录'!$E$2:$E$2001,$A59,'原子事实记录'!$F$2:$F$2001,$B59,'原子事实记录'!$G$2:$G$2001,$C59,'原子事实记录'!$I$2:$I$2001,$E59,'原子事实记录'!$J$2:$J$2001,$F59,'原子事实记录'!$Q$2:$Q$2001,"是",'原子事实记录'!$R$2:$R$2001,"未知"))</f>
        <v/>
      </c>
      <c r="M59" s="3" t="n"/>
      <c r="N59" s="3" t="n"/>
      <c r="O59" s="5">
        <f>IF(OR(G59="",M59="",N59=""),"",M59+IF(G59="肯定主张正确率",H59,IF(G59="否定主张正确率",K59,IF(G59="灵敏度",H59,K59))))</f>
        <v/>
      </c>
      <c r="P59" s="5">
        <f>IF(OR(G59="",M59="",N59=""),"",N59+IF(G59="肯定主张正确率",I59,IF(G59="否定主张正确率",J59,IF(G59="灵敏度",J59,I59))))</f>
        <v/>
      </c>
      <c r="Q59" s="7">
        <f>IF(OR(O59="",P59=""),"",O59/(O59+P59))</f>
        <v/>
      </c>
      <c r="R59" s="7">
        <f>IF(Q59="","",BETA.INV(0.025,O59,P59))</f>
        <v/>
      </c>
      <c r="S59" s="7">
        <f>IF(Q59="","",BETA.INV(0.975,O59,P59))</f>
        <v/>
      </c>
      <c r="T59" s="5">
        <f>IF(OR(O59="",P59=""),"",O59+P59-M59-N59)</f>
        <v/>
      </c>
      <c r="U59" s="5">
        <f>IF(T59="","先填完整分组",IF(T59&lt;30,"样本太少：仅描述",IF(T59&lt;100,"只作试点候选","可进入独立验证")))</f>
        <v/>
      </c>
      <c r="V59" s="3" t="n"/>
      <c r="W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5">
        <f>IF(COUNTA(A60:G60)&lt;7,"",COUNTIFS('原子事实记录'!$C$2:$C$2001,$D60,'原子事实记录'!$E$2:$E$2001,$A60,'原子事实记录'!$F$2:$F$2001,$B60,'原子事实记录'!$G$2:$G$2001,$C60,'原子事实记录'!$I$2:$I$2001,$E60,'原子事实记录'!$J$2:$J$2001,$F60,'原子事实记录'!$Q$2:$Q$2001,"是",'原子事实记录'!$R$2:$R$2001,"TP"))</f>
        <v/>
      </c>
      <c r="I60" s="5">
        <f>IF(COUNTA(A60:G60)&lt;7,"",COUNTIFS('原子事实记录'!$C$2:$C$2001,$D60,'原子事实记录'!$E$2:$E$2001,$A60,'原子事实记录'!$F$2:$F$2001,$B60,'原子事实记录'!$G$2:$G$2001,$C60,'原子事实记录'!$I$2:$I$2001,$E60,'原子事实记录'!$J$2:$J$2001,$F60,'原子事实记录'!$Q$2:$Q$2001,"是",'原子事实记录'!$R$2:$R$2001,"FP"))</f>
        <v/>
      </c>
      <c r="J60" s="5">
        <f>IF(COUNTA(A60:G60)&lt;7,"",COUNTIFS('原子事实记录'!$C$2:$C$2001,$D60,'原子事实记录'!$E$2:$E$2001,$A60,'原子事实记录'!$F$2:$F$2001,$B60,'原子事实记录'!$G$2:$G$2001,$C60,'原子事实记录'!$I$2:$I$2001,$E60,'原子事实记录'!$J$2:$J$2001,$F60,'原子事实记录'!$Q$2:$Q$2001,"是",'原子事实记录'!$R$2:$R$2001,"FN"))</f>
        <v/>
      </c>
      <c r="K60" s="5">
        <f>IF(COUNTA(A60:G60)&lt;7,"",COUNTIFS('原子事实记录'!$C$2:$C$2001,$D60,'原子事实记录'!$E$2:$E$2001,$A60,'原子事实记录'!$F$2:$F$2001,$B60,'原子事实记录'!$G$2:$G$2001,$C60,'原子事实记录'!$I$2:$I$2001,$E60,'原子事实记录'!$J$2:$J$2001,$F60,'原子事实记录'!$Q$2:$Q$2001,"是",'原子事实记录'!$R$2:$R$2001,"TN"))</f>
        <v/>
      </c>
      <c r="L60" s="5">
        <f>IF(COUNTA(A60:G60)&lt;7,"",COUNTIFS('原子事实记录'!$C$2:$C$2001,$D60,'原子事实记录'!$E$2:$E$2001,$A60,'原子事实记录'!$F$2:$F$2001,$B60,'原子事实记录'!$G$2:$G$2001,$C60,'原子事实记录'!$I$2:$I$2001,$E60,'原子事实记录'!$J$2:$J$2001,$F60,'原子事实记录'!$Q$2:$Q$2001,"是",'原子事实记录'!$R$2:$R$2001,"未知"))</f>
        <v/>
      </c>
      <c r="M60" s="3" t="n"/>
      <c r="N60" s="3" t="n"/>
      <c r="O60" s="5">
        <f>IF(OR(G60="",M60="",N60=""),"",M60+IF(G60="肯定主张正确率",H60,IF(G60="否定主张正确率",K60,IF(G60="灵敏度",H60,K60))))</f>
        <v/>
      </c>
      <c r="P60" s="5">
        <f>IF(OR(G60="",M60="",N60=""),"",N60+IF(G60="肯定主张正确率",I60,IF(G60="否定主张正确率",J60,IF(G60="灵敏度",J60,I60))))</f>
        <v/>
      </c>
      <c r="Q60" s="7">
        <f>IF(OR(O60="",P60=""),"",O60/(O60+P60))</f>
        <v/>
      </c>
      <c r="R60" s="7">
        <f>IF(Q60="","",BETA.INV(0.025,O60,P60))</f>
        <v/>
      </c>
      <c r="S60" s="7">
        <f>IF(Q60="","",BETA.INV(0.975,O60,P60))</f>
        <v/>
      </c>
      <c r="T60" s="5">
        <f>IF(OR(O60="",P60=""),"",O60+P60-M60-N60)</f>
        <v/>
      </c>
      <c r="U60" s="5">
        <f>IF(T60="","先填完整分组",IF(T60&lt;30,"样本太少：仅描述",IF(T60&lt;100,"只作试点候选","可进入独立验证")))</f>
        <v/>
      </c>
      <c r="V60" s="3" t="n"/>
      <c r="W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5">
        <f>IF(COUNTA(A61:G61)&lt;7,"",COUNTIFS('原子事实记录'!$C$2:$C$2001,$D61,'原子事实记录'!$E$2:$E$2001,$A61,'原子事实记录'!$F$2:$F$2001,$B61,'原子事实记录'!$G$2:$G$2001,$C61,'原子事实记录'!$I$2:$I$2001,$E61,'原子事实记录'!$J$2:$J$2001,$F61,'原子事实记录'!$Q$2:$Q$2001,"是",'原子事实记录'!$R$2:$R$2001,"TP"))</f>
        <v/>
      </c>
      <c r="I61" s="5">
        <f>IF(COUNTA(A61:G61)&lt;7,"",COUNTIFS('原子事实记录'!$C$2:$C$2001,$D61,'原子事实记录'!$E$2:$E$2001,$A61,'原子事实记录'!$F$2:$F$2001,$B61,'原子事实记录'!$G$2:$G$2001,$C61,'原子事实记录'!$I$2:$I$2001,$E61,'原子事实记录'!$J$2:$J$2001,$F61,'原子事实记录'!$Q$2:$Q$2001,"是",'原子事实记录'!$R$2:$R$2001,"FP"))</f>
        <v/>
      </c>
      <c r="J61" s="5">
        <f>IF(COUNTA(A61:G61)&lt;7,"",COUNTIFS('原子事实记录'!$C$2:$C$2001,$D61,'原子事实记录'!$E$2:$E$2001,$A61,'原子事实记录'!$F$2:$F$2001,$B61,'原子事实记录'!$G$2:$G$2001,$C61,'原子事实记录'!$I$2:$I$2001,$E61,'原子事实记录'!$J$2:$J$2001,$F61,'原子事实记录'!$Q$2:$Q$2001,"是",'原子事实记录'!$R$2:$R$2001,"FN"))</f>
        <v/>
      </c>
      <c r="K61" s="5">
        <f>IF(COUNTA(A61:G61)&lt;7,"",COUNTIFS('原子事实记录'!$C$2:$C$2001,$D61,'原子事实记录'!$E$2:$E$2001,$A61,'原子事实记录'!$F$2:$F$2001,$B61,'原子事实记录'!$G$2:$G$2001,$C61,'原子事实记录'!$I$2:$I$2001,$E61,'原子事实记录'!$J$2:$J$2001,$F61,'原子事实记录'!$Q$2:$Q$2001,"是",'原子事实记录'!$R$2:$R$2001,"TN"))</f>
        <v/>
      </c>
      <c r="L61" s="5">
        <f>IF(COUNTA(A61:G61)&lt;7,"",COUNTIFS('原子事实记录'!$C$2:$C$2001,$D61,'原子事实记录'!$E$2:$E$2001,$A61,'原子事实记录'!$F$2:$F$2001,$B61,'原子事实记录'!$G$2:$G$2001,$C61,'原子事实记录'!$I$2:$I$2001,$E61,'原子事实记录'!$J$2:$J$2001,$F61,'原子事实记录'!$Q$2:$Q$2001,"是",'原子事实记录'!$R$2:$R$2001,"未知"))</f>
        <v/>
      </c>
      <c r="M61" s="3" t="n"/>
      <c r="N61" s="3" t="n"/>
      <c r="O61" s="5">
        <f>IF(OR(G61="",M61="",N61=""),"",M61+IF(G61="肯定主张正确率",H61,IF(G61="否定主张正确率",K61,IF(G61="灵敏度",H61,K61))))</f>
        <v/>
      </c>
      <c r="P61" s="5">
        <f>IF(OR(G61="",M61="",N61=""),"",N61+IF(G61="肯定主张正确率",I61,IF(G61="否定主张正确率",J61,IF(G61="灵敏度",J61,I61))))</f>
        <v/>
      </c>
      <c r="Q61" s="7">
        <f>IF(OR(O61="",P61=""),"",O61/(O61+P61))</f>
        <v/>
      </c>
      <c r="R61" s="7">
        <f>IF(Q61="","",BETA.INV(0.025,O61,P61))</f>
        <v/>
      </c>
      <c r="S61" s="7">
        <f>IF(Q61="","",BETA.INV(0.975,O61,P61))</f>
        <v/>
      </c>
      <c r="T61" s="5">
        <f>IF(OR(O61="",P61=""),"",O61+P61-M61-N61)</f>
        <v/>
      </c>
      <c r="U61" s="5">
        <f>IF(T61="","先填完整分组",IF(T61&lt;30,"样本太少：仅描述",IF(T61&lt;100,"只作试点候选","可进入独立验证")))</f>
        <v/>
      </c>
      <c r="V61" s="3" t="n"/>
      <c r="W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5">
        <f>IF(COUNTA(A62:G62)&lt;7,"",COUNTIFS('原子事实记录'!$C$2:$C$2001,$D62,'原子事实记录'!$E$2:$E$2001,$A62,'原子事实记录'!$F$2:$F$2001,$B62,'原子事实记录'!$G$2:$G$2001,$C62,'原子事实记录'!$I$2:$I$2001,$E62,'原子事实记录'!$J$2:$J$2001,$F62,'原子事实记录'!$Q$2:$Q$2001,"是",'原子事实记录'!$R$2:$R$2001,"TP"))</f>
        <v/>
      </c>
      <c r="I62" s="5">
        <f>IF(COUNTA(A62:G62)&lt;7,"",COUNTIFS('原子事实记录'!$C$2:$C$2001,$D62,'原子事实记录'!$E$2:$E$2001,$A62,'原子事实记录'!$F$2:$F$2001,$B62,'原子事实记录'!$G$2:$G$2001,$C62,'原子事实记录'!$I$2:$I$2001,$E62,'原子事实记录'!$J$2:$J$2001,$F62,'原子事实记录'!$Q$2:$Q$2001,"是",'原子事实记录'!$R$2:$R$2001,"FP"))</f>
        <v/>
      </c>
      <c r="J62" s="5">
        <f>IF(COUNTA(A62:G62)&lt;7,"",COUNTIFS('原子事实记录'!$C$2:$C$2001,$D62,'原子事实记录'!$E$2:$E$2001,$A62,'原子事实记录'!$F$2:$F$2001,$B62,'原子事实记录'!$G$2:$G$2001,$C62,'原子事实记录'!$I$2:$I$2001,$E62,'原子事实记录'!$J$2:$J$2001,$F62,'原子事实记录'!$Q$2:$Q$2001,"是",'原子事实记录'!$R$2:$R$2001,"FN"))</f>
        <v/>
      </c>
      <c r="K62" s="5">
        <f>IF(COUNTA(A62:G62)&lt;7,"",COUNTIFS('原子事实记录'!$C$2:$C$2001,$D62,'原子事实记录'!$E$2:$E$2001,$A62,'原子事实记录'!$F$2:$F$2001,$B62,'原子事实记录'!$G$2:$G$2001,$C62,'原子事实记录'!$I$2:$I$2001,$E62,'原子事实记录'!$J$2:$J$2001,$F62,'原子事实记录'!$Q$2:$Q$2001,"是",'原子事实记录'!$R$2:$R$2001,"TN"))</f>
        <v/>
      </c>
      <c r="L62" s="5">
        <f>IF(COUNTA(A62:G62)&lt;7,"",COUNTIFS('原子事实记录'!$C$2:$C$2001,$D62,'原子事实记录'!$E$2:$E$2001,$A62,'原子事实记录'!$F$2:$F$2001,$B62,'原子事实记录'!$G$2:$G$2001,$C62,'原子事实记录'!$I$2:$I$2001,$E62,'原子事实记录'!$J$2:$J$2001,$F62,'原子事实记录'!$Q$2:$Q$2001,"是",'原子事实记录'!$R$2:$R$2001,"未知"))</f>
        <v/>
      </c>
      <c r="M62" s="3" t="n"/>
      <c r="N62" s="3" t="n"/>
      <c r="O62" s="5">
        <f>IF(OR(G62="",M62="",N62=""),"",M62+IF(G62="肯定主张正确率",H62,IF(G62="否定主张正确率",K62,IF(G62="灵敏度",H62,K62))))</f>
        <v/>
      </c>
      <c r="P62" s="5">
        <f>IF(OR(G62="",M62="",N62=""),"",N62+IF(G62="肯定主张正确率",I62,IF(G62="否定主张正确率",J62,IF(G62="灵敏度",J62,I62))))</f>
        <v/>
      </c>
      <c r="Q62" s="7">
        <f>IF(OR(O62="",P62=""),"",O62/(O62+P62))</f>
        <v/>
      </c>
      <c r="R62" s="7">
        <f>IF(Q62="","",BETA.INV(0.025,O62,P62))</f>
        <v/>
      </c>
      <c r="S62" s="7">
        <f>IF(Q62="","",BETA.INV(0.975,O62,P62))</f>
        <v/>
      </c>
      <c r="T62" s="5">
        <f>IF(OR(O62="",P62=""),"",O62+P62-M62-N62)</f>
        <v/>
      </c>
      <c r="U62" s="5">
        <f>IF(T62="","先填完整分组",IF(T62&lt;30,"样本太少：仅描述",IF(T62&lt;100,"只作试点候选","可进入独立验证")))</f>
        <v/>
      </c>
      <c r="V62" s="3" t="n"/>
      <c r="W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5">
        <f>IF(COUNTA(A63:G63)&lt;7,"",COUNTIFS('原子事实记录'!$C$2:$C$2001,$D63,'原子事实记录'!$E$2:$E$2001,$A63,'原子事实记录'!$F$2:$F$2001,$B63,'原子事实记录'!$G$2:$G$2001,$C63,'原子事实记录'!$I$2:$I$2001,$E63,'原子事实记录'!$J$2:$J$2001,$F63,'原子事实记录'!$Q$2:$Q$2001,"是",'原子事实记录'!$R$2:$R$2001,"TP"))</f>
        <v/>
      </c>
      <c r="I63" s="5">
        <f>IF(COUNTA(A63:G63)&lt;7,"",COUNTIFS('原子事实记录'!$C$2:$C$2001,$D63,'原子事实记录'!$E$2:$E$2001,$A63,'原子事实记录'!$F$2:$F$2001,$B63,'原子事实记录'!$G$2:$G$2001,$C63,'原子事实记录'!$I$2:$I$2001,$E63,'原子事实记录'!$J$2:$J$2001,$F63,'原子事实记录'!$Q$2:$Q$2001,"是",'原子事实记录'!$R$2:$R$2001,"FP"))</f>
        <v/>
      </c>
      <c r="J63" s="5">
        <f>IF(COUNTA(A63:G63)&lt;7,"",COUNTIFS('原子事实记录'!$C$2:$C$2001,$D63,'原子事实记录'!$E$2:$E$2001,$A63,'原子事实记录'!$F$2:$F$2001,$B63,'原子事实记录'!$G$2:$G$2001,$C63,'原子事实记录'!$I$2:$I$2001,$E63,'原子事实记录'!$J$2:$J$2001,$F63,'原子事实记录'!$Q$2:$Q$2001,"是",'原子事实记录'!$R$2:$R$2001,"FN"))</f>
        <v/>
      </c>
      <c r="K63" s="5">
        <f>IF(COUNTA(A63:G63)&lt;7,"",COUNTIFS('原子事实记录'!$C$2:$C$2001,$D63,'原子事实记录'!$E$2:$E$2001,$A63,'原子事实记录'!$F$2:$F$2001,$B63,'原子事实记录'!$G$2:$G$2001,$C63,'原子事实记录'!$I$2:$I$2001,$E63,'原子事实记录'!$J$2:$J$2001,$F63,'原子事实记录'!$Q$2:$Q$2001,"是",'原子事实记录'!$R$2:$R$2001,"TN"))</f>
        <v/>
      </c>
      <c r="L63" s="5">
        <f>IF(COUNTA(A63:G63)&lt;7,"",COUNTIFS('原子事实记录'!$C$2:$C$2001,$D63,'原子事实记录'!$E$2:$E$2001,$A63,'原子事实记录'!$F$2:$F$2001,$B63,'原子事实记录'!$G$2:$G$2001,$C63,'原子事实记录'!$I$2:$I$2001,$E63,'原子事实记录'!$J$2:$J$2001,$F63,'原子事实记录'!$Q$2:$Q$2001,"是",'原子事实记录'!$R$2:$R$2001,"未知"))</f>
        <v/>
      </c>
      <c r="M63" s="3" t="n"/>
      <c r="N63" s="3" t="n"/>
      <c r="O63" s="5">
        <f>IF(OR(G63="",M63="",N63=""),"",M63+IF(G63="肯定主张正确率",H63,IF(G63="否定主张正确率",K63,IF(G63="灵敏度",H63,K63))))</f>
        <v/>
      </c>
      <c r="P63" s="5">
        <f>IF(OR(G63="",M63="",N63=""),"",N63+IF(G63="肯定主张正确率",I63,IF(G63="否定主张正确率",J63,IF(G63="灵敏度",J63,I63))))</f>
        <v/>
      </c>
      <c r="Q63" s="7">
        <f>IF(OR(O63="",P63=""),"",O63/(O63+P63))</f>
        <v/>
      </c>
      <c r="R63" s="7">
        <f>IF(Q63="","",BETA.INV(0.025,O63,P63))</f>
        <v/>
      </c>
      <c r="S63" s="7">
        <f>IF(Q63="","",BETA.INV(0.975,O63,P63))</f>
        <v/>
      </c>
      <c r="T63" s="5">
        <f>IF(OR(O63="",P63=""),"",O63+P63-M63-N63)</f>
        <v/>
      </c>
      <c r="U63" s="5">
        <f>IF(T63="","先填完整分组",IF(T63&lt;30,"样本太少：仅描述",IF(T63&lt;100,"只作试点候选","可进入独立验证")))</f>
        <v/>
      </c>
      <c r="V63" s="3" t="n"/>
      <c r="W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5">
        <f>IF(COUNTA(A64:G64)&lt;7,"",COUNTIFS('原子事实记录'!$C$2:$C$2001,$D64,'原子事实记录'!$E$2:$E$2001,$A64,'原子事实记录'!$F$2:$F$2001,$B64,'原子事实记录'!$G$2:$G$2001,$C64,'原子事实记录'!$I$2:$I$2001,$E64,'原子事实记录'!$J$2:$J$2001,$F64,'原子事实记录'!$Q$2:$Q$2001,"是",'原子事实记录'!$R$2:$R$2001,"TP"))</f>
        <v/>
      </c>
      <c r="I64" s="5">
        <f>IF(COUNTA(A64:G64)&lt;7,"",COUNTIFS('原子事实记录'!$C$2:$C$2001,$D64,'原子事实记录'!$E$2:$E$2001,$A64,'原子事实记录'!$F$2:$F$2001,$B64,'原子事实记录'!$G$2:$G$2001,$C64,'原子事实记录'!$I$2:$I$2001,$E64,'原子事实记录'!$J$2:$J$2001,$F64,'原子事实记录'!$Q$2:$Q$2001,"是",'原子事实记录'!$R$2:$R$2001,"FP"))</f>
        <v/>
      </c>
      <c r="J64" s="5">
        <f>IF(COUNTA(A64:G64)&lt;7,"",COUNTIFS('原子事实记录'!$C$2:$C$2001,$D64,'原子事实记录'!$E$2:$E$2001,$A64,'原子事实记录'!$F$2:$F$2001,$B64,'原子事实记录'!$G$2:$G$2001,$C64,'原子事实记录'!$I$2:$I$2001,$E64,'原子事实记录'!$J$2:$J$2001,$F64,'原子事实记录'!$Q$2:$Q$2001,"是",'原子事实记录'!$R$2:$R$2001,"FN"))</f>
        <v/>
      </c>
      <c r="K64" s="5">
        <f>IF(COUNTA(A64:G64)&lt;7,"",COUNTIFS('原子事实记录'!$C$2:$C$2001,$D64,'原子事实记录'!$E$2:$E$2001,$A64,'原子事实记录'!$F$2:$F$2001,$B64,'原子事实记录'!$G$2:$G$2001,$C64,'原子事实记录'!$I$2:$I$2001,$E64,'原子事实记录'!$J$2:$J$2001,$F64,'原子事实记录'!$Q$2:$Q$2001,"是",'原子事实记录'!$R$2:$R$2001,"TN"))</f>
        <v/>
      </c>
      <c r="L64" s="5">
        <f>IF(COUNTA(A64:G64)&lt;7,"",COUNTIFS('原子事实记录'!$C$2:$C$2001,$D64,'原子事实记录'!$E$2:$E$2001,$A64,'原子事实记录'!$F$2:$F$2001,$B64,'原子事实记录'!$G$2:$G$2001,$C64,'原子事实记录'!$I$2:$I$2001,$E64,'原子事实记录'!$J$2:$J$2001,$F64,'原子事实记录'!$Q$2:$Q$2001,"是",'原子事实记录'!$R$2:$R$2001,"未知"))</f>
        <v/>
      </c>
      <c r="M64" s="3" t="n"/>
      <c r="N64" s="3" t="n"/>
      <c r="O64" s="5">
        <f>IF(OR(G64="",M64="",N64=""),"",M64+IF(G64="肯定主张正确率",H64,IF(G64="否定主张正确率",K64,IF(G64="灵敏度",H64,K64))))</f>
        <v/>
      </c>
      <c r="P64" s="5">
        <f>IF(OR(G64="",M64="",N64=""),"",N64+IF(G64="肯定主张正确率",I64,IF(G64="否定主张正确率",J64,IF(G64="灵敏度",J64,I64))))</f>
        <v/>
      </c>
      <c r="Q64" s="7">
        <f>IF(OR(O64="",P64=""),"",O64/(O64+P64))</f>
        <v/>
      </c>
      <c r="R64" s="7">
        <f>IF(Q64="","",BETA.INV(0.025,O64,P64))</f>
        <v/>
      </c>
      <c r="S64" s="7">
        <f>IF(Q64="","",BETA.INV(0.975,O64,P64))</f>
        <v/>
      </c>
      <c r="T64" s="5">
        <f>IF(OR(O64="",P64=""),"",O64+P64-M64-N64)</f>
        <v/>
      </c>
      <c r="U64" s="5">
        <f>IF(T64="","先填完整分组",IF(T64&lt;30,"样本太少：仅描述",IF(T64&lt;100,"只作试点候选","可进入独立验证")))</f>
        <v/>
      </c>
      <c r="V64" s="3" t="n"/>
      <c r="W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5">
        <f>IF(COUNTA(A65:G65)&lt;7,"",COUNTIFS('原子事实记录'!$C$2:$C$2001,$D65,'原子事实记录'!$E$2:$E$2001,$A65,'原子事实记录'!$F$2:$F$2001,$B65,'原子事实记录'!$G$2:$G$2001,$C65,'原子事实记录'!$I$2:$I$2001,$E65,'原子事实记录'!$J$2:$J$2001,$F65,'原子事实记录'!$Q$2:$Q$2001,"是",'原子事实记录'!$R$2:$R$2001,"TP"))</f>
        <v/>
      </c>
      <c r="I65" s="5">
        <f>IF(COUNTA(A65:G65)&lt;7,"",COUNTIFS('原子事实记录'!$C$2:$C$2001,$D65,'原子事实记录'!$E$2:$E$2001,$A65,'原子事实记录'!$F$2:$F$2001,$B65,'原子事实记录'!$G$2:$G$2001,$C65,'原子事实记录'!$I$2:$I$2001,$E65,'原子事实记录'!$J$2:$J$2001,$F65,'原子事实记录'!$Q$2:$Q$2001,"是",'原子事实记录'!$R$2:$R$2001,"FP"))</f>
        <v/>
      </c>
      <c r="J65" s="5">
        <f>IF(COUNTA(A65:G65)&lt;7,"",COUNTIFS('原子事实记录'!$C$2:$C$2001,$D65,'原子事实记录'!$E$2:$E$2001,$A65,'原子事实记录'!$F$2:$F$2001,$B65,'原子事实记录'!$G$2:$G$2001,$C65,'原子事实记录'!$I$2:$I$2001,$E65,'原子事实记录'!$J$2:$J$2001,$F65,'原子事实记录'!$Q$2:$Q$2001,"是",'原子事实记录'!$R$2:$R$2001,"FN"))</f>
        <v/>
      </c>
      <c r="K65" s="5">
        <f>IF(COUNTA(A65:G65)&lt;7,"",COUNTIFS('原子事实记录'!$C$2:$C$2001,$D65,'原子事实记录'!$E$2:$E$2001,$A65,'原子事实记录'!$F$2:$F$2001,$B65,'原子事实记录'!$G$2:$G$2001,$C65,'原子事实记录'!$I$2:$I$2001,$E65,'原子事实记录'!$J$2:$J$2001,$F65,'原子事实记录'!$Q$2:$Q$2001,"是",'原子事实记录'!$R$2:$R$2001,"TN"))</f>
        <v/>
      </c>
      <c r="L65" s="5">
        <f>IF(COUNTA(A65:G65)&lt;7,"",COUNTIFS('原子事实记录'!$C$2:$C$2001,$D65,'原子事实记录'!$E$2:$E$2001,$A65,'原子事实记录'!$F$2:$F$2001,$B65,'原子事实记录'!$G$2:$G$2001,$C65,'原子事实记录'!$I$2:$I$2001,$E65,'原子事实记录'!$J$2:$J$2001,$F65,'原子事实记录'!$Q$2:$Q$2001,"是",'原子事实记录'!$R$2:$R$2001,"未知"))</f>
        <v/>
      </c>
      <c r="M65" s="3" t="n"/>
      <c r="N65" s="3" t="n"/>
      <c r="O65" s="5">
        <f>IF(OR(G65="",M65="",N65=""),"",M65+IF(G65="肯定主张正确率",H65,IF(G65="否定主张正确率",K65,IF(G65="灵敏度",H65,K65))))</f>
        <v/>
      </c>
      <c r="P65" s="5">
        <f>IF(OR(G65="",M65="",N65=""),"",N65+IF(G65="肯定主张正确率",I65,IF(G65="否定主张正确率",J65,IF(G65="灵敏度",J65,I65))))</f>
        <v/>
      </c>
      <c r="Q65" s="7">
        <f>IF(OR(O65="",P65=""),"",O65/(O65+P65))</f>
        <v/>
      </c>
      <c r="R65" s="7">
        <f>IF(Q65="","",BETA.INV(0.025,O65,P65))</f>
        <v/>
      </c>
      <c r="S65" s="7">
        <f>IF(Q65="","",BETA.INV(0.975,O65,P65))</f>
        <v/>
      </c>
      <c r="T65" s="5">
        <f>IF(OR(O65="",P65=""),"",O65+P65-M65-N65)</f>
        <v/>
      </c>
      <c r="U65" s="5">
        <f>IF(T65="","先填完整分组",IF(T65&lt;30,"样本太少：仅描述",IF(T65&lt;100,"只作试点候选","可进入独立验证")))</f>
        <v/>
      </c>
      <c r="V65" s="3" t="n"/>
      <c r="W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5">
        <f>IF(COUNTA(A66:G66)&lt;7,"",COUNTIFS('原子事实记录'!$C$2:$C$2001,$D66,'原子事实记录'!$E$2:$E$2001,$A66,'原子事实记录'!$F$2:$F$2001,$B66,'原子事实记录'!$G$2:$G$2001,$C66,'原子事实记录'!$I$2:$I$2001,$E66,'原子事实记录'!$J$2:$J$2001,$F66,'原子事实记录'!$Q$2:$Q$2001,"是",'原子事实记录'!$R$2:$R$2001,"TP"))</f>
        <v/>
      </c>
      <c r="I66" s="5">
        <f>IF(COUNTA(A66:G66)&lt;7,"",COUNTIFS('原子事实记录'!$C$2:$C$2001,$D66,'原子事实记录'!$E$2:$E$2001,$A66,'原子事实记录'!$F$2:$F$2001,$B66,'原子事实记录'!$G$2:$G$2001,$C66,'原子事实记录'!$I$2:$I$2001,$E66,'原子事实记录'!$J$2:$J$2001,$F66,'原子事实记录'!$Q$2:$Q$2001,"是",'原子事实记录'!$R$2:$R$2001,"FP"))</f>
        <v/>
      </c>
      <c r="J66" s="5">
        <f>IF(COUNTA(A66:G66)&lt;7,"",COUNTIFS('原子事实记录'!$C$2:$C$2001,$D66,'原子事实记录'!$E$2:$E$2001,$A66,'原子事实记录'!$F$2:$F$2001,$B66,'原子事实记录'!$G$2:$G$2001,$C66,'原子事实记录'!$I$2:$I$2001,$E66,'原子事实记录'!$J$2:$J$2001,$F66,'原子事实记录'!$Q$2:$Q$2001,"是",'原子事实记录'!$R$2:$R$2001,"FN"))</f>
        <v/>
      </c>
      <c r="K66" s="5">
        <f>IF(COUNTA(A66:G66)&lt;7,"",COUNTIFS('原子事实记录'!$C$2:$C$2001,$D66,'原子事实记录'!$E$2:$E$2001,$A66,'原子事实记录'!$F$2:$F$2001,$B66,'原子事实记录'!$G$2:$G$2001,$C66,'原子事实记录'!$I$2:$I$2001,$E66,'原子事实记录'!$J$2:$J$2001,$F66,'原子事实记录'!$Q$2:$Q$2001,"是",'原子事实记录'!$R$2:$R$2001,"TN"))</f>
        <v/>
      </c>
      <c r="L66" s="5">
        <f>IF(COUNTA(A66:G66)&lt;7,"",COUNTIFS('原子事实记录'!$C$2:$C$2001,$D66,'原子事实记录'!$E$2:$E$2001,$A66,'原子事实记录'!$F$2:$F$2001,$B66,'原子事实记录'!$G$2:$G$2001,$C66,'原子事实记录'!$I$2:$I$2001,$E66,'原子事实记录'!$J$2:$J$2001,$F66,'原子事实记录'!$Q$2:$Q$2001,"是",'原子事实记录'!$R$2:$R$2001,"未知"))</f>
        <v/>
      </c>
      <c r="M66" s="3" t="n"/>
      <c r="N66" s="3" t="n"/>
      <c r="O66" s="5">
        <f>IF(OR(G66="",M66="",N66=""),"",M66+IF(G66="肯定主张正确率",H66,IF(G66="否定主张正确率",K66,IF(G66="灵敏度",H66,K66))))</f>
        <v/>
      </c>
      <c r="P66" s="5">
        <f>IF(OR(G66="",M66="",N66=""),"",N66+IF(G66="肯定主张正确率",I66,IF(G66="否定主张正确率",J66,IF(G66="灵敏度",J66,I66))))</f>
        <v/>
      </c>
      <c r="Q66" s="7">
        <f>IF(OR(O66="",P66=""),"",O66/(O66+P66))</f>
        <v/>
      </c>
      <c r="R66" s="7">
        <f>IF(Q66="","",BETA.INV(0.025,O66,P66))</f>
        <v/>
      </c>
      <c r="S66" s="7">
        <f>IF(Q66="","",BETA.INV(0.975,O66,P66))</f>
        <v/>
      </c>
      <c r="T66" s="5">
        <f>IF(OR(O66="",P66=""),"",O66+P66-M66-N66)</f>
        <v/>
      </c>
      <c r="U66" s="5">
        <f>IF(T66="","先填完整分组",IF(T66&lt;30,"样本太少：仅描述",IF(T66&lt;100,"只作试点候选","可进入独立验证")))</f>
        <v/>
      </c>
      <c r="V66" s="3" t="n"/>
      <c r="W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5">
        <f>IF(COUNTA(A67:G67)&lt;7,"",COUNTIFS('原子事实记录'!$C$2:$C$2001,$D67,'原子事实记录'!$E$2:$E$2001,$A67,'原子事实记录'!$F$2:$F$2001,$B67,'原子事实记录'!$G$2:$G$2001,$C67,'原子事实记录'!$I$2:$I$2001,$E67,'原子事实记录'!$J$2:$J$2001,$F67,'原子事实记录'!$Q$2:$Q$2001,"是",'原子事实记录'!$R$2:$R$2001,"TP"))</f>
        <v/>
      </c>
      <c r="I67" s="5">
        <f>IF(COUNTA(A67:G67)&lt;7,"",COUNTIFS('原子事实记录'!$C$2:$C$2001,$D67,'原子事实记录'!$E$2:$E$2001,$A67,'原子事实记录'!$F$2:$F$2001,$B67,'原子事实记录'!$G$2:$G$2001,$C67,'原子事实记录'!$I$2:$I$2001,$E67,'原子事实记录'!$J$2:$J$2001,$F67,'原子事实记录'!$Q$2:$Q$2001,"是",'原子事实记录'!$R$2:$R$2001,"FP"))</f>
        <v/>
      </c>
      <c r="J67" s="5">
        <f>IF(COUNTA(A67:G67)&lt;7,"",COUNTIFS('原子事实记录'!$C$2:$C$2001,$D67,'原子事实记录'!$E$2:$E$2001,$A67,'原子事实记录'!$F$2:$F$2001,$B67,'原子事实记录'!$G$2:$G$2001,$C67,'原子事实记录'!$I$2:$I$2001,$E67,'原子事实记录'!$J$2:$J$2001,$F67,'原子事实记录'!$Q$2:$Q$2001,"是",'原子事实记录'!$R$2:$R$2001,"FN"))</f>
        <v/>
      </c>
      <c r="K67" s="5">
        <f>IF(COUNTA(A67:G67)&lt;7,"",COUNTIFS('原子事实记录'!$C$2:$C$2001,$D67,'原子事实记录'!$E$2:$E$2001,$A67,'原子事实记录'!$F$2:$F$2001,$B67,'原子事实记录'!$G$2:$G$2001,$C67,'原子事实记录'!$I$2:$I$2001,$E67,'原子事实记录'!$J$2:$J$2001,$F67,'原子事实记录'!$Q$2:$Q$2001,"是",'原子事实记录'!$R$2:$R$2001,"TN"))</f>
        <v/>
      </c>
      <c r="L67" s="5">
        <f>IF(COUNTA(A67:G67)&lt;7,"",COUNTIFS('原子事实记录'!$C$2:$C$2001,$D67,'原子事实记录'!$E$2:$E$2001,$A67,'原子事实记录'!$F$2:$F$2001,$B67,'原子事实记录'!$G$2:$G$2001,$C67,'原子事实记录'!$I$2:$I$2001,$E67,'原子事实记录'!$J$2:$J$2001,$F67,'原子事实记录'!$Q$2:$Q$2001,"是",'原子事实记录'!$R$2:$R$2001,"未知"))</f>
        <v/>
      </c>
      <c r="M67" s="3" t="n"/>
      <c r="N67" s="3" t="n"/>
      <c r="O67" s="5">
        <f>IF(OR(G67="",M67="",N67=""),"",M67+IF(G67="肯定主张正确率",H67,IF(G67="否定主张正确率",K67,IF(G67="灵敏度",H67,K67))))</f>
        <v/>
      </c>
      <c r="P67" s="5">
        <f>IF(OR(G67="",M67="",N67=""),"",N67+IF(G67="肯定主张正确率",I67,IF(G67="否定主张正确率",J67,IF(G67="灵敏度",J67,I67))))</f>
        <v/>
      </c>
      <c r="Q67" s="7">
        <f>IF(OR(O67="",P67=""),"",O67/(O67+P67))</f>
        <v/>
      </c>
      <c r="R67" s="7">
        <f>IF(Q67="","",BETA.INV(0.025,O67,P67))</f>
        <v/>
      </c>
      <c r="S67" s="7">
        <f>IF(Q67="","",BETA.INV(0.975,O67,P67))</f>
        <v/>
      </c>
      <c r="T67" s="5">
        <f>IF(OR(O67="",P67=""),"",O67+P67-M67-N67)</f>
        <v/>
      </c>
      <c r="U67" s="5">
        <f>IF(T67="","先填完整分组",IF(T67&lt;30,"样本太少：仅描述",IF(T67&lt;100,"只作试点候选","可进入独立验证")))</f>
        <v/>
      </c>
      <c r="V67" s="3" t="n"/>
      <c r="W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5">
        <f>IF(COUNTA(A68:G68)&lt;7,"",COUNTIFS('原子事实记录'!$C$2:$C$2001,$D68,'原子事实记录'!$E$2:$E$2001,$A68,'原子事实记录'!$F$2:$F$2001,$B68,'原子事实记录'!$G$2:$G$2001,$C68,'原子事实记录'!$I$2:$I$2001,$E68,'原子事实记录'!$J$2:$J$2001,$F68,'原子事实记录'!$Q$2:$Q$2001,"是",'原子事实记录'!$R$2:$R$2001,"TP"))</f>
        <v/>
      </c>
      <c r="I68" s="5">
        <f>IF(COUNTA(A68:G68)&lt;7,"",COUNTIFS('原子事实记录'!$C$2:$C$2001,$D68,'原子事实记录'!$E$2:$E$2001,$A68,'原子事实记录'!$F$2:$F$2001,$B68,'原子事实记录'!$G$2:$G$2001,$C68,'原子事实记录'!$I$2:$I$2001,$E68,'原子事实记录'!$J$2:$J$2001,$F68,'原子事实记录'!$Q$2:$Q$2001,"是",'原子事实记录'!$R$2:$R$2001,"FP"))</f>
        <v/>
      </c>
      <c r="J68" s="5">
        <f>IF(COUNTA(A68:G68)&lt;7,"",COUNTIFS('原子事实记录'!$C$2:$C$2001,$D68,'原子事实记录'!$E$2:$E$2001,$A68,'原子事实记录'!$F$2:$F$2001,$B68,'原子事实记录'!$G$2:$G$2001,$C68,'原子事实记录'!$I$2:$I$2001,$E68,'原子事实记录'!$J$2:$J$2001,$F68,'原子事实记录'!$Q$2:$Q$2001,"是",'原子事实记录'!$R$2:$R$2001,"FN"))</f>
        <v/>
      </c>
      <c r="K68" s="5">
        <f>IF(COUNTA(A68:G68)&lt;7,"",COUNTIFS('原子事实记录'!$C$2:$C$2001,$D68,'原子事实记录'!$E$2:$E$2001,$A68,'原子事实记录'!$F$2:$F$2001,$B68,'原子事实记录'!$G$2:$G$2001,$C68,'原子事实记录'!$I$2:$I$2001,$E68,'原子事实记录'!$J$2:$J$2001,$F68,'原子事实记录'!$Q$2:$Q$2001,"是",'原子事实记录'!$R$2:$R$2001,"TN"))</f>
        <v/>
      </c>
      <c r="L68" s="5">
        <f>IF(COUNTA(A68:G68)&lt;7,"",COUNTIFS('原子事实记录'!$C$2:$C$2001,$D68,'原子事实记录'!$E$2:$E$2001,$A68,'原子事实记录'!$F$2:$F$2001,$B68,'原子事实记录'!$G$2:$G$2001,$C68,'原子事实记录'!$I$2:$I$2001,$E68,'原子事实记录'!$J$2:$J$2001,$F68,'原子事实记录'!$Q$2:$Q$2001,"是",'原子事实记录'!$R$2:$R$2001,"未知"))</f>
        <v/>
      </c>
      <c r="M68" s="3" t="n"/>
      <c r="N68" s="3" t="n"/>
      <c r="O68" s="5">
        <f>IF(OR(G68="",M68="",N68=""),"",M68+IF(G68="肯定主张正确率",H68,IF(G68="否定主张正确率",K68,IF(G68="灵敏度",H68,K68))))</f>
        <v/>
      </c>
      <c r="P68" s="5">
        <f>IF(OR(G68="",M68="",N68=""),"",N68+IF(G68="肯定主张正确率",I68,IF(G68="否定主张正确率",J68,IF(G68="灵敏度",J68,I68))))</f>
        <v/>
      </c>
      <c r="Q68" s="7">
        <f>IF(OR(O68="",P68=""),"",O68/(O68+P68))</f>
        <v/>
      </c>
      <c r="R68" s="7">
        <f>IF(Q68="","",BETA.INV(0.025,O68,P68))</f>
        <v/>
      </c>
      <c r="S68" s="7">
        <f>IF(Q68="","",BETA.INV(0.975,O68,P68))</f>
        <v/>
      </c>
      <c r="T68" s="5">
        <f>IF(OR(O68="",P68=""),"",O68+P68-M68-N68)</f>
        <v/>
      </c>
      <c r="U68" s="5">
        <f>IF(T68="","先填完整分组",IF(T68&lt;30,"样本太少：仅描述",IF(T68&lt;100,"只作试点候选","可进入独立验证")))</f>
        <v/>
      </c>
      <c r="V68" s="3" t="n"/>
      <c r="W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5">
        <f>IF(COUNTA(A69:G69)&lt;7,"",COUNTIFS('原子事实记录'!$C$2:$C$2001,$D69,'原子事实记录'!$E$2:$E$2001,$A69,'原子事实记录'!$F$2:$F$2001,$B69,'原子事实记录'!$G$2:$G$2001,$C69,'原子事实记录'!$I$2:$I$2001,$E69,'原子事实记录'!$J$2:$J$2001,$F69,'原子事实记录'!$Q$2:$Q$2001,"是",'原子事实记录'!$R$2:$R$2001,"TP"))</f>
        <v/>
      </c>
      <c r="I69" s="5">
        <f>IF(COUNTA(A69:G69)&lt;7,"",COUNTIFS('原子事实记录'!$C$2:$C$2001,$D69,'原子事实记录'!$E$2:$E$2001,$A69,'原子事实记录'!$F$2:$F$2001,$B69,'原子事实记录'!$G$2:$G$2001,$C69,'原子事实记录'!$I$2:$I$2001,$E69,'原子事实记录'!$J$2:$J$2001,$F69,'原子事实记录'!$Q$2:$Q$2001,"是",'原子事实记录'!$R$2:$R$2001,"FP"))</f>
        <v/>
      </c>
      <c r="J69" s="5">
        <f>IF(COUNTA(A69:G69)&lt;7,"",COUNTIFS('原子事实记录'!$C$2:$C$2001,$D69,'原子事实记录'!$E$2:$E$2001,$A69,'原子事实记录'!$F$2:$F$2001,$B69,'原子事实记录'!$G$2:$G$2001,$C69,'原子事实记录'!$I$2:$I$2001,$E69,'原子事实记录'!$J$2:$J$2001,$F69,'原子事实记录'!$Q$2:$Q$2001,"是",'原子事实记录'!$R$2:$R$2001,"FN"))</f>
        <v/>
      </c>
      <c r="K69" s="5">
        <f>IF(COUNTA(A69:G69)&lt;7,"",COUNTIFS('原子事实记录'!$C$2:$C$2001,$D69,'原子事实记录'!$E$2:$E$2001,$A69,'原子事实记录'!$F$2:$F$2001,$B69,'原子事实记录'!$G$2:$G$2001,$C69,'原子事实记录'!$I$2:$I$2001,$E69,'原子事实记录'!$J$2:$J$2001,$F69,'原子事实记录'!$Q$2:$Q$2001,"是",'原子事实记录'!$R$2:$R$2001,"TN"))</f>
        <v/>
      </c>
      <c r="L69" s="5">
        <f>IF(COUNTA(A69:G69)&lt;7,"",COUNTIFS('原子事实记录'!$C$2:$C$2001,$D69,'原子事实记录'!$E$2:$E$2001,$A69,'原子事实记录'!$F$2:$F$2001,$B69,'原子事实记录'!$G$2:$G$2001,$C69,'原子事实记录'!$I$2:$I$2001,$E69,'原子事实记录'!$J$2:$J$2001,$F69,'原子事实记录'!$Q$2:$Q$2001,"是",'原子事实记录'!$R$2:$R$2001,"未知"))</f>
        <v/>
      </c>
      <c r="M69" s="3" t="n"/>
      <c r="N69" s="3" t="n"/>
      <c r="O69" s="5">
        <f>IF(OR(G69="",M69="",N69=""),"",M69+IF(G69="肯定主张正确率",H69,IF(G69="否定主张正确率",K69,IF(G69="灵敏度",H69,K69))))</f>
        <v/>
      </c>
      <c r="P69" s="5">
        <f>IF(OR(G69="",M69="",N69=""),"",N69+IF(G69="肯定主张正确率",I69,IF(G69="否定主张正确率",J69,IF(G69="灵敏度",J69,I69))))</f>
        <v/>
      </c>
      <c r="Q69" s="7">
        <f>IF(OR(O69="",P69=""),"",O69/(O69+P69))</f>
        <v/>
      </c>
      <c r="R69" s="7">
        <f>IF(Q69="","",BETA.INV(0.025,O69,P69))</f>
        <v/>
      </c>
      <c r="S69" s="7">
        <f>IF(Q69="","",BETA.INV(0.975,O69,P69))</f>
        <v/>
      </c>
      <c r="T69" s="5">
        <f>IF(OR(O69="",P69=""),"",O69+P69-M69-N69)</f>
        <v/>
      </c>
      <c r="U69" s="5">
        <f>IF(T69="","先填完整分组",IF(T69&lt;30,"样本太少：仅描述",IF(T69&lt;100,"只作试点候选","可进入独立验证")))</f>
        <v/>
      </c>
      <c r="V69" s="3" t="n"/>
      <c r="W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5">
        <f>IF(COUNTA(A70:G70)&lt;7,"",COUNTIFS('原子事实记录'!$C$2:$C$2001,$D70,'原子事实记录'!$E$2:$E$2001,$A70,'原子事实记录'!$F$2:$F$2001,$B70,'原子事实记录'!$G$2:$G$2001,$C70,'原子事实记录'!$I$2:$I$2001,$E70,'原子事实记录'!$J$2:$J$2001,$F70,'原子事实记录'!$Q$2:$Q$2001,"是",'原子事实记录'!$R$2:$R$2001,"TP"))</f>
        <v/>
      </c>
      <c r="I70" s="5">
        <f>IF(COUNTA(A70:G70)&lt;7,"",COUNTIFS('原子事实记录'!$C$2:$C$2001,$D70,'原子事实记录'!$E$2:$E$2001,$A70,'原子事实记录'!$F$2:$F$2001,$B70,'原子事实记录'!$G$2:$G$2001,$C70,'原子事实记录'!$I$2:$I$2001,$E70,'原子事实记录'!$J$2:$J$2001,$F70,'原子事实记录'!$Q$2:$Q$2001,"是",'原子事实记录'!$R$2:$R$2001,"FP"))</f>
        <v/>
      </c>
      <c r="J70" s="5">
        <f>IF(COUNTA(A70:G70)&lt;7,"",COUNTIFS('原子事实记录'!$C$2:$C$2001,$D70,'原子事实记录'!$E$2:$E$2001,$A70,'原子事实记录'!$F$2:$F$2001,$B70,'原子事实记录'!$G$2:$G$2001,$C70,'原子事实记录'!$I$2:$I$2001,$E70,'原子事实记录'!$J$2:$J$2001,$F70,'原子事实记录'!$Q$2:$Q$2001,"是",'原子事实记录'!$R$2:$R$2001,"FN"))</f>
        <v/>
      </c>
      <c r="K70" s="5">
        <f>IF(COUNTA(A70:G70)&lt;7,"",COUNTIFS('原子事实记录'!$C$2:$C$2001,$D70,'原子事实记录'!$E$2:$E$2001,$A70,'原子事实记录'!$F$2:$F$2001,$B70,'原子事实记录'!$G$2:$G$2001,$C70,'原子事实记录'!$I$2:$I$2001,$E70,'原子事实记录'!$J$2:$J$2001,$F70,'原子事实记录'!$Q$2:$Q$2001,"是",'原子事实记录'!$R$2:$R$2001,"TN"))</f>
        <v/>
      </c>
      <c r="L70" s="5">
        <f>IF(COUNTA(A70:G70)&lt;7,"",COUNTIFS('原子事实记录'!$C$2:$C$2001,$D70,'原子事实记录'!$E$2:$E$2001,$A70,'原子事实记录'!$F$2:$F$2001,$B70,'原子事实记录'!$G$2:$G$2001,$C70,'原子事实记录'!$I$2:$I$2001,$E70,'原子事实记录'!$J$2:$J$2001,$F70,'原子事实记录'!$Q$2:$Q$2001,"是",'原子事实记录'!$R$2:$R$2001,"未知"))</f>
        <v/>
      </c>
      <c r="M70" s="3" t="n"/>
      <c r="N70" s="3" t="n"/>
      <c r="O70" s="5">
        <f>IF(OR(G70="",M70="",N70=""),"",M70+IF(G70="肯定主张正确率",H70,IF(G70="否定主张正确率",K70,IF(G70="灵敏度",H70,K70))))</f>
        <v/>
      </c>
      <c r="P70" s="5">
        <f>IF(OR(G70="",M70="",N70=""),"",N70+IF(G70="肯定主张正确率",I70,IF(G70="否定主张正确率",J70,IF(G70="灵敏度",J70,I70))))</f>
        <v/>
      </c>
      <c r="Q70" s="7">
        <f>IF(OR(O70="",P70=""),"",O70/(O70+P70))</f>
        <v/>
      </c>
      <c r="R70" s="7">
        <f>IF(Q70="","",BETA.INV(0.025,O70,P70))</f>
        <v/>
      </c>
      <c r="S70" s="7">
        <f>IF(Q70="","",BETA.INV(0.975,O70,P70))</f>
        <v/>
      </c>
      <c r="T70" s="5">
        <f>IF(OR(O70="",P70=""),"",O70+P70-M70-N70)</f>
        <v/>
      </c>
      <c r="U70" s="5">
        <f>IF(T70="","先填完整分组",IF(T70&lt;30,"样本太少：仅描述",IF(T70&lt;100,"只作试点候选","可进入独立验证")))</f>
        <v/>
      </c>
      <c r="V70" s="3" t="n"/>
      <c r="W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5">
        <f>IF(COUNTA(A71:G71)&lt;7,"",COUNTIFS('原子事实记录'!$C$2:$C$2001,$D71,'原子事实记录'!$E$2:$E$2001,$A71,'原子事实记录'!$F$2:$F$2001,$B71,'原子事实记录'!$G$2:$G$2001,$C71,'原子事实记录'!$I$2:$I$2001,$E71,'原子事实记录'!$J$2:$J$2001,$F71,'原子事实记录'!$Q$2:$Q$2001,"是",'原子事实记录'!$R$2:$R$2001,"TP"))</f>
        <v/>
      </c>
      <c r="I71" s="5">
        <f>IF(COUNTA(A71:G71)&lt;7,"",COUNTIFS('原子事实记录'!$C$2:$C$2001,$D71,'原子事实记录'!$E$2:$E$2001,$A71,'原子事实记录'!$F$2:$F$2001,$B71,'原子事实记录'!$G$2:$G$2001,$C71,'原子事实记录'!$I$2:$I$2001,$E71,'原子事实记录'!$J$2:$J$2001,$F71,'原子事实记录'!$Q$2:$Q$2001,"是",'原子事实记录'!$R$2:$R$2001,"FP"))</f>
        <v/>
      </c>
      <c r="J71" s="5">
        <f>IF(COUNTA(A71:G71)&lt;7,"",COUNTIFS('原子事实记录'!$C$2:$C$2001,$D71,'原子事实记录'!$E$2:$E$2001,$A71,'原子事实记录'!$F$2:$F$2001,$B71,'原子事实记录'!$G$2:$G$2001,$C71,'原子事实记录'!$I$2:$I$2001,$E71,'原子事实记录'!$J$2:$J$2001,$F71,'原子事实记录'!$Q$2:$Q$2001,"是",'原子事实记录'!$R$2:$R$2001,"FN"))</f>
        <v/>
      </c>
      <c r="K71" s="5">
        <f>IF(COUNTA(A71:G71)&lt;7,"",COUNTIFS('原子事实记录'!$C$2:$C$2001,$D71,'原子事实记录'!$E$2:$E$2001,$A71,'原子事实记录'!$F$2:$F$2001,$B71,'原子事实记录'!$G$2:$G$2001,$C71,'原子事实记录'!$I$2:$I$2001,$E71,'原子事实记录'!$J$2:$J$2001,$F71,'原子事实记录'!$Q$2:$Q$2001,"是",'原子事实记录'!$R$2:$R$2001,"TN"))</f>
        <v/>
      </c>
      <c r="L71" s="5">
        <f>IF(COUNTA(A71:G71)&lt;7,"",COUNTIFS('原子事实记录'!$C$2:$C$2001,$D71,'原子事实记录'!$E$2:$E$2001,$A71,'原子事实记录'!$F$2:$F$2001,$B71,'原子事实记录'!$G$2:$G$2001,$C71,'原子事实记录'!$I$2:$I$2001,$E71,'原子事实记录'!$J$2:$J$2001,$F71,'原子事实记录'!$Q$2:$Q$2001,"是",'原子事实记录'!$R$2:$R$2001,"未知"))</f>
        <v/>
      </c>
      <c r="M71" s="3" t="n"/>
      <c r="N71" s="3" t="n"/>
      <c r="O71" s="5">
        <f>IF(OR(G71="",M71="",N71=""),"",M71+IF(G71="肯定主张正确率",H71,IF(G71="否定主张正确率",K71,IF(G71="灵敏度",H71,K71))))</f>
        <v/>
      </c>
      <c r="P71" s="5">
        <f>IF(OR(G71="",M71="",N71=""),"",N71+IF(G71="肯定主张正确率",I71,IF(G71="否定主张正确率",J71,IF(G71="灵敏度",J71,I71))))</f>
        <v/>
      </c>
      <c r="Q71" s="7">
        <f>IF(OR(O71="",P71=""),"",O71/(O71+P71))</f>
        <v/>
      </c>
      <c r="R71" s="7">
        <f>IF(Q71="","",BETA.INV(0.025,O71,P71))</f>
        <v/>
      </c>
      <c r="S71" s="7">
        <f>IF(Q71="","",BETA.INV(0.975,O71,P71))</f>
        <v/>
      </c>
      <c r="T71" s="5">
        <f>IF(OR(O71="",P71=""),"",O71+P71-M71-N71)</f>
        <v/>
      </c>
      <c r="U71" s="5">
        <f>IF(T71="","先填完整分组",IF(T71&lt;30,"样本太少：仅描述",IF(T71&lt;100,"只作试点候选","可进入独立验证")))</f>
        <v/>
      </c>
      <c r="V71" s="3" t="n"/>
      <c r="W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5">
        <f>IF(COUNTA(A72:G72)&lt;7,"",COUNTIFS('原子事实记录'!$C$2:$C$2001,$D72,'原子事实记录'!$E$2:$E$2001,$A72,'原子事实记录'!$F$2:$F$2001,$B72,'原子事实记录'!$G$2:$G$2001,$C72,'原子事实记录'!$I$2:$I$2001,$E72,'原子事实记录'!$J$2:$J$2001,$F72,'原子事实记录'!$Q$2:$Q$2001,"是",'原子事实记录'!$R$2:$R$2001,"TP"))</f>
        <v/>
      </c>
      <c r="I72" s="5">
        <f>IF(COUNTA(A72:G72)&lt;7,"",COUNTIFS('原子事实记录'!$C$2:$C$2001,$D72,'原子事实记录'!$E$2:$E$2001,$A72,'原子事实记录'!$F$2:$F$2001,$B72,'原子事实记录'!$G$2:$G$2001,$C72,'原子事实记录'!$I$2:$I$2001,$E72,'原子事实记录'!$J$2:$J$2001,$F72,'原子事实记录'!$Q$2:$Q$2001,"是",'原子事实记录'!$R$2:$R$2001,"FP"))</f>
        <v/>
      </c>
      <c r="J72" s="5">
        <f>IF(COUNTA(A72:G72)&lt;7,"",COUNTIFS('原子事实记录'!$C$2:$C$2001,$D72,'原子事实记录'!$E$2:$E$2001,$A72,'原子事实记录'!$F$2:$F$2001,$B72,'原子事实记录'!$G$2:$G$2001,$C72,'原子事实记录'!$I$2:$I$2001,$E72,'原子事实记录'!$J$2:$J$2001,$F72,'原子事实记录'!$Q$2:$Q$2001,"是",'原子事实记录'!$R$2:$R$2001,"FN"))</f>
        <v/>
      </c>
      <c r="K72" s="5">
        <f>IF(COUNTA(A72:G72)&lt;7,"",COUNTIFS('原子事实记录'!$C$2:$C$2001,$D72,'原子事实记录'!$E$2:$E$2001,$A72,'原子事实记录'!$F$2:$F$2001,$B72,'原子事实记录'!$G$2:$G$2001,$C72,'原子事实记录'!$I$2:$I$2001,$E72,'原子事实记录'!$J$2:$J$2001,$F72,'原子事实记录'!$Q$2:$Q$2001,"是",'原子事实记录'!$R$2:$R$2001,"TN"))</f>
        <v/>
      </c>
      <c r="L72" s="5">
        <f>IF(COUNTA(A72:G72)&lt;7,"",COUNTIFS('原子事实记录'!$C$2:$C$2001,$D72,'原子事实记录'!$E$2:$E$2001,$A72,'原子事实记录'!$F$2:$F$2001,$B72,'原子事实记录'!$G$2:$G$2001,$C72,'原子事实记录'!$I$2:$I$2001,$E72,'原子事实记录'!$J$2:$J$2001,$F72,'原子事实记录'!$Q$2:$Q$2001,"是",'原子事实记录'!$R$2:$R$2001,"未知"))</f>
        <v/>
      </c>
      <c r="M72" s="3" t="n"/>
      <c r="N72" s="3" t="n"/>
      <c r="O72" s="5">
        <f>IF(OR(G72="",M72="",N72=""),"",M72+IF(G72="肯定主张正确率",H72,IF(G72="否定主张正确率",K72,IF(G72="灵敏度",H72,K72))))</f>
        <v/>
      </c>
      <c r="P72" s="5">
        <f>IF(OR(G72="",M72="",N72=""),"",N72+IF(G72="肯定主张正确率",I72,IF(G72="否定主张正确率",J72,IF(G72="灵敏度",J72,I72))))</f>
        <v/>
      </c>
      <c r="Q72" s="7">
        <f>IF(OR(O72="",P72=""),"",O72/(O72+P72))</f>
        <v/>
      </c>
      <c r="R72" s="7">
        <f>IF(Q72="","",BETA.INV(0.025,O72,P72))</f>
        <v/>
      </c>
      <c r="S72" s="7">
        <f>IF(Q72="","",BETA.INV(0.975,O72,P72))</f>
        <v/>
      </c>
      <c r="T72" s="5">
        <f>IF(OR(O72="",P72=""),"",O72+P72-M72-N72)</f>
        <v/>
      </c>
      <c r="U72" s="5">
        <f>IF(T72="","先填完整分组",IF(T72&lt;30,"样本太少：仅描述",IF(T72&lt;100,"只作试点候选","可进入独立验证")))</f>
        <v/>
      </c>
      <c r="V72" s="3" t="n"/>
      <c r="W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5">
        <f>IF(COUNTA(A73:G73)&lt;7,"",COUNTIFS('原子事实记录'!$C$2:$C$2001,$D73,'原子事实记录'!$E$2:$E$2001,$A73,'原子事实记录'!$F$2:$F$2001,$B73,'原子事实记录'!$G$2:$G$2001,$C73,'原子事实记录'!$I$2:$I$2001,$E73,'原子事实记录'!$J$2:$J$2001,$F73,'原子事实记录'!$Q$2:$Q$2001,"是",'原子事实记录'!$R$2:$R$2001,"TP"))</f>
        <v/>
      </c>
      <c r="I73" s="5">
        <f>IF(COUNTA(A73:G73)&lt;7,"",COUNTIFS('原子事实记录'!$C$2:$C$2001,$D73,'原子事实记录'!$E$2:$E$2001,$A73,'原子事实记录'!$F$2:$F$2001,$B73,'原子事实记录'!$G$2:$G$2001,$C73,'原子事实记录'!$I$2:$I$2001,$E73,'原子事实记录'!$J$2:$J$2001,$F73,'原子事实记录'!$Q$2:$Q$2001,"是",'原子事实记录'!$R$2:$R$2001,"FP"))</f>
        <v/>
      </c>
      <c r="J73" s="5">
        <f>IF(COUNTA(A73:G73)&lt;7,"",COUNTIFS('原子事实记录'!$C$2:$C$2001,$D73,'原子事实记录'!$E$2:$E$2001,$A73,'原子事实记录'!$F$2:$F$2001,$B73,'原子事实记录'!$G$2:$G$2001,$C73,'原子事实记录'!$I$2:$I$2001,$E73,'原子事实记录'!$J$2:$J$2001,$F73,'原子事实记录'!$Q$2:$Q$2001,"是",'原子事实记录'!$R$2:$R$2001,"FN"))</f>
        <v/>
      </c>
      <c r="K73" s="5">
        <f>IF(COUNTA(A73:G73)&lt;7,"",COUNTIFS('原子事实记录'!$C$2:$C$2001,$D73,'原子事实记录'!$E$2:$E$2001,$A73,'原子事实记录'!$F$2:$F$2001,$B73,'原子事实记录'!$G$2:$G$2001,$C73,'原子事实记录'!$I$2:$I$2001,$E73,'原子事实记录'!$J$2:$J$2001,$F73,'原子事实记录'!$Q$2:$Q$2001,"是",'原子事实记录'!$R$2:$R$2001,"TN"))</f>
        <v/>
      </c>
      <c r="L73" s="5">
        <f>IF(COUNTA(A73:G73)&lt;7,"",COUNTIFS('原子事实记录'!$C$2:$C$2001,$D73,'原子事实记录'!$E$2:$E$2001,$A73,'原子事实记录'!$F$2:$F$2001,$B73,'原子事实记录'!$G$2:$G$2001,$C73,'原子事实记录'!$I$2:$I$2001,$E73,'原子事实记录'!$J$2:$J$2001,$F73,'原子事实记录'!$Q$2:$Q$2001,"是",'原子事实记录'!$R$2:$R$2001,"未知"))</f>
        <v/>
      </c>
      <c r="M73" s="3" t="n"/>
      <c r="N73" s="3" t="n"/>
      <c r="O73" s="5">
        <f>IF(OR(G73="",M73="",N73=""),"",M73+IF(G73="肯定主张正确率",H73,IF(G73="否定主张正确率",K73,IF(G73="灵敏度",H73,K73))))</f>
        <v/>
      </c>
      <c r="P73" s="5">
        <f>IF(OR(G73="",M73="",N73=""),"",N73+IF(G73="肯定主张正确率",I73,IF(G73="否定主张正确率",J73,IF(G73="灵敏度",J73,I73))))</f>
        <v/>
      </c>
      <c r="Q73" s="7">
        <f>IF(OR(O73="",P73=""),"",O73/(O73+P73))</f>
        <v/>
      </c>
      <c r="R73" s="7">
        <f>IF(Q73="","",BETA.INV(0.025,O73,P73))</f>
        <v/>
      </c>
      <c r="S73" s="7">
        <f>IF(Q73="","",BETA.INV(0.975,O73,P73))</f>
        <v/>
      </c>
      <c r="T73" s="5">
        <f>IF(OR(O73="",P73=""),"",O73+P73-M73-N73)</f>
        <v/>
      </c>
      <c r="U73" s="5">
        <f>IF(T73="","先填完整分组",IF(T73&lt;30,"样本太少：仅描述",IF(T73&lt;100,"只作试点候选","可进入独立验证")))</f>
        <v/>
      </c>
      <c r="V73" s="3" t="n"/>
      <c r="W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5">
        <f>IF(COUNTA(A74:G74)&lt;7,"",COUNTIFS('原子事实记录'!$C$2:$C$2001,$D74,'原子事实记录'!$E$2:$E$2001,$A74,'原子事实记录'!$F$2:$F$2001,$B74,'原子事实记录'!$G$2:$G$2001,$C74,'原子事实记录'!$I$2:$I$2001,$E74,'原子事实记录'!$J$2:$J$2001,$F74,'原子事实记录'!$Q$2:$Q$2001,"是",'原子事实记录'!$R$2:$R$2001,"TP"))</f>
        <v/>
      </c>
      <c r="I74" s="5">
        <f>IF(COUNTA(A74:G74)&lt;7,"",COUNTIFS('原子事实记录'!$C$2:$C$2001,$D74,'原子事实记录'!$E$2:$E$2001,$A74,'原子事实记录'!$F$2:$F$2001,$B74,'原子事实记录'!$G$2:$G$2001,$C74,'原子事实记录'!$I$2:$I$2001,$E74,'原子事实记录'!$J$2:$J$2001,$F74,'原子事实记录'!$Q$2:$Q$2001,"是",'原子事实记录'!$R$2:$R$2001,"FP"))</f>
        <v/>
      </c>
      <c r="J74" s="5">
        <f>IF(COUNTA(A74:G74)&lt;7,"",COUNTIFS('原子事实记录'!$C$2:$C$2001,$D74,'原子事实记录'!$E$2:$E$2001,$A74,'原子事实记录'!$F$2:$F$2001,$B74,'原子事实记录'!$G$2:$G$2001,$C74,'原子事实记录'!$I$2:$I$2001,$E74,'原子事实记录'!$J$2:$J$2001,$F74,'原子事实记录'!$Q$2:$Q$2001,"是",'原子事实记录'!$R$2:$R$2001,"FN"))</f>
        <v/>
      </c>
      <c r="K74" s="5">
        <f>IF(COUNTA(A74:G74)&lt;7,"",COUNTIFS('原子事实记录'!$C$2:$C$2001,$D74,'原子事实记录'!$E$2:$E$2001,$A74,'原子事实记录'!$F$2:$F$2001,$B74,'原子事实记录'!$G$2:$G$2001,$C74,'原子事实记录'!$I$2:$I$2001,$E74,'原子事实记录'!$J$2:$J$2001,$F74,'原子事实记录'!$Q$2:$Q$2001,"是",'原子事实记录'!$R$2:$R$2001,"TN"))</f>
        <v/>
      </c>
      <c r="L74" s="5">
        <f>IF(COUNTA(A74:G74)&lt;7,"",COUNTIFS('原子事实记录'!$C$2:$C$2001,$D74,'原子事实记录'!$E$2:$E$2001,$A74,'原子事实记录'!$F$2:$F$2001,$B74,'原子事实记录'!$G$2:$G$2001,$C74,'原子事实记录'!$I$2:$I$2001,$E74,'原子事实记录'!$J$2:$J$2001,$F74,'原子事实记录'!$Q$2:$Q$2001,"是",'原子事实记录'!$R$2:$R$2001,"未知"))</f>
        <v/>
      </c>
      <c r="M74" s="3" t="n"/>
      <c r="N74" s="3" t="n"/>
      <c r="O74" s="5">
        <f>IF(OR(G74="",M74="",N74=""),"",M74+IF(G74="肯定主张正确率",H74,IF(G74="否定主张正确率",K74,IF(G74="灵敏度",H74,K74))))</f>
        <v/>
      </c>
      <c r="P74" s="5">
        <f>IF(OR(G74="",M74="",N74=""),"",N74+IF(G74="肯定主张正确率",I74,IF(G74="否定主张正确率",J74,IF(G74="灵敏度",J74,I74))))</f>
        <v/>
      </c>
      <c r="Q74" s="7">
        <f>IF(OR(O74="",P74=""),"",O74/(O74+P74))</f>
        <v/>
      </c>
      <c r="R74" s="7">
        <f>IF(Q74="","",BETA.INV(0.025,O74,P74))</f>
        <v/>
      </c>
      <c r="S74" s="7">
        <f>IF(Q74="","",BETA.INV(0.975,O74,P74))</f>
        <v/>
      </c>
      <c r="T74" s="5">
        <f>IF(OR(O74="",P74=""),"",O74+P74-M74-N74)</f>
        <v/>
      </c>
      <c r="U74" s="5">
        <f>IF(T74="","先填完整分组",IF(T74&lt;30,"样本太少：仅描述",IF(T74&lt;100,"只作试点候选","可进入独立验证")))</f>
        <v/>
      </c>
      <c r="V74" s="3" t="n"/>
      <c r="W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5">
        <f>IF(COUNTA(A75:G75)&lt;7,"",COUNTIFS('原子事实记录'!$C$2:$C$2001,$D75,'原子事实记录'!$E$2:$E$2001,$A75,'原子事实记录'!$F$2:$F$2001,$B75,'原子事实记录'!$G$2:$G$2001,$C75,'原子事实记录'!$I$2:$I$2001,$E75,'原子事实记录'!$J$2:$J$2001,$F75,'原子事实记录'!$Q$2:$Q$2001,"是",'原子事实记录'!$R$2:$R$2001,"TP"))</f>
        <v/>
      </c>
      <c r="I75" s="5">
        <f>IF(COUNTA(A75:G75)&lt;7,"",COUNTIFS('原子事实记录'!$C$2:$C$2001,$D75,'原子事实记录'!$E$2:$E$2001,$A75,'原子事实记录'!$F$2:$F$2001,$B75,'原子事实记录'!$G$2:$G$2001,$C75,'原子事实记录'!$I$2:$I$2001,$E75,'原子事实记录'!$J$2:$J$2001,$F75,'原子事实记录'!$Q$2:$Q$2001,"是",'原子事实记录'!$R$2:$R$2001,"FP"))</f>
        <v/>
      </c>
      <c r="J75" s="5">
        <f>IF(COUNTA(A75:G75)&lt;7,"",COUNTIFS('原子事实记录'!$C$2:$C$2001,$D75,'原子事实记录'!$E$2:$E$2001,$A75,'原子事实记录'!$F$2:$F$2001,$B75,'原子事实记录'!$G$2:$G$2001,$C75,'原子事实记录'!$I$2:$I$2001,$E75,'原子事实记录'!$J$2:$J$2001,$F75,'原子事实记录'!$Q$2:$Q$2001,"是",'原子事实记录'!$R$2:$R$2001,"FN"))</f>
        <v/>
      </c>
      <c r="K75" s="5">
        <f>IF(COUNTA(A75:G75)&lt;7,"",COUNTIFS('原子事实记录'!$C$2:$C$2001,$D75,'原子事实记录'!$E$2:$E$2001,$A75,'原子事实记录'!$F$2:$F$2001,$B75,'原子事实记录'!$G$2:$G$2001,$C75,'原子事实记录'!$I$2:$I$2001,$E75,'原子事实记录'!$J$2:$J$2001,$F75,'原子事实记录'!$Q$2:$Q$2001,"是",'原子事实记录'!$R$2:$R$2001,"TN"))</f>
        <v/>
      </c>
      <c r="L75" s="5">
        <f>IF(COUNTA(A75:G75)&lt;7,"",COUNTIFS('原子事实记录'!$C$2:$C$2001,$D75,'原子事实记录'!$E$2:$E$2001,$A75,'原子事实记录'!$F$2:$F$2001,$B75,'原子事实记录'!$G$2:$G$2001,$C75,'原子事实记录'!$I$2:$I$2001,$E75,'原子事实记录'!$J$2:$J$2001,$F75,'原子事实记录'!$Q$2:$Q$2001,"是",'原子事实记录'!$R$2:$R$2001,"未知"))</f>
        <v/>
      </c>
      <c r="M75" s="3" t="n"/>
      <c r="N75" s="3" t="n"/>
      <c r="O75" s="5">
        <f>IF(OR(G75="",M75="",N75=""),"",M75+IF(G75="肯定主张正确率",H75,IF(G75="否定主张正确率",K75,IF(G75="灵敏度",H75,K75))))</f>
        <v/>
      </c>
      <c r="P75" s="5">
        <f>IF(OR(G75="",M75="",N75=""),"",N75+IF(G75="肯定主张正确率",I75,IF(G75="否定主张正确率",J75,IF(G75="灵敏度",J75,I75))))</f>
        <v/>
      </c>
      <c r="Q75" s="7">
        <f>IF(OR(O75="",P75=""),"",O75/(O75+P75))</f>
        <v/>
      </c>
      <c r="R75" s="7">
        <f>IF(Q75="","",BETA.INV(0.025,O75,P75))</f>
        <v/>
      </c>
      <c r="S75" s="7">
        <f>IF(Q75="","",BETA.INV(0.975,O75,P75))</f>
        <v/>
      </c>
      <c r="T75" s="5">
        <f>IF(OR(O75="",P75=""),"",O75+P75-M75-N75)</f>
        <v/>
      </c>
      <c r="U75" s="5">
        <f>IF(T75="","先填完整分组",IF(T75&lt;30,"样本太少：仅描述",IF(T75&lt;100,"只作试点候选","可进入独立验证")))</f>
        <v/>
      </c>
      <c r="V75" s="3" t="n"/>
      <c r="W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5">
        <f>IF(COUNTA(A76:G76)&lt;7,"",COUNTIFS('原子事实记录'!$C$2:$C$2001,$D76,'原子事实记录'!$E$2:$E$2001,$A76,'原子事实记录'!$F$2:$F$2001,$B76,'原子事实记录'!$G$2:$G$2001,$C76,'原子事实记录'!$I$2:$I$2001,$E76,'原子事实记录'!$J$2:$J$2001,$F76,'原子事实记录'!$Q$2:$Q$2001,"是",'原子事实记录'!$R$2:$R$2001,"TP"))</f>
        <v/>
      </c>
      <c r="I76" s="5">
        <f>IF(COUNTA(A76:G76)&lt;7,"",COUNTIFS('原子事实记录'!$C$2:$C$2001,$D76,'原子事实记录'!$E$2:$E$2001,$A76,'原子事实记录'!$F$2:$F$2001,$B76,'原子事实记录'!$G$2:$G$2001,$C76,'原子事实记录'!$I$2:$I$2001,$E76,'原子事实记录'!$J$2:$J$2001,$F76,'原子事实记录'!$Q$2:$Q$2001,"是",'原子事实记录'!$R$2:$R$2001,"FP"))</f>
        <v/>
      </c>
      <c r="J76" s="5">
        <f>IF(COUNTA(A76:G76)&lt;7,"",COUNTIFS('原子事实记录'!$C$2:$C$2001,$D76,'原子事实记录'!$E$2:$E$2001,$A76,'原子事实记录'!$F$2:$F$2001,$B76,'原子事实记录'!$G$2:$G$2001,$C76,'原子事实记录'!$I$2:$I$2001,$E76,'原子事实记录'!$J$2:$J$2001,$F76,'原子事实记录'!$Q$2:$Q$2001,"是",'原子事实记录'!$R$2:$R$2001,"FN"))</f>
        <v/>
      </c>
      <c r="K76" s="5">
        <f>IF(COUNTA(A76:G76)&lt;7,"",COUNTIFS('原子事实记录'!$C$2:$C$2001,$D76,'原子事实记录'!$E$2:$E$2001,$A76,'原子事实记录'!$F$2:$F$2001,$B76,'原子事实记录'!$G$2:$G$2001,$C76,'原子事实记录'!$I$2:$I$2001,$E76,'原子事实记录'!$J$2:$J$2001,$F76,'原子事实记录'!$Q$2:$Q$2001,"是",'原子事实记录'!$R$2:$R$2001,"TN"))</f>
        <v/>
      </c>
      <c r="L76" s="5">
        <f>IF(COUNTA(A76:G76)&lt;7,"",COUNTIFS('原子事实记录'!$C$2:$C$2001,$D76,'原子事实记录'!$E$2:$E$2001,$A76,'原子事实记录'!$F$2:$F$2001,$B76,'原子事实记录'!$G$2:$G$2001,$C76,'原子事实记录'!$I$2:$I$2001,$E76,'原子事实记录'!$J$2:$J$2001,$F76,'原子事实记录'!$Q$2:$Q$2001,"是",'原子事实记录'!$R$2:$R$2001,"未知"))</f>
        <v/>
      </c>
      <c r="M76" s="3" t="n"/>
      <c r="N76" s="3" t="n"/>
      <c r="O76" s="5">
        <f>IF(OR(G76="",M76="",N76=""),"",M76+IF(G76="肯定主张正确率",H76,IF(G76="否定主张正确率",K76,IF(G76="灵敏度",H76,K76))))</f>
        <v/>
      </c>
      <c r="P76" s="5">
        <f>IF(OR(G76="",M76="",N76=""),"",N76+IF(G76="肯定主张正确率",I76,IF(G76="否定主张正确率",J76,IF(G76="灵敏度",J76,I76))))</f>
        <v/>
      </c>
      <c r="Q76" s="7">
        <f>IF(OR(O76="",P76=""),"",O76/(O76+P76))</f>
        <v/>
      </c>
      <c r="R76" s="7">
        <f>IF(Q76="","",BETA.INV(0.025,O76,P76))</f>
        <v/>
      </c>
      <c r="S76" s="7">
        <f>IF(Q76="","",BETA.INV(0.975,O76,P76))</f>
        <v/>
      </c>
      <c r="T76" s="5">
        <f>IF(OR(O76="",P76=""),"",O76+P76-M76-N76)</f>
        <v/>
      </c>
      <c r="U76" s="5">
        <f>IF(T76="","先填完整分组",IF(T76&lt;30,"样本太少：仅描述",IF(T76&lt;100,"只作试点候选","可进入独立验证")))</f>
        <v/>
      </c>
      <c r="V76" s="3" t="n"/>
      <c r="W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5">
        <f>IF(COUNTA(A77:G77)&lt;7,"",COUNTIFS('原子事实记录'!$C$2:$C$2001,$D77,'原子事实记录'!$E$2:$E$2001,$A77,'原子事实记录'!$F$2:$F$2001,$B77,'原子事实记录'!$G$2:$G$2001,$C77,'原子事实记录'!$I$2:$I$2001,$E77,'原子事实记录'!$J$2:$J$2001,$F77,'原子事实记录'!$Q$2:$Q$2001,"是",'原子事实记录'!$R$2:$R$2001,"TP"))</f>
        <v/>
      </c>
      <c r="I77" s="5">
        <f>IF(COUNTA(A77:G77)&lt;7,"",COUNTIFS('原子事实记录'!$C$2:$C$2001,$D77,'原子事实记录'!$E$2:$E$2001,$A77,'原子事实记录'!$F$2:$F$2001,$B77,'原子事实记录'!$G$2:$G$2001,$C77,'原子事实记录'!$I$2:$I$2001,$E77,'原子事实记录'!$J$2:$J$2001,$F77,'原子事实记录'!$Q$2:$Q$2001,"是",'原子事实记录'!$R$2:$R$2001,"FP"))</f>
        <v/>
      </c>
      <c r="J77" s="5">
        <f>IF(COUNTA(A77:G77)&lt;7,"",COUNTIFS('原子事实记录'!$C$2:$C$2001,$D77,'原子事实记录'!$E$2:$E$2001,$A77,'原子事实记录'!$F$2:$F$2001,$B77,'原子事实记录'!$G$2:$G$2001,$C77,'原子事实记录'!$I$2:$I$2001,$E77,'原子事实记录'!$J$2:$J$2001,$F77,'原子事实记录'!$Q$2:$Q$2001,"是",'原子事实记录'!$R$2:$R$2001,"FN"))</f>
        <v/>
      </c>
      <c r="K77" s="5">
        <f>IF(COUNTA(A77:G77)&lt;7,"",COUNTIFS('原子事实记录'!$C$2:$C$2001,$D77,'原子事实记录'!$E$2:$E$2001,$A77,'原子事实记录'!$F$2:$F$2001,$B77,'原子事实记录'!$G$2:$G$2001,$C77,'原子事实记录'!$I$2:$I$2001,$E77,'原子事实记录'!$J$2:$J$2001,$F77,'原子事实记录'!$Q$2:$Q$2001,"是",'原子事实记录'!$R$2:$R$2001,"TN"))</f>
        <v/>
      </c>
      <c r="L77" s="5">
        <f>IF(COUNTA(A77:G77)&lt;7,"",COUNTIFS('原子事实记录'!$C$2:$C$2001,$D77,'原子事实记录'!$E$2:$E$2001,$A77,'原子事实记录'!$F$2:$F$2001,$B77,'原子事实记录'!$G$2:$G$2001,$C77,'原子事实记录'!$I$2:$I$2001,$E77,'原子事实记录'!$J$2:$J$2001,$F77,'原子事实记录'!$Q$2:$Q$2001,"是",'原子事实记录'!$R$2:$R$2001,"未知"))</f>
        <v/>
      </c>
      <c r="M77" s="3" t="n"/>
      <c r="N77" s="3" t="n"/>
      <c r="O77" s="5">
        <f>IF(OR(G77="",M77="",N77=""),"",M77+IF(G77="肯定主张正确率",H77,IF(G77="否定主张正确率",K77,IF(G77="灵敏度",H77,K77))))</f>
        <v/>
      </c>
      <c r="P77" s="5">
        <f>IF(OR(G77="",M77="",N77=""),"",N77+IF(G77="肯定主张正确率",I77,IF(G77="否定主张正确率",J77,IF(G77="灵敏度",J77,I77))))</f>
        <v/>
      </c>
      <c r="Q77" s="7">
        <f>IF(OR(O77="",P77=""),"",O77/(O77+P77))</f>
        <v/>
      </c>
      <c r="R77" s="7">
        <f>IF(Q77="","",BETA.INV(0.025,O77,P77))</f>
        <v/>
      </c>
      <c r="S77" s="7">
        <f>IF(Q77="","",BETA.INV(0.975,O77,P77))</f>
        <v/>
      </c>
      <c r="T77" s="5">
        <f>IF(OR(O77="",P77=""),"",O77+P77-M77-N77)</f>
        <v/>
      </c>
      <c r="U77" s="5">
        <f>IF(T77="","先填完整分组",IF(T77&lt;30,"样本太少：仅描述",IF(T77&lt;100,"只作试点候选","可进入独立验证")))</f>
        <v/>
      </c>
      <c r="V77" s="3" t="n"/>
      <c r="W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5">
        <f>IF(COUNTA(A78:G78)&lt;7,"",COUNTIFS('原子事实记录'!$C$2:$C$2001,$D78,'原子事实记录'!$E$2:$E$2001,$A78,'原子事实记录'!$F$2:$F$2001,$B78,'原子事实记录'!$G$2:$G$2001,$C78,'原子事实记录'!$I$2:$I$2001,$E78,'原子事实记录'!$J$2:$J$2001,$F78,'原子事实记录'!$Q$2:$Q$2001,"是",'原子事实记录'!$R$2:$R$2001,"TP"))</f>
        <v/>
      </c>
      <c r="I78" s="5">
        <f>IF(COUNTA(A78:G78)&lt;7,"",COUNTIFS('原子事实记录'!$C$2:$C$2001,$D78,'原子事实记录'!$E$2:$E$2001,$A78,'原子事实记录'!$F$2:$F$2001,$B78,'原子事实记录'!$G$2:$G$2001,$C78,'原子事实记录'!$I$2:$I$2001,$E78,'原子事实记录'!$J$2:$J$2001,$F78,'原子事实记录'!$Q$2:$Q$2001,"是",'原子事实记录'!$R$2:$R$2001,"FP"))</f>
        <v/>
      </c>
      <c r="J78" s="5">
        <f>IF(COUNTA(A78:G78)&lt;7,"",COUNTIFS('原子事实记录'!$C$2:$C$2001,$D78,'原子事实记录'!$E$2:$E$2001,$A78,'原子事实记录'!$F$2:$F$2001,$B78,'原子事实记录'!$G$2:$G$2001,$C78,'原子事实记录'!$I$2:$I$2001,$E78,'原子事实记录'!$J$2:$J$2001,$F78,'原子事实记录'!$Q$2:$Q$2001,"是",'原子事实记录'!$R$2:$R$2001,"FN"))</f>
        <v/>
      </c>
      <c r="K78" s="5">
        <f>IF(COUNTA(A78:G78)&lt;7,"",COUNTIFS('原子事实记录'!$C$2:$C$2001,$D78,'原子事实记录'!$E$2:$E$2001,$A78,'原子事实记录'!$F$2:$F$2001,$B78,'原子事实记录'!$G$2:$G$2001,$C78,'原子事实记录'!$I$2:$I$2001,$E78,'原子事实记录'!$J$2:$J$2001,$F78,'原子事实记录'!$Q$2:$Q$2001,"是",'原子事实记录'!$R$2:$R$2001,"TN"))</f>
        <v/>
      </c>
      <c r="L78" s="5">
        <f>IF(COUNTA(A78:G78)&lt;7,"",COUNTIFS('原子事实记录'!$C$2:$C$2001,$D78,'原子事实记录'!$E$2:$E$2001,$A78,'原子事实记录'!$F$2:$F$2001,$B78,'原子事实记录'!$G$2:$G$2001,$C78,'原子事实记录'!$I$2:$I$2001,$E78,'原子事实记录'!$J$2:$J$2001,$F78,'原子事实记录'!$Q$2:$Q$2001,"是",'原子事实记录'!$R$2:$R$2001,"未知"))</f>
        <v/>
      </c>
      <c r="M78" s="3" t="n"/>
      <c r="N78" s="3" t="n"/>
      <c r="O78" s="5">
        <f>IF(OR(G78="",M78="",N78=""),"",M78+IF(G78="肯定主张正确率",H78,IF(G78="否定主张正确率",K78,IF(G78="灵敏度",H78,K78))))</f>
        <v/>
      </c>
      <c r="P78" s="5">
        <f>IF(OR(G78="",M78="",N78=""),"",N78+IF(G78="肯定主张正确率",I78,IF(G78="否定主张正确率",J78,IF(G78="灵敏度",J78,I78))))</f>
        <v/>
      </c>
      <c r="Q78" s="7">
        <f>IF(OR(O78="",P78=""),"",O78/(O78+P78))</f>
        <v/>
      </c>
      <c r="R78" s="7">
        <f>IF(Q78="","",BETA.INV(0.025,O78,P78))</f>
        <v/>
      </c>
      <c r="S78" s="7">
        <f>IF(Q78="","",BETA.INV(0.975,O78,P78))</f>
        <v/>
      </c>
      <c r="T78" s="5">
        <f>IF(OR(O78="",P78=""),"",O78+P78-M78-N78)</f>
        <v/>
      </c>
      <c r="U78" s="5">
        <f>IF(T78="","先填完整分组",IF(T78&lt;30,"样本太少：仅描述",IF(T78&lt;100,"只作试点候选","可进入独立验证")))</f>
        <v/>
      </c>
      <c r="V78" s="3" t="n"/>
      <c r="W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5">
        <f>IF(COUNTA(A79:G79)&lt;7,"",COUNTIFS('原子事实记录'!$C$2:$C$2001,$D79,'原子事实记录'!$E$2:$E$2001,$A79,'原子事实记录'!$F$2:$F$2001,$B79,'原子事实记录'!$G$2:$G$2001,$C79,'原子事实记录'!$I$2:$I$2001,$E79,'原子事实记录'!$J$2:$J$2001,$F79,'原子事实记录'!$Q$2:$Q$2001,"是",'原子事实记录'!$R$2:$R$2001,"TP"))</f>
        <v/>
      </c>
      <c r="I79" s="5">
        <f>IF(COUNTA(A79:G79)&lt;7,"",COUNTIFS('原子事实记录'!$C$2:$C$2001,$D79,'原子事实记录'!$E$2:$E$2001,$A79,'原子事实记录'!$F$2:$F$2001,$B79,'原子事实记录'!$G$2:$G$2001,$C79,'原子事实记录'!$I$2:$I$2001,$E79,'原子事实记录'!$J$2:$J$2001,$F79,'原子事实记录'!$Q$2:$Q$2001,"是",'原子事实记录'!$R$2:$R$2001,"FP"))</f>
        <v/>
      </c>
      <c r="J79" s="5">
        <f>IF(COUNTA(A79:G79)&lt;7,"",COUNTIFS('原子事实记录'!$C$2:$C$2001,$D79,'原子事实记录'!$E$2:$E$2001,$A79,'原子事实记录'!$F$2:$F$2001,$B79,'原子事实记录'!$G$2:$G$2001,$C79,'原子事实记录'!$I$2:$I$2001,$E79,'原子事实记录'!$J$2:$J$2001,$F79,'原子事实记录'!$Q$2:$Q$2001,"是",'原子事实记录'!$R$2:$R$2001,"FN"))</f>
        <v/>
      </c>
      <c r="K79" s="5">
        <f>IF(COUNTA(A79:G79)&lt;7,"",COUNTIFS('原子事实记录'!$C$2:$C$2001,$D79,'原子事实记录'!$E$2:$E$2001,$A79,'原子事实记录'!$F$2:$F$2001,$B79,'原子事实记录'!$G$2:$G$2001,$C79,'原子事实记录'!$I$2:$I$2001,$E79,'原子事实记录'!$J$2:$J$2001,$F79,'原子事实记录'!$Q$2:$Q$2001,"是",'原子事实记录'!$R$2:$R$2001,"TN"))</f>
        <v/>
      </c>
      <c r="L79" s="5">
        <f>IF(COUNTA(A79:G79)&lt;7,"",COUNTIFS('原子事实记录'!$C$2:$C$2001,$D79,'原子事实记录'!$E$2:$E$2001,$A79,'原子事实记录'!$F$2:$F$2001,$B79,'原子事实记录'!$G$2:$G$2001,$C79,'原子事实记录'!$I$2:$I$2001,$E79,'原子事实记录'!$J$2:$J$2001,$F79,'原子事实记录'!$Q$2:$Q$2001,"是",'原子事实记录'!$R$2:$R$2001,"未知"))</f>
        <v/>
      </c>
      <c r="M79" s="3" t="n"/>
      <c r="N79" s="3" t="n"/>
      <c r="O79" s="5">
        <f>IF(OR(G79="",M79="",N79=""),"",M79+IF(G79="肯定主张正确率",H79,IF(G79="否定主张正确率",K79,IF(G79="灵敏度",H79,K79))))</f>
        <v/>
      </c>
      <c r="P79" s="5">
        <f>IF(OR(G79="",M79="",N79=""),"",N79+IF(G79="肯定主张正确率",I79,IF(G79="否定主张正确率",J79,IF(G79="灵敏度",J79,I79))))</f>
        <v/>
      </c>
      <c r="Q79" s="7">
        <f>IF(OR(O79="",P79=""),"",O79/(O79+P79))</f>
        <v/>
      </c>
      <c r="R79" s="7">
        <f>IF(Q79="","",BETA.INV(0.025,O79,P79))</f>
        <v/>
      </c>
      <c r="S79" s="7">
        <f>IF(Q79="","",BETA.INV(0.975,O79,P79))</f>
        <v/>
      </c>
      <c r="T79" s="5">
        <f>IF(OR(O79="",P79=""),"",O79+P79-M79-N79)</f>
        <v/>
      </c>
      <c r="U79" s="5">
        <f>IF(T79="","先填完整分组",IF(T79&lt;30,"样本太少：仅描述",IF(T79&lt;100,"只作试点候选","可进入独立验证")))</f>
        <v/>
      </c>
      <c r="V79" s="3" t="n"/>
      <c r="W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5">
        <f>IF(COUNTA(A80:G80)&lt;7,"",COUNTIFS('原子事实记录'!$C$2:$C$2001,$D80,'原子事实记录'!$E$2:$E$2001,$A80,'原子事实记录'!$F$2:$F$2001,$B80,'原子事实记录'!$G$2:$G$2001,$C80,'原子事实记录'!$I$2:$I$2001,$E80,'原子事实记录'!$J$2:$J$2001,$F80,'原子事实记录'!$Q$2:$Q$2001,"是",'原子事实记录'!$R$2:$R$2001,"TP"))</f>
        <v/>
      </c>
      <c r="I80" s="5">
        <f>IF(COUNTA(A80:G80)&lt;7,"",COUNTIFS('原子事实记录'!$C$2:$C$2001,$D80,'原子事实记录'!$E$2:$E$2001,$A80,'原子事实记录'!$F$2:$F$2001,$B80,'原子事实记录'!$G$2:$G$2001,$C80,'原子事实记录'!$I$2:$I$2001,$E80,'原子事实记录'!$J$2:$J$2001,$F80,'原子事实记录'!$Q$2:$Q$2001,"是",'原子事实记录'!$R$2:$R$2001,"FP"))</f>
        <v/>
      </c>
      <c r="J80" s="5">
        <f>IF(COUNTA(A80:G80)&lt;7,"",COUNTIFS('原子事实记录'!$C$2:$C$2001,$D80,'原子事实记录'!$E$2:$E$2001,$A80,'原子事实记录'!$F$2:$F$2001,$B80,'原子事实记录'!$G$2:$G$2001,$C80,'原子事实记录'!$I$2:$I$2001,$E80,'原子事实记录'!$J$2:$J$2001,$F80,'原子事实记录'!$Q$2:$Q$2001,"是",'原子事实记录'!$R$2:$R$2001,"FN"))</f>
        <v/>
      </c>
      <c r="K80" s="5">
        <f>IF(COUNTA(A80:G80)&lt;7,"",COUNTIFS('原子事实记录'!$C$2:$C$2001,$D80,'原子事实记录'!$E$2:$E$2001,$A80,'原子事实记录'!$F$2:$F$2001,$B80,'原子事实记录'!$G$2:$G$2001,$C80,'原子事实记录'!$I$2:$I$2001,$E80,'原子事实记录'!$J$2:$J$2001,$F80,'原子事实记录'!$Q$2:$Q$2001,"是",'原子事实记录'!$R$2:$R$2001,"TN"))</f>
        <v/>
      </c>
      <c r="L80" s="5">
        <f>IF(COUNTA(A80:G80)&lt;7,"",COUNTIFS('原子事实记录'!$C$2:$C$2001,$D80,'原子事实记录'!$E$2:$E$2001,$A80,'原子事实记录'!$F$2:$F$2001,$B80,'原子事实记录'!$G$2:$G$2001,$C80,'原子事实记录'!$I$2:$I$2001,$E80,'原子事实记录'!$J$2:$J$2001,$F80,'原子事实记录'!$Q$2:$Q$2001,"是",'原子事实记录'!$R$2:$R$2001,"未知"))</f>
        <v/>
      </c>
      <c r="M80" s="3" t="n"/>
      <c r="N80" s="3" t="n"/>
      <c r="O80" s="5">
        <f>IF(OR(G80="",M80="",N80=""),"",M80+IF(G80="肯定主张正确率",H80,IF(G80="否定主张正确率",K80,IF(G80="灵敏度",H80,K80))))</f>
        <v/>
      </c>
      <c r="P80" s="5">
        <f>IF(OR(G80="",M80="",N80=""),"",N80+IF(G80="肯定主张正确率",I80,IF(G80="否定主张正确率",J80,IF(G80="灵敏度",J80,I80))))</f>
        <v/>
      </c>
      <c r="Q80" s="7">
        <f>IF(OR(O80="",P80=""),"",O80/(O80+P80))</f>
        <v/>
      </c>
      <c r="R80" s="7">
        <f>IF(Q80="","",BETA.INV(0.025,O80,P80))</f>
        <v/>
      </c>
      <c r="S80" s="7">
        <f>IF(Q80="","",BETA.INV(0.975,O80,P80))</f>
        <v/>
      </c>
      <c r="T80" s="5">
        <f>IF(OR(O80="",P80=""),"",O80+P80-M80-N80)</f>
        <v/>
      </c>
      <c r="U80" s="5">
        <f>IF(T80="","先填完整分组",IF(T80&lt;30,"样本太少：仅描述",IF(T80&lt;100,"只作试点候选","可进入独立验证")))</f>
        <v/>
      </c>
      <c r="V80" s="3" t="n"/>
      <c r="W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5">
        <f>IF(COUNTA(A81:G81)&lt;7,"",COUNTIFS('原子事实记录'!$C$2:$C$2001,$D81,'原子事实记录'!$E$2:$E$2001,$A81,'原子事实记录'!$F$2:$F$2001,$B81,'原子事实记录'!$G$2:$G$2001,$C81,'原子事实记录'!$I$2:$I$2001,$E81,'原子事实记录'!$J$2:$J$2001,$F81,'原子事实记录'!$Q$2:$Q$2001,"是",'原子事实记录'!$R$2:$R$2001,"TP"))</f>
        <v/>
      </c>
      <c r="I81" s="5">
        <f>IF(COUNTA(A81:G81)&lt;7,"",COUNTIFS('原子事实记录'!$C$2:$C$2001,$D81,'原子事实记录'!$E$2:$E$2001,$A81,'原子事实记录'!$F$2:$F$2001,$B81,'原子事实记录'!$G$2:$G$2001,$C81,'原子事实记录'!$I$2:$I$2001,$E81,'原子事实记录'!$J$2:$J$2001,$F81,'原子事实记录'!$Q$2:$Q$2001,"是",'原子事实记录'!$R$2:$R$2001,"FP"))</f>
        <v/>
      </c>
      <c r="J81" s="5">
        <f>IF(COUNTA(A81:G81)&lt;7,"",COUNTIFS('原子事实记录'!$C$2:$C$2001,$D81,'原子事实记录'!$E$2:$E$2001,$A81,'原子事实记录'!$F$2:$F$2001,$B81,'原子事实记录'!$G$2:$G$2001,$C81,'原子事实记录'!$I$2:$I$2001,$E81,'原子事实记录'!$J$2:$J$2001,$F81,'原子事实记录'!$Q$2:$Q$2001,"是",'原子事实记录'!$R$2:$R$2001,"FN"))</f>
        <v/>
      </c>
      <c r="K81" s="5">
        <f>IF(COUNTA(A81:G81)&lt;7,"",COUNTIFS('原子事实记录'!$C$2:$C$2001,$D81,'原子事实记录'!$E$2:$E$2001,$A81,'原子事实记录'!$F$2:$F$2001,$B81,'原子事实记录'!$G$2:$G$2001,$C81,'原子事实记录'!$I$2:$I$2001,$E81,'原子事实记录'!$J$2:$J$2001,$F81,'原子事实记录'!$Q$2:$Q$2001,"是",'原子事实记录'!$R$2:$R$2001,"TN"))</f>
        <v/>
      </c>
      <c r="L81" s="5">
        <f>IF(COUNTA(A81:G81)&lt;7,"",COUNTIFS('原子事实记录'!$C$2:$C$2001,$D81,'原子事实记录'!$E$2:$E$2001,$A81,'原子事实记录'!$F$2:$F$2001,$B81,'原子事实记录'!$G$2:$G$2001,$C81,'原子事实记录'!$I$2:$I$2001,$E81,'原子事实记录'!$J$2:$J$2001,$F81,'原子事实记录'!$Q$2:$Q$2001,"是",'原子事实记录'!$R$2:$R$2001,"未知"))</f>
        <v/>
      </c>
      <c r="M81" s="3" t="n"/>
      <c r="N81" s="3" t="n"/>
      <c r="O81" s="5">
        <f>IF(OR(G81="",M81="",N81=""),"",M81+IF(G81="肯定主张正确率",H81,IF(G81="否定主张正确率",K81,IF(G81="灵敏度",H81,K81))))</f>
        <v/>
      </c>
      <c r="P81" s="5">
        <f>IF(OR(G81="",M81="",N81=""),"",N81+IF(G81="肯定主张正确率",I81,IF(G81="否定主张正确率",J81,IF(G81="灵敏度",J81,I81))))</f>
        <v/>
      </c>
      <c r="Q81" s="7">
        <f>IF(OR(O81="",P81=""),"",O81/(O81+P81))</f>
        <v/>
      </c>
      <c r="R81" s="7">
        <f>IF(Q81="","",BETA.INV(0.025,O81,P81))</f>
        <v/>
      </c>
      <c r="S81" s="7">
        <f>IF(Q81="","",BETA.INV(0.975,O81,P81))</f>
        <v/>
      </c>
      <c r="T81" s="5">
        <f>IF(OR(O81="",P81=""),"",O81+P81-M81-N81)</f>
        <v/>
      </c>
      <c r="U81" s="5">
        <f>IF(T81="","先填完整分组",IF(T81&lt;30,"样本太少：仅描述",IF(T81&lt;100,"只作试点候选","可进入独立验证")))</f>
        <v/>
      </c>
      <c r="V81" s="3" t="n"/>
      <c r="W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5">
        <f>IF(COUNTA(A82:G82)&lt;7,"",COUNTIFS('原子事实记录'!$C$2:$C$2001,$D82,'原子事实记录'!$E$2:$E$2001,$A82,'原子事实记录'!$F$2:$F$2001,$B82,'原子事实记录'!$G$2:$G$2001,$C82,'原子事实记录'!$I$2:$I$2001,$E82,'原子事实记录'!$J$2:$J$2001,$F82,'原子事实记录'!$Q$2:$Q$2001,"是",'原子事实记录'!$R$2:$R$2001,"TP"))</f>
        <v/>
      </c>
      <c r="I82" s="5">
        <f>IF(COUNTA(A82:G82)&lt;7,"",COUNTIFS('原子事实记录'!$C$2:$C$2001,$D82,'原子事实记录'!$E$2:$E$2001,$A82,'原子事实记录'!$F$2:$F$2001,$B82,'原子事实记录'!$G$2:$G$2001,$C82,'原子事实记录'!$I$2:$I$2001,$E82,'原子事实记录'!$J$2:$J$2001,$F82,'原子事实记录'!$Q$2:$Q$2001,"是",'原子事实记录'!$R$2:$R$2001,"FP"))</f>
        <v/>
      </c>
      <c r="J82" s="5">
        <f>IF(COUNTA(A82:G82)&lt;7,"",COUNTIFS('原子事实记录'!$C$2:$C$2001,$D82,'原子事实记录'!$E$2:$E$2001,$A82,'原子事实记录'!$F$2:$F$2001,$B82,'原子事实记录'!$G$2:$G$2001,$C82,'原子事实记录'!$I$2:$I$2001,$E82,'原子事实记录'!$J$2:$J$2001,$F82,'原子事实记录'!$Q$2:$Q$2001,"是",'原子事实记录'!$R$2:$R$2001,"FN"))</f>
        <v/>
      </c>
      <c r="K82" s="5">
        <f>IF(COUNTA(A82:G82)&lt;7,"",COUNTIFS('原子事实记录'!$C$2:$C$2001,$D82,'原子事实记录'!$E$2:$E$2001,$A82,'原子事实记录'!$F$2:$F$2001,$B82,'原子事实记录'!$G$2:$G$2001,$C82,'原子事实记录'!$I$2:$I$2001,$E82,'原子事实记录'!$J$2:$J$2001,$F82,'原子事实记录'!$Q$2:$Q$2001,"是",'原子事实记录'!$R$2:$R$2001,"TN"))</f>
        <v/>
      </c>
      <c r="L82" s="5">
        <f>IF(COUNTA(A82:G82)&lt;7,"",COUNTIFS('原子事实记录'!$C$2:$C$2001,$D82,'原子事实记录'!$E$2:$E$2001,$A82,'原子事实记录'!$F$2:$F$2001,$B82,'原子事实记录'!$G$2:$G$2001,$C82,'原子事实记录'!$I$2:$I$2001,$E82,'原子事实记录'!$J$2:$J$2001,$F82,'原子事实记录'!$Q$2:$Q$2001,"是",'原子事实记录'!$R$2:$R$2001,"未知"))</f>
        <v/>
      </c>
      <c r="M82" s="3" t="n"/>
      <c r="N82" s="3" t="n"/>
      <c r="O82" s="5">
        <f>IF(OR(G82="",M82="",N82=""),"",M82+IF(G82="肯定主张正确率",H82,IF(G82="否定主张正确率",K82,IF(G82="灵敏度",H82,K82))))</f>
        <v/>
      </c>
      <c r="P82" s="5">
        <f>IF(OR(G82="",M82="",N82=""),"",N82+IF(G82="肯定主张正确率",I82,IF(G82="否定主张正确率",J82,IF(G82="灵敏度",J82,I82))))</f>
        <v/>
      </c>
      <c r="Q82" s="7">
        <f>IF(OR(O82="",P82=""),"",O82/(O82+P82))</f>
        <v/>
      </c>
      <c r="R82" s="7">
        <f>IF(Q82="","",BETA.INV(0.025,O82,P82))</f>
        <v/>
      </c>
      <c r="S82" s="7">
        <f>IF(Q82="","",BETA.INV(0.975,O82,P82))</f>
        <v/>
      </c>
      <c r="T82" s="5">
        <f>IF(OR(O82="",P82=""),"",O82+P82-M82-N82)</f>
        <v/>
      </c>
      <c r="U82" s="5">
        <f>IF(T82="","先填完整分组",IF(T82&lt;30,"样本太少：仅描述",IF(T82&lt;100,"只作试点候选","可进入独立验证")))</f>
        <v/>
      </c>
      <c r="V82" s="3" t="n"/>
      <c r="W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5">
        <f>IF(COUNTA(A83:G83)&lt;7,"",COUNTIFS('原子事实记录'!$C$2:$C$2001,$D83,'原子事实记录'!$E$2:$E$2001,$A83,'原子事实记录'!$F$2:$F$2001,$B83,'原子事实记录'!$G$2:$G$2001,$C83,'原子事实记录'!$I$2:$I$2001,$E83,'原子事实记录'!$J$2:$J$2001,$F83,'原子事实记录'!$Q$2:$Q$2001,"是",'原子事实记录'!$R$2:$R$2001,"TP"))</f>
        <v/>
      </c>
      <c r="I83" s="5">
        <f>IF(COUNTA(A83:G83)&lt;7,"",COUNTIFS('原子事实记录'!$C$2:$C$2001,$D83,'原子事实记录'!$E$2:$E$2001,$A83,'原子事实记录'!$F$2:$F$2001,$B83,'原子事实记录'!$G$2:$G$2001,$C83,'原子事实记录'!$I$2:$I$2001,$E83,'原子事实记录'!$J$2:$J$2001,$F83,'原子事实记录'!$Q$2:$Q$2001,"是",'原子事实记录'!$R$2:$R$2001,"FP"))</f>
        <v/>
      </c>
      <c r="J83" s="5">
        <f>IF(COUNTA(A83:G83)&lt;7,"",COUNTIFS('原子事实记录'!$C$2:$C$2001,$D83,'原子事实记录'!$E$2:$E$2001,$A83,'原子事实记录'!$F$2:$F$2001,$B83,'原子事实记录'!$G$2:$G$2001,$C83,'原子事实记录'!$I$2:$I$2001,$E83,'原子事实记录'!$J$2:$J$2001,$F83,'原子事实记录'!$Q$2:$Q$2001,"是",'原子事实记录'!$R$2:$R$2001,"FN"))</f>
        <v/>
      </c>
      <c r="K83" s="5">
        <f>IF(COUNTA(A83:G83)&lt;7,"",COUNTIFS('原子事实记录'!$C$2:$C$2001,$D83,'原子事实记录'!$E$2:$E$2001,$A83,'原子事实记录'!$F$2:$F$2001,$B83,'原子事实记录'!$G$2:$G$2001,$C83,'原子事实记录'!$I$2:$I$2001,$E83,'原子事实记录'!$J$2:$J$2001,$F83,'原子事实记录'!$Q$2:$Q$2001,"是",'原子事实记录'!$R$2:$R$2001,"TN"))</f>
        <v/>
      </c>
      <c r="L83" s="5">
        <f>IF(COUNTA(A83:G83)&lt;7,"",COUNTIFS('原子事实记录'!$C$2:$C$2001,$D83,'原子事实记录'!$E$2:$E$2001,$A83,'原子事实记录'!$F$2:$F$2001,$B83,'原子事实记录'!$G$2:$G$2001,$C83,'原子事实记录'!$I$2:$I$2001,$E83,'原子事实记录'!$J$2:$J$2001,$F83,'原子事实记录'!$Q$2:$Q$2001,"是",'原子事实记录'!$R$2:$R$2001,"未知"))</f>
        <v/>
      </c>
      <c r="M83" s="3" t="n"/>
      <c r="N83" s="3" t="n"/>
      <c r="O83" s="5">
        <f>IF(OR(G83="",M83="",N83=""),"",M83+IF(G83="肯定主张正确率",H83,IF(G83="否定主张正确率",K83,IF(G83="灵敏度",H83,K83))))</f>
        <v/>
      </c>
      <c r="P83" s="5">
        <f>IF(OR(G83="",M83="",N83=""),"",N83+IF(G83="肯定主张正确率",I83,IF(G83="否定主张正确率",J83,IF(G83="灵敏度",J83,I83))))</f>
        <v/>
      </c>
      <c r="Q83" s="7">
        <f>IF(OR(O83="",P83=""),"",O83/(O83+P83))</f>
        <v/>
      </c>
      <c r="R83" s="7">
        <f>IF(Q83="","",BETA.INV(0.025,O83,P83))</f>
        <v/>
      </c>
      <c r="S83" s="7">
        <f>IF(Q83="","",BETA.INV(0.975,O83,P83))</f>
        <v/>
      </c>
      <c r="T83" s="5">
        <f>IF(OR(O83="",P83=""),"",O83+P83-M83-N83)</f>
        <v/>
      </c>
      <c r="U83" s="5">
        <f>IF(T83="","先填完整分组",IF(T83&lt;30,"样本太少：仅描述",IF(T83&lt;100,"只作试点候选","可进入独立验证")))</f>
        <v/>
      </c>
      <c r="V83" s="3" t="n"/>
      <c r="W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5">
        <f>IF(COUNTA(A84:G84)&lt;7,"",COUNTIFS('原子事实记录'!$C$2:$C$2001,$D84,'原子事实记录'!$E$2:$E$2001,$A84,'原子事实记录'!$F$2:$F$2001,$B84,'原子事实记录'!$G$2:$G$2001,$C84,'原子事实记录'!$I$2:$I$2001,$E84,'原子事实记录'!$J$2:$J$2001,$F84,'原子事实记录'!$Q$2:$Q$2001,"是",'原子事实记录'!$R$2:$R$2001,"TP"))</f>
        <v/>
      </c>
      <c r="I84" s="5">
        <f>IF(COUNTA(A84:G84)&lt;7,"",COUNTIFS('原子事实记录'!$C$2:$C$2001,$D84,'原子事实记录'!$E$2:$E$2001,$A84,'原子事实记录'!$F$2:$F$2001,$B84,'原子事实记录'!$G$2:$G$2001,$C84,'原子事实记录'!$I$2:$I$2001,$E84,'原子事实记录'!$J$2:$J$2001,$F84,'原子事实记录'!$Q$2:$Q$2001,"是",'原子事实记录'!$R$2:$R$2001,"FP"))</f>
        <v/>
      </c>
      <c r="J84" s="5">
        <f>IF(COUNTA(A84:G84)&lt;7,"",COUNTIFS('原子事实记录'!$C$2:$C$2001,$D84,'原子事实记录'!$E$2:$E$2001,$A84,'原子事实记录'!$F$2:$F$2001,$B84,'原子事实记录'!$G$2:$G$2001,$C84,'原子事实记录'!$I$2:$I$2001,$E84,'原子事实记录'!$J$2:$J$2001,$F84,'原子事实记录'!$Q$2:$Q$2001,"是",'原子事实记录'!$R$2:$R$2001,"FN"))</f>
        <v/>
      </c>
      <c r="K84" s="5">
        <f>IF(COUNTA(A84:G84)&lt;7,"",COUNTIFS('原子事实记录'!$C$2:$C$2001,$D84,'原子事实记录'!$E$2:$E$2001,$A84,'原子事实记录'!$F$2:$F$2001,$B84,'原子事实记录'!$G$2:$G$2001,$C84,'原子事实记录'!$I$2:$I$2001,$E84,'原子事实记录'!$J$2:$J$2001,$F84,'原子事实记录'!$Q$2:$Q$2001,"是",'原子事实记录'!$R$2:$R$2001,"TN"))</f>
        <v/>
      </c>
      <c r="L84" s="5">
        <f>IF(COUNTA(A84:G84)&lt;7,"",COUNTIFS('原子事实记录'!$C$2:$C$2001,$D84,'原子事实记录'!$E$2:$E$2001,$A84,'原子事实记录'!$F$2:$F$2001,$B84,'原子事实记录'!$G$2:$G$2001,$C84,'原子事实记录'!$I$2:$I$2001,$E84,'原子事实记录'!$J$2:$J$2001,$F84,'原子事实记录'!$Q$2:$Q$2001,"是",'原子事实记录'!$R$2:$R$2001,"未知"))</f>
        <v/>
      </c>
      <c r="M84" s="3" t="n"/>
      <c r="N84" s="3" t="n"/>
      <c r="O84" s="5">
        <f>IF(OR(G84="",M84="",N84=""),"",M84+IF(G84="肯定主张正确率",H84,IF(G84="否定主张正确率",K84,IF(G84="灵敏度",H84,K84))))</f>
        <v/>
      </c>
      <c r="P84" s="5">
        <f>IF(OR(G84="",M84="",N84=""),"",N84+IF(G84="肯定主张正确率",I84,IF(G84="否定主张正确率",J84,IF(G84="灵敏度",J84,I84))))</f>
        <v/>
      </c>
      <c r="Q84" s="7">
        <f>IF(OR(O84="",P84=""),"",O84/(O84+P84))</f>
        <v/>
      </c>
      <c r="R84" s="7">
        <f>IF(Q84="","",BETA.INV(0.025,O84,P84))</f>
        <v/>
      </c>
      <c r="S84" s="7">
        <f>IF(Q84="","",BETA.INV(0.975,O84,P84))</f>
        <v/>
      </c>
      <c r="T84" s="5">
        <f>IF(OR(O84="",P84=""),"",O84+P84-M84-N84)</f>
        <v/>
      </c>
      <c r="U84" s="5">
        <f>IF(T84="","先填完整分组",IF(T84&lt;30,"样本太少：仅描述",IF(T84&lt;100,"只作试点候选","可进入独立验证")))</f>
        <v/>
      </c>
      <c r="V84" s="3" t="n"/>
      <c r="W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5">
        <f>IF(COUNTA(A85:G85)&lt;7,"",COUNTIFS('原子事实记录'!$C$2:$C$2001,$D85,'原子事实记录'!$E$2:$E$2001,$A85,'原子事实记录'!$F$2:$F$2001,$B85,'原子事实记录'!$G$2:$G$2001,$C85,'原子事实记录'!$I$2:$I$2001,$E85,'原子事实记录'!$J$2:$J$2001,$F85,'原子事实记录'!$Q$2:$Q$2001,"是",'原子事实记录'!$R$2:$R$2001,"TP"))</f>
        <v/>
      </c>
      <c r="I85" s="5">
        <f>IF(COUNTA(A85:G85)&lt;7,"",COUNTIFS('原子事实记录'!$C$2:$C$2001,$D85,'原子事实记录'!$E$2:$E$2001,$A85,'原子事实记录'!$F$2:$F$2001,$B85,'原子事实记录'!$G$2:$G$2001,$C85,'原子事实记录'!$I$2:$I$2001,$E85,'原子事实记录'!$J$2:$J$2001,$F85,'原子事实记录'!$Q$2:$Q$2001,"是",'原子事实记录'!$R$2:$R$2001,"FP"))</f>
        <v/>
      </c>
      <c r="J85" s="5">
        <f>IF(COUNTA(A85:G85)&lt;7,"",COUNTIFS('原子事实记录'!$C$2:$C$2001,$D85,'原子事实记录'!$E$2:$E$2001,$A85,'原子事实记录'!$F$2:$F$2001,$B85,'原子事实记录'!$G$2:$G$2001,$C85,'原子事实记录'!$I$2:$I$2001,$E85,'原子事实记录'!$J$2:$J$2001,$F85,'原子事实记录'!$Q$2:$Q$2001,"是",'原子事实记录'!$R$2:$R$2001,"FN"))</f>
        <v/>
      </c>
      <c r="K85" s="5">
        <f>IF(COUNTA(A85:G85)&lt;7,"",COUNTIFS('原子事实记录'!$C$2:$C$2001,$D85,'原子事实记录'!$E$2:$E$2001,$A85,'原子事实记录'!$F$2:$F$2001,$B85,'原子事实记录'!$G$2:$G$2001,$C85,'原子事实记录'!$I$2:$I$2001,$E85,'原子事实记录'!$J$2:$J$2001,$F85,'原子事实记录'!$Q$2:$Q$2001,"是",'原子事实记录'!$R$2:$R$2001,"TN"))</f>
        <v/>
      </c>
      <c r="L85" s="5">
        <f>IF(COUNTA(A85:G85)&lt;7,"",COUNTIFS('原子事实记录'!$C$2:$C$2001,$D85,'原子事实记录'!$E$2:$E$2001,$A85,'原子事实记录'!$F$2:$F$2001,$B85,'原子事实记录'!$G$2:$G$2001,$C85,'原子事实记录'!$I$2:$I$2001,$E85,'原子事实记录'!$J$2:$J$2001,$F85,'原子事实记录'!$Q$2:$Q$2001,"是",'原子事实记录'!$R$2:$R$2001,"未知"))</f>
        <v/>
      </c>
      <c r="M85" s="3" t="n"/>
      <c r="N85" s="3" t="n"/>
      <c r="O85" s="5">
        <f>IF(OR(G85="",M85="",N85=""),"",M85+IF(G85="肯定主张正确率",H85,IF(G85="否定主张正确率",K85,IF(G85="灵敏度",H85,K85))))</f>
        <v/>
      </c>
      <c r="P85" s="5">
        <f>IF(OR(G85="",M85="",N85=""),"",N85+IF(G85="肯定主张正确率",I85,IF(G85="否定主张正确率",J85,IF(G85="灵敏度",J85,I85))))</f>
        <v/>
      </c>
      <c r="Q85" s="7">
        <f>IF(OR(O85="",P85=""),"",O85/(O85+P85))</f>
        <v/>
      </c>
      <c r="R85" s="7">
        <f>IF(Q85="","",BETA.INV(0.025,O85,P85))</f>
        <v/>
      </c>
      <c r="S85" s="7">
        <f>IF(Q85="","",BETA.INV(0.975,O85,P85))</f>
        <v/>
      </c>
      <c r="T85" s="5">
        <f>IF(OR(O85="",P85=""),"",O85+P85-M85-N85)</f>
        <v/>
      </c>
      <c r="U85" s="5">
        <f>IF(T85="","先填完整分组",IF(T85&lt;30,"样本太少：仅描述",IF(T85&lt;100,"只作试点候选","可进入独立验证")))</f>
        <v/>
      </c>
      <c r="V85" s="3" t="n"/>
      <c r="W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5">
        <f>IF(COUNTA(A86:G86)&lt;7,"",COUNTIFS('原子事实记录'!$C$2:$C$2001,$D86,'原子事实记录'!$E$2:$E$2001,$A86,'原子事实记录'!$F$2:$F$2001,$B86,'原子事实记录'!$G$2:$G$2001,$C86,'原子事实记录'!$I$2:$I$2001,$E86,'原子事实记录'!$J$2:$J$2001,$F86,'原子事实记录'!$Q$2:$Q$2001,"是",'原子事实记录'!$R$2:$R$2001,"TP"))</f>
        <v/>
      </c>
      <c r="I86" s="5">
        <f>IF(COUNTA(A86:G86)&lt;7,"",COUNTIFS('原子事实记录'!$C$2:$C$2001,$D86,'原子事实记录'!$E$2:$E$2001,$A86,'原子事实记录'!$F$2:$F$2001,$B86,'原子事实记录'!$G$2:$G$2001,$C86,'原子事实记录'!$I$2:$I$2001,$E86,'原子事实记录'!$J$2:$J$2001,$F86,'原子事实记录'!$Q$2:$Q$2001,"是",'原子事实记录'!$R$2:$R$2001,"FP"))</f>
        <v/>
      </c>
      <c r="J86" s="5">
        <f>IF(COUNTA(A86:G86)&lt;7,"",COUNTIFS('原子事实记录'!$C$2:$C$2001,$D86,'原子事实记录'!$E$2:$E$2001,$A86,'原子事实记录'!$F$2:$F$2001,$B86,'原子事实记录'!$G$2:$G$2001,$C86,'原子事实记录'!$I$2:$I$2001,$E86,'原子事实记录'!$J$2:$J$2001,$F86,'原子事实记录'!$Q$2:$Q$2001,"是",'原子事实记录'!$R$2:$R$2001,"FN"))</f>
        <v/>
      </c>
      <c r="K86" s="5">
        <f>IF(COUNTA(A86:G86)&lt;7,"",COUNTIFS('原子事实记录'!$C$2:$C$2001,$D86,'原子事实记录'!$E$2:$E$2001,$A86,'原子事实记录'!$F$2:$F$2001,$B86,'原子事实记录'!$G$2:$G$2001,$C86,'原子事实记录'!$I$2:$I$2001,$E86,'原子事实记录'!$J$2:$J$2001,$F86,'原子事实记录'!$Q$2:$Q$2001,"是",'原子事实记录'!$R$2:$R$2001,"TN"))</f>
        <v/>
      </c>
      <c r="L86" s="5">
        <f>IF(COUNTA(A86:G86)&lt;7,"",COUNTIFS('原子事实记录'!$C$2:$C$2001,$D86,'原子事实记录'!$E$2:$E$2001,$A86,'原子事实记录'!$F$2:$F$2001,$B86,'原子事实记录'!$G$2:$G$2001,$C86,'原子事实记录'!$I$2:$I$2001,$E86,'原子事实记录'!$J$2:$J$2001,$F86,'原子事实记录'!$Q$2:$Q$2001,"是",'原子事实记录'!$R$2:$R$2001,"未知"))</f>
        <v/>
      </c>
      <c r="M86" s="3" t="n"/>
      <c r="N86" s="3" t="n"/>
      <c r="O86" s="5">
        <f>IF(OR(G86="",M86="",N86=""),"",M86+IF(G86="肯定主张正确率",H86,IF(G86="否定主张正确率",K86,IF(G86="灵敏度",H86,K86))))</f>
        <v/>
      </c>
      <c r="P86" s="5">
        <f>IF(OR(G86="",M86="",N86=""),"",N86+IF(G86="肯定主张正确率",I86,IF(G86="否定主张正确率",J86,IF(G86="灵敏度",J86,I86))))</f>
        <v/>
      </c>
      <c r="Q86" s="7">
        <f>IF(OR(O86="",P86=""),"",O86/(O86+P86))</f>
        <v/>
      </c>
      <c r="R86" s="7">
        <f>IF(Q86="","",BETA.INV(0.025,O86,P86))</f>
        <v/>
      </c>
      <c r="S86" s="7">
        <f>IF(Q86="","",BETA.INV(0.975,O86,P86))</f>
        <v/>
      </c>
      <c r="T86" s="5">
        <f>IF(OR(O86="",P86=""),"",O86+P86-M86-N86)</f>
        <v/>
      </c>
      <c r="U86" s="5">
        <f>IF(T86="","先填完整分组",IF(T86&lt;30,"样本太少：仅描述",IF(T86&lt;100,"只作试点候选","可进入独立验证")))</f>
        <v/>
      </c>
      <c r="V86" s="3" t="n"/>
      <c r="W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5">
        <f>IF(COUNTA(A87:G87)&lt;7,"",COUNTIFS('原子事实记录'!$C$2:$C$2001,$D87,'原子事实记录'!$E$2:$E$2001,$A87,'原子事实记录'!$F$2:$F$2001,$B87,'原子事实记录'!$G$2:$G$2001,$C87,'原子事实记录'!$I$2:$I$2001,$E87,'原子事实记录'!$J$2:$J$2001,$F87,'原子事实记录'!$Q$2:$Q$2001,"是",'原子事实记录'!$R$2:$R$2001,"TP"))</f>
        <v/>
      </c>
      <c r="I87" s="5">
        <f>IF(COUNTA(A87:G87)&lt;7,"",COUNTIFS('原子事实记录'!$C$2:$C$2001,$D87,'原子事实记录'!$E$2:$E$2001,$A87,'原子事实记录'!$F$2:$F$2001,$B87,'原子事实记录'!$G$2:$G$2001,$C87,'原子事实记录'!$I$2:$I$2001,$E87,'原子事实记录'!$J$2:$J$2001,$F87,'原子事实记录'!$Q$2:$Q$2001,"是",'原子事实记录'!$R$2:$R$2001,"FP"))</f>
        <v/>
      </c>
      <c r="J87" s="5">
        <f>IF(COUNTA(A87:G87)&lt;7,"",COUNTIFS('原子事实记录'!$C$2:$C$2001,$D87,'原子事实记录'!$E$2:$E$2001,$A87,'原子事实记录'!$F$2:$F$2001,$B87,'原子事实记录'!$G$2:$G$2001,$C87,'原子事实记录'!$I$2:$I$2001,$E87,'原子事实记录'!$J$2:$J$2001,$F87,'原子事实记录'!$Q$2:$Q$2001,"是",'原子事实记录'!$R$2:$R$2001,"FN"))</f>
        <v/>
      </c>
      <c r="K87" s="5">
        <f>IF(COUNTA(A87:G87)&lt;7,"",COUNTIFS('原子事实记录'!$C$2:$C$2001,$D87,'原子事实记录'!$E$2:$E$2001,$A87,'原子事实记录'!$F$2:$F$2001,$B87,'原子事实记录'!$G$2:$G$2001,$C87,'原子事实记录'!$I$2:$I$2001,$E87,'原子事实记录'!$J$2:$J$2001,$F87,'原子事实记录'!$Q$2:$Q$2001,"是",'原子事实记录'!$R$2:$R$2001,"TN"))</f>
        <v/>
      </c>
      <c r="L87" s="5">
        <f>IF(COUNTA(A87:G87)&lt;7,"",COUNTIFS('原子事实记录'!$C$2:$C$2001,$D87,'原子事实记录'!$E$2:$E$2001,$A87,'原子事实记录'!$F$2:$F$2001,$B87,'原子事实记录'!$G$2:$G$2001,$C87,'原子事实记录'!$I$2:$I$2001,$E87,'原子事实记录'!$J$2:$J$2001,$F87,'原子事实记录'!$Q$2:$Q$2001,"是",'原子事实记录'!$R$2:$R$2001,"未知"))</f>
        <v/>
      </c>
      <c r="M87" s="3" t="n"/>
      <c r="N87" s="3" t="n"/>
      <c r="O87" s="5">
        <f>IF(OR(G87="",M87="",N87=""),"",M87+IF(G87="肯定主张正确率",H87,IF(G87="否定主张正确率",K87,IF(G87="灵敏度",H87,K87))))</f>
        <v/>
      </c>
      <c r="P87" s="5">
        <f>IF(OR(G87="",M87="",N87=""),"",N87+IF(G87="肯定主张正确率",I87,IF(G87="否定主张正确率",J87,IF(G87="灵敏度",J87,I87))))</f>
        <v/>
      </c>
      <c r="Q87" s="7">
        <f>IF(OR(O87="",P87=""),"",O87/(O87+P87))</f>
        <v/>
      </c>
      <c r="R87" s="7">
        <f>IF(Q87="","",BETA.INV(0.025,O87,P87))</f>
        <v/>
      </c>
      <c r="S87" s="7">
        <f>IF(Q87="","",BETA.INV(0.975,O87,P87))</f>
        <v/>
      </c>
      <c r="T87" s="5">
        <f>IF(OR(O87="",P87=""),"",O87+P87-M87-N87)</f>
        <v/>
      </c>
      <c r="U87" s="5">
        <f>IF(T87="","先填完整分组",IF(T87&lt;30,"样本太少：仅描述",IF(T87&lt;100,"只作试点候选","可进入独立验证")))</f>
        <v/>
      </c>
      <c r="V87" s="3" t="n"/>
      <c r="W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5">
        <f>IF(COUNTA(A88:G88)&lt;7,"",COUNTIFS('原子事实记录'!$C$2:$C$2001,$D88,'原子事实记录'!$E$2:$E$2001,$A88,'原子事实记录'!$F$2:$F$2001,$B88,'原子事实记录'!$G$2:$G$2001,$C88,'原子事实记录'!$I$2:$I$2001,$E88,'原子事实记录'!$J$2:$J$2001,$F88,'原子事实记录'!$Q$2:$Q$2001,"是",'原子事实记录'!$R$2:$R$2001,"TP"))</f>
        <v/>
      </c>
      <c r="I88" s="5">
        <f>IF(COUNTA(A88:G88)&lt;7,"",COUNTIFS('原子事实记录'!$C$2:$C$2001,$D88,'原子事实记录'!$E$2:$E$2001,$A88,'原子事实记录'!$F$2:$F$2001,$B88,'原子事实记录'!$G$2:$G$2001,$C88,'原子事实记录'!$I$2:$I$2001,$E88,'原子事实记录'!$J$2:$J$2001,$F88,'原子事实记录'!$Q$2:$Q$2001,"是",'原子事实记录'!$R$2:$R$2001,"FP"))</f>
        <v/>
      </c>
      <c r="J88" s="5">
        <f>IF(COUNTA(A88:G88)&lt;7,"",COUNTIFS('原子事实记录'!$C$2:$C$2001,$D88,'原子事实记录'!$E$2:$E$2001,$A88,'原子事实记录'!$F$2:$F$2001,$B88,'原子事实记录'!$G$2:$G$2001,$C88,'原子事实记录'!$I$2:$I$2001,$E88,'原子事实记录'!$J$2:$J$2001,$F88,'原子事实记录'!$Q$2:$Q$2001,"是",'原子事实记录'!$R$2:$R$2001,"FN"))</f>
        <v/>
      </c>
      <c r="K88" s="5">
        <f>IF(COUNTA(A88:G88)&lt;7,"",COUNTIFS('原子事实记录'!$C$2:$C$2001,$D88,'原子事实记录'!$E$2:$E$2001,$A88,'原子事实记录'!$F$2:$F$2001,$B88,'原子事实记录'!$G$2:$G$2001,$C88,'原子事实记录'!$I$2:$I$2001,$E88,'原子事实记录'!$J$2:$J$2001,$F88,'原子事实记录'!$Q$2:$Q$2001,"是",'原子事实记录'!$R$2:$R$2001,"TN"))</f>
        <v/>
      </c>
      <c r="L88" s="5">
        <f>IF(COUNTA(A88:G88)&lt;7,"",COUNTIFS('原子事实记录'!$C$2:$C$2001,$D88,'原子事实记录'!$E$2:$E$2001,$A88,'原子事实记录'!$F$2:$F$2001,$B88,'原子事实记录'!$G$2:$G$2001,$C88,'原子事实记录'!$I$2:$I$2001,$E88,'原子事实记录'!$J$2:$J$2001,$F88,'原子事实记录'!$Q$2:$Q$2001,"是",'原子事实记录'!$R$2:$R$2001,"未知"))</f>
        <v/>
      </c>
      <c r="M88" s="3" t="n"/>
      <c r="N88" s="3" t="n"/>
      <c r="O88" s="5">
        <f>IF(OR(G88="",M88="",N88=""),"",M88+IF(G88="肯定主张正确率",H88,IF(G88="否定主张正确率",K88,IF(G88="灵敏度",H88,K88))))</f>
        <v/>
      </c>
      <c r="P88" s="5">
        <f>IF(OR(G88="",M88="",N88=""),"",N88+IF(G88="肯定主张正确率",I88,IF(G88="否定主张正确率",J88,IF(G88="灵敏度",J88,I88))))</f>
        <v/>
      </c>
      <c r="Q88" s="7">
        <f>IF(OR(O88="",P88=""),"",O88/(O88+P88))</f>
        <v/>
      </c>
      <c r="R88" s="7">
        <f>IF(Q88="","",BETA.INV(0.025,O88,P88))</f>
        <v/>
      </c>
      <c r="S88" s="7">
        <f>IF(Q88="","",BETA.INV(0.975,O88,P88))</f>
        <v/>
      </c>
      <c r="T88" s="5">
        <f>IF(OR(O88="",P88=""),"",O88+P88-M88-N88)</f>
        <v/>
      </c>
      <c r="U88" s="5">
        <f>IF(T88="","先填完整分组",IF(T88&lt;30,"样本太少：仅描述",IF(T88&lt;100,"只作试点候选","可进入独立验证")))</f>
        <v/>
      </c>
      <c r="V88" s="3" t="n"/>
      <c r="W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5">
        <f>IF(COUNTA(A89:G89)&lt;7,"",COUNTIFS('原子事实记录'!$C$2:$C$2001,$D89,'原子事实记录'!$E$2:$E$2001,$A89,'原子事实记录'!$F$2:$F$2001,$B89,'原子事实记录'!$G$2:$G$2001,$C89,'原子事实记录'!$I$2:$I$2001,$E89,'原子事实记录'!$J$2:$J$2001,$F89,'原子事实记录'!$Q$2:$Q$2001,"是",'原子事实记录'!$R$2:$R$2001,"TP"))</f>
        <v/>
      </c>
      <c r="I89" s="5">
        <f>IF(COUNTA(A89:G89)&lt;7,"",COUNTIFS('原子事实记录'!$C$2:$C$2001,$D89,'原子事实记录'!$E$2:$E$2001,$A89,'原子事实记录'!$F$2:$F$2001,$B89,'原子事实记录'!$G$2:$G$2001,$C89,'原子事实记录'!$I$2:$I$2001,$E89,'原子事实记录'!$J$2:$J$2001,$F89,'原子事实记录'!$Q$2:$Q$2001,"是",'原子事实记录'!$R$2:$R$2001,"FP"))</f>
        <v/>
      </c>
      <c r="J89" s="5">
        <f>IF(COUNTA(A89:G89)&lt;7,"",COUNTIFS('原子事实记录'!$C$2:$C$2001,$D89,'原子事实记录'!$E$2:$E$2001,$A89,'原子事实记录'!$F$2:$F$2001,$B89,'原子事实记录'!$G$2:$G$2001,$C89,'原子事实记录'!$I$2:$I$2001,$E89,'原子事实记录'!$J$2:$J$2001,$F89,'原子事实记录'!$Q$2:$Q$2001,"是",'原子事实记录'!$R$2:$R$2001,"FN"))</f>
        <v/>
      </c>
      <c r="K89" s="5">
        <f>IF(COUNTA(A89:G89)&lt;7,"",COUNTIFS('原子事实记录'!$C$2:$C$2001,$D89,'原子事实记录'!$E$2:$E$2001,$A89,'原子事实记录'!$F$2:$F$2001,$B89,'原子事实记录'!$G$2:$G$2001,$C89,'原子事实记录'!$I$2:$I$2001,$E89,'原子事实记录'!$J$2:$J$2001,$F89,'原子事实记录'!$Q$2:$Q$2001,"是",'原子事实记录'!$R$2:$R$2001,"TN"))</f>
        <v/>
      </c>
      <c r="L89" s="5">
        <f>IF(COUNTA(A89:G89)&lt;7,"",COUNTIFS('原子事实记录'!$C$2:$C$2001,$D89,'原子事实记录'!$E$2:$E$2001,$A89,'原子事实记录'!$F$2:$F$2001,$B89,'原子事实记录'!$G$2:$G$2001,$C89,'原子事实记录'!$I$2:$I$2001,$E89,'原子事实记录'!$J$2:$J$2001,$F89,'原子事实记录'!$Q$2:$Q$2001,"是",'原子事实记录'!$R$2:$R$2001,"未知"))</f>
        <v/>
      </c>
      <c r="M89" s="3" t="n"/>
      <c r="N89" s="3" t="n"/>
      <c r="O89" s="5">
        <f>IF(OR(G89="",M89="",N89=""),"",M89+IF(G89="肯定主张正确率",H89,IF(G89="否定主张正确率",K89,IF(G89="灵敏度",H89,K89))))</f>
        <v/>
      </c>
      <c r="P89" s="5">
        <f>IF(OR(G89="",M89="",N89=""),"",N89+IF(G89="肯定主张正确率",I89,IF(G89="否定主张正确率",J89,IF(G89="灵敏度",J89,I89))))</f>
        <v/>
      </c>
      <c r="Q89" s="7">
        <f>IF(OR(O89="",P89=""),"",O89/(O89+P89))</f>
        <v/>
      </c>
      <c r="R89" s="7">
        <f>IF(Q89="","",BETA.INV(0.025,O89,P89))</f>
        <v/>
      </c>
      <c r="S89" s="7">
        <f>IF(Q89="","",BETA.INV(0.975,O89,P89))</f>
        <v/>
      </c>
      <c r="T89" s="5">
        <f>IF(OR(O89="",P89=""),"",O89+P89-M89-N89)</f>
        <v/>
      </c>
      <c r="U89" s="5">
        <f>IF(T89="","先填完整分组",IF(T89&lt;30,"样本太少：仅描述",IF(T89&lt;100,"只作试点候选","可进入独立验证")))</f>
        <v/>
      </c>
      <c r="V89" s="3" t="n"/>
      <c r="W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5">
        <f>IF(COUNTA(A90:G90)&lt;7,"",COUNTIFS('原子事实记录'!$C$2:$C$2001,$D90,'原子事实记录'!$E$2:$E$2001,$A90,'原子事实记录'!$F$2:$F$2001,$B90,'原子事实记录'!$G$2:$G$2001,$C90,'原子事实记录'!$I$2:$I$2001,$E90,'原子事实记录'!$J$2:$J$2001,$F90,'原子事实记录'!$Q$2:$Q$2001,"是",'原子事实记录'!$R$2:$R$2001,"TP"))</f>
        <v/>
      </c>
      <c r="I90" s="5">
        <f>IF(COUNTA(A90:G90)&lt;7,"",COUNTIFS('原子事实记录'!$C$2:$C$2001,$D90,'原子事实记录'!$E$2:$E$2001,$A90,'原子事实记录'!$F$2:$F$2001,$B90,'原子事实记录'!$G$2:$G$2001,$C90,'原子事实记录'!$I$2:$I$2001,$E90,'原子事实记录'!$J$2:$J$2001,$F90,'原子事实记录'!$Q$2:$Q$2001,"是",'原子事实记录'!$R$2:$R$2001,"FP"))</f>
        <v/>
      </c>
      <c r="J90" s="5">
        <f>IF(COUNTA(A90:G90)&lt;7,"",COUNTIFS('原子事实记录'!$C$2:$C$2001,$D90,'原子事实记录'!$E$2:$E$2001,$A90,'原子事实记录'!$F$2:$F$2001,$B90,'原子事实记录'!$G$2:$G$2001,$C90,'原子事实记录'!$I$2:$I$2001,$E90,'原子事实记录'!$J$2:$J$2001,$F90,'原子事实记录'!$Q$2:$Q$2001,"是",'原子事实记录'!$R$2:$R$2001,"FN"))</f>
        <v/>
      </c>
      <c r="K90" s="5">
        <f>IF(COUNTA(A90:G90)&lt;7,"",COUNTIFS('原子事实记录'!$C$2:$C$2001,$D90,'原子事实记录'!$E$2:$E$2001,$A90,'原子事实记录'!$F$2:$F$2001,$B90,'原子事实记录'!$G$2:$G$2001,$C90,'原子事实记录'!$I$2:$I$2001,$E90,'原子事实记录'!$J$2:$J$2001,$F90,'原子事实记录'!$Q$2:$Q$2001,"是",'原子事实记录'!$R$2:$R$2001,"TN"))</f>
        <v/>
      </c>
      <c r="L90" s="5">
        <f>IF(COUNTA(A90:G90)&lt;7,"",COUNTIFS('原子事实记录'!$C$2:$C$2001,$D90,'原子事实记录'!$E$2:$E$2001,$A90,'原子事实记录'!$F$2:$F$2001,$B90,'原子事实记录'!$G$2:$G$2001,$C90,'原子事实记录'!$I$2:$I$2001,$E90,'原子事实记录'!$J$2:$J$2001,$F90,'原子事实记录'!$Q$2:$Q$2001,"是",'原子事实记录'!$R$2:$R$2001,"未知"))</f>
        <v/>
      </c>
      <c r="M90" s="3" t="n"/>
      <c r="N90" s="3" t="n"/>
      <c r="O90" s="5">
        <f>IF(OR(G90="",M90="",N90=""),"",M90+IF(G90="肯定主张正确率",H90,IF(G90="否定主张正确率",K90,IF(G90="灵敏度",H90,K90))))</f>
        <v/>
      </c>
      <c r="P90" s="5">
        <f>IF(OR(G90="",M90="",N90=""),"",N90+IF(G90="肯定主张正确率",I90,IF(G90="否定主张正确率",J90,IF(G90="灵敏度",J90,I90))))</f>
        <v/>
      </c>
      <c r="Q90" s="7">
        <f>IF(OR(O90="",P90=""),"",O90/(O90+P90))</f>
        <v/>
      </c>
      <c r="R90" s="7">
        <f>IF(Q90="","",BETA.INV(0.025,O90,P90))</f>
        <v/>
      </c>
      <c r="S90" s="7">
        <f>IF(Q90="","",BETA.INV(0.975,O90,P90))</f>
        <v/>
      </c>
      <c r="T90" s="5">
        <f>IF(OR(O90="",P90=""),"",O90+P90-M90-N90)</f>
        <v/>
      </c>
      <c r="U90" s="5">
        <f>IF(T90="","先填完整分组",IF(T90&lt;30,"样本太少：仅描述",IF(T90&lt;100,"只作试点候选","可进入独立验证")))</f>
        <v/>
      </c>
      <c r="V90" s="3" t="n"/>
      <c r="W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5">
        <f>IF(COUNTA(A91:G91)&lt;7,"",COUNTIFS('原子事实记录'!$C$2:$C$2001,$D91,'原子事实记录'!$E$2:$E$2001,$A91,'原子事实记录'!$F$2:$F$2001,$B91,'原子事实记录'!$G$2:$G$2001,$C91,'原子事实记录'!$I$2:$I$2001,$E91,'原子事实记录'!$J$2:$J$2001,$F91,'原子事实记录'!$Q$2:$Q$2001,"是",'原子事实记录'!$R$2:$R$2001,"TP"))</f>
        <v/>
      </c>
      <c r="I91" s="5">
        <f>IF(COUNTA(A91:G91)&lt;7,"",COUNTIFS('原子事实记录'!$C$2:$C$2001,$D91,'原子事实记录'!$E$2:$E$2001,$A91,'原子事实记录'!$F$2:$F$2001,$B91,'原子事实记录'!$G$2:$G$2001,$C91,'原子事实记录'!$I$2:$I$2001,$E91,'原子事实记录'!$J$2:$J$2001,$F91,'原子事实记录'!$Q$2:$Q$2001,"是",'原子事实记录'!$R$2:$R$2001,"FP"))</f>
        <v/>
      </c>
      <c r="J91" s="5">
        <f>IF(COUNTA(A91:G91)&lt;7,"",COUNTIFS('原子事实记录'!$C$2:$C$2001,$D91,'原子事实记录'!$E$2:$E$2001,$A91,'原子事实记录'!$F$2:$F$2001,$B91,'原子事实记录'!$G$2:$G$2001,$C91,'原子事实记录'!$I$2:$I$2001,$E91,'原子事实记录'!$J$2:$J$2001,$F91,'原子事实记录'!$Q$2:$Q$2001,"是",'原子事实记录'!$R$2:$R$2001,"FN"))</f>
        <v/>
      </c>
      <c r="K91" s="5">
        <f>IF(COUNTA(A91:G91)&lt;7,"",COUNTIFS('原子事实记录'!$C$2:$C$2001,$D91,'原子事实记录'!$E$2:$E$2001,$A91,'原子事实记录'!$F$2:$F$2001,$B91,'原子事实记录'!$G$2:$G$2001,$C91,'原子事实记录'!$I$2:$I$2001,$E91,'原子事实记录'!$J$2:$J$2001,$F91,'原子事实记录'!$Q$2:$Q$2001,"是",'原子事实记录'!$R$2:$R$2001,"TN"))</f>
        <v/>
      </c>
      <c r="L91" s="5">
        <f>IF(COUNTA(A91:G91)&lt;7,"",COUNTIFS('原子事实记录'!$C$2:$C$2001,$D91,'原子事实记录'!$E$2:$E$2001,$A91,'原子事实记录'!$F$2:$F$2001,$B91,'原子事实记录'!$G$2:$G$2001,$C91,'原子事实记录'!$I$2:$I$2001,$E91,'原子事实记录'!$J$2:$J$2001,$F91,'原子事实记录'!$Q$2:$Q$2001,"是",'原子事实记录'!$R$2:$R$2001,"未知"))</f>
        <v/>
      </c>
      <c r="M91" s="3" t="n"/>
      <c r="N91" s="3" t="n"/>
      <c r="O91" s="5">
        <f>IF(OR(G91="",M91="",N91=""),"",M91+IF(G91="肯定主张正确率",H91,IF(G91="否定主张正确率",K91,IF(G91="灵敏度",H91,K91))))</f>
        <v/>
      </c>
      <c r="P91" s="5">
        <f>IF(OR(G91="",M91="",N91=""),"",N91+IF(G91="肯定主张正确率",I91,IF(G91="否定主张正确率",J91,IF(G91="灵敏度",J91,I91))))</f>
        <v/>
      </c>
      <c r="Q91" s="7">
        <f>IF(OR(O91="",P91=""),"",O91/(O91+P91))</f>
        <v/>
      </c>
      <c r="R91" s="7">
        <f>IF(Q91="","",BETA.INV(0.025,O91,P91))</f>
        <v/>
      </c>
      <c r="S91" s="7">
        <f>IF(Q91="","",BETA.INV(0.975,O91,P91))</f>
        <v/>
      </c>
      <c r="T91" s="5">
        <f>IF(OR(O91="",P91=""),"",O91+P91-M91-N91)</f>
        <v/>
      </c>
      <c r="U91" s="5">
        <f>IF(T91="","先填完整分组",IF(T91&lt;30,"样本太少：仅描述",IF(T91&lt;100,"只作试点候选","可进入独立验证")))</f>
        <v/>
      </c>
      <c r="V91" s="3" t="n"/>
      <c r="W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5">
        <f>IF(COUNTA(A92:G92)&lt;7,"",COUNTIFS('原子事实记录'!$C$2:$C$2001,$D92,'原子事实记录'!$E$2:$E$2001,$A92,'原子事实记录'!$F$2:$F$2001,$B92,'原子事实记录'!$G$2:$G$2001,$C92,'原子事实记录'!$I$2:$I$2001,$E92,'原子事实记录'!$J$2:$J$2001,$F92,'原子事实记录'!$Q$2:$Q$2001,"是",'原子事实记录'!$R$2:$R$2001,"TP"))</f>
        <v/>
      </c>
      <c r="I92" s="5">
        <f>IF(COUNTA(A92:G92)&lt;7,"",COUNTIFS('原子事实记录'!$C$2:$C$2001,$D92,'原子事实记录'!$E$2:$E$2001,$A92,'原子事实记录'!$F$2:$F$2001,$B92,'原子事实记录'!$G$2:$G$2001,$C92,'原子事实记录'!$I$2:$I$2001,$E92,'原子事实记录'!$J$2:$J$2001,$F92,'原子事实记录'!$Q$2:$Q$2001,"是",'原子事实记录'!$R$2:$R$2001,"FP"))</f>
        <v/>
      </c>
      <c r="J92" s="5">
        <f>IF(COUNTA(A92:G92)&lt;7,"",COUNTIFS('原子事实记录'!$C$2:$C$2001,$D92,'原子事实记录'!$E$2:$E$2001,$A92,'原子事实记录'!$F$2:$F$2001,$B92,'原子事实记录'!$G$2:$G$2001,$C92,'原子事实记录'!$I$2:$I$2001,$E92,'原子事实记录'!$J$2:$J$2001,$F92,'原子事实记录'!$Q$2:$Q$2001,"是",'原子事实记录'!$R$2:$R$2001,"FN"))</f>
        <v/>
      </c>
      <c r="K92" s="5">
        <f>IF(COUNTA(A92:G92)&lt;7,"",COUNTIFS('原子事实记录'!$C$2:$C$2001,$D92,'原子事实记录'!$E$2:$E$2001,$A92,'原子事实记录'!$F$2:$F$2001,$B92,'原子事实记录'!$G$2:$G$2001,$C92,'原子事实记录'!$I$2:$I$2001,$E92,'原子事实记录'!$J$2:$J$2001,$F92,'原子事实记录'!$Q$2:$Q$2001,"是",'原子事实记录'!$R$2:$R$2001,"TN"))</f>
        <v/>
      </c>
      <c r="L92" s="5">
        <f>IF(COUNTA(A92:G92)&lt;7,"",COUNTIFS('原子事实记录'!$C$2:$C$2001,$D92,'原子事实记录'!$E$2:$E$2001,$A92,'原子事实记录'!$F$2:$F$2001,$B92,'原子事实记录'!$G$2:$G$2001,$C92,'原子事实记录'!$I$2:$I$2001,$E92,'原子事实记录'!$J$2:$J$2001,$F92,'原子事实记录'!$Q$2:$Q$2001,"是",'原子事实记录'!$R$2:$R$2001,"未知"))</f>
        <v/>
      </c>
      <c r="M92" s="3" t="n"/>
      <c r="N92" s="3" t="n"/>
      <c r="O92" s="5">
        <f>IF(OR(G92="",M92="",N92=""),"",M92+IF(G92="肯定主张正确率",H92,IF(G92="否定主张正确率",K92,IF(G92="灵敏度",H92,K92))))</f>
        <v/>
      </c>
      <c r="P92" s="5">
        <f>IF(OR(G92="",M92="",N92=""),"",N92+IF(G92="肯定主张正确率",I92,IF(G92="否定主张正确率",J92,IF(G92="灵敏度",J92,I92))))</f>
        <v/>
      </c>
      <c r="Q92" s="7">
        <f>IF(OR(O92="",P92=""),"",O92/(O92+P92))</f>
        <v/>
      </c>
      <c r="R92" s="7">
        <f>IF(Q92="","",BETA.INV(0.025,O92,P92))</f>
        <v/>
      </c>
      <c r="S92" s="7">
        <f>IF(Q92="","",BETA.INV(0.975,O92,P92))</f>
        <v/>
      </c>
      <c r="T92" s="5">
        <f>IF(OR(O92="",P92=""),"",O92+P92-M92-N92)</f>
        <v/>
      </c>
      <c r="U92" s="5">
        <f>IF(T92="","先填完整分组",IF(T92&lt;30,"样本太少：仅描述",IF(T92&lt;100,"只作试点候选","可进入独立验证")))</f>
        <v/>
      </c>
      <c r="V92" s="3" t="n"/>
      <c r="W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5">
        <f>IF(COUNTA(A93:G93)&lt;7,"",COUNTIFS('原子事实记录'!$C$2:$C$2001,$D93,'原子事实记录'!$E$2:$E$2001,$A93,'原子事实记录'!$F$2:$F$2001,$B93,'原子事实记录'!$G$2:$G$2001,$C93,'原子事实记录'!$I$2:$I$2001,$E93,'原子事实记录'!$J$2:$J$2001,$F93,'原子事实记录'!$Q$2:$Q$2001,"是",'原子事实记录'!$R$2:$R$2001,"TP"))</f>
        <v/>
      </c>
      <c r="I93" s="5">
        <f>IF(COUNTA(A93:G93)&lt;7,"",COUNTIFS('原子事实记录'!$C$2:$C$2001,$D93,'原子事实记录'!$E$2:$E$2001,$A93,'原子事实记录'!$F$2:$F$2001,$B93,'原子事实记录'!$G$2:$G$2001,$C93,'原子事实记录'!$I$2:$I$2001,$E93,'原子事实记录'!$J$2:$J$2001,$F93,'原子事实记录'!$Q$2:$Q$2001,"是",'原子事实记录'!$R$2:$R$2001,"FP"))</f>
        <v/>
      </c>
      <c r="J93" s="5">
        <f>IF(COUNTA(A93:G93)&lt;7,"",COUNTIFS('原子事实记录'!$C$2:$C$2001,$D93,'原子事实记录'!$E$2:$E$2001,$A93,'原子事实记录'!$F$2:$F$2001,$B93,'原子事实记录'!$G$2:$G$2001,$C93,'原子事实记录'!$I$2:$I$2001,$E93,'原子事实记录'!$J$2:$J$2001,$F93,'原子事实记录'!$Q$2:$Q$2001,"是",'原子事实记录'!$R$2:$R$2001,"FN"))</f>
        <v/>
      </c>
      <c r="K93" s="5">
        <f>IF(COUNTA(A93:G93)&lt;7,"",COUNTIFS('原子事实记录'!$C$2:$C$2001,$D93,'原子事实记录'!$E$2:$E$2001,$A93,'原子事实记录'!$F$2:$F$2001,$B93,'原子事实记录'!$G$2:$G$2001,$C93,'原子事实记录'!$I$2:$I$2001,$E93,'原子事实记录'!$J$2:$J$2001,$F93,'原子事实记录'!$Q$2:$Q$2001,"是",'原子事实记录'!$R$2:$R$2001,"TN"))</f>
        <v/>
      </c>
      <c r="L93" s="5">
        <f>IF(COUNTA(A93:G93)&lt;7,"",COUNTIFS('原子事实记录'!$C$2:$C$2001,$D93,'原子事实记录'!$E$2:$E$2001,$A93,'原子事实记录'!$F$2:$F$2001,$B93,'原子事实记录'!$G$2:$G$2001,$C93,'原子事实记录'!$I$2:$I$2001,$E93,'原子事实记录'!$J$2:$J$2001,$F93,'原子事实记录'!$Q$2:$Q$2001,"是",'原子事实记录'!$R$2:$R$2001,"未知"))</f>
        <v/>
      </c>
      <c r="M93" s="3" t="n"/>
      <c r="N93" s="3" t="n"/>
      <c r="O93" s="5">
        <f>IF(OR(G93="",M93="",N93=""),"",M93+IF(G93="肯定主张正确率",H93,IF(G93="否定主张正确率",K93,IF(G93="灵敏度",H93,K93))))</f>
        <v/>
      </c>
      <c r="P93" s="5">
        <f>IF(OR(G93="",M93="",N93=""),"",N93+IF(G93="肯定主张正确率",I93,IF(G93="否定主张正确率",J93,IF(G93="灵敏度",J93,I93))))</f>
        <v/>
      </c>
      <c r="Q93" s="7">
        <f>IF(OR(O93="",P93=""),"",O93/(O93+P93))</f>
        <v/>
      </c>
      <c r="R93" s="7">
        <f>IF(Q93="","",BETA.INV(0.025,O93,P93))</f>
        <v/>
      </c>
      <c r="S93" s="7">
        <f>IF(Q93="","",BETA.INV(0.975,O93,P93))</f>
        <v/>
      </c>
      <c r="T93" s="5">
        <f>IF(OR(O93="",P93=""),"",O93+P93-M93-N93)</f>
        <v/>
      </c>
      <c r="U93" s="5">
        <f>IF(T93="","先填完整分组",IF(T93&lt;30,"样本太少：仅描述",IF(T93&lt;100,"只作试点候选","可进入独立验证")))</f>
        <v/>
      </c>
      <c r="V93" s="3" t="n"/>
      <c r="W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5">
        <f>IF(COUNTA(A94:G94)&lt;7,"",COUNTIFS('原子事实记录'!$C$2:$C$2001,$D94,'原子事实记录'!$E$2:$E$2001,$A94,'原子事实记录'!$F$2:$F$2001,$B94,'原子事实记录'!$G$2:$G$2001,$C94,'原子事实记录'!$I$2:$I$2001,$E94,'原子事实记录'!$J$2:$J$2001,$F94,'原子事实记录'!$Q$2:$Q$2001,"是",'原子事实记录'!$R$2:$R$2001,"TP"))</f>
        <v/>
      </c>
      <c r="I94" s="5">
        <f>IF(COUNTA(A94:G94)&lt;7,"",COUNTIFS('原子事实记录'!$C$2:$C$2001,$D94,'原子事实记录'!$E$2:$E$2001,$A94,'原子事实记录'!$F$2:$F$2001,$B94,'原子事实记录'!$G$2:$G$2001,$C94,'原子事实记录'!$I$2:$I$2001,$E94,'原子事实记录'!$J$2:$J$2001,$F94,'原子事实记录'!$Q$2:$Q$2001,"是",'原子事实记录'!$R$2:$R$2001,"FP"))</f>
        <v/>
      </c>
      <c r="J94" s="5">
        <f>IF(COUNTA(A94:G94)&lt;7,"",COUNTIFS('原子事实记录'!$C$2:$C$2001,$D94,'原子事实记录'!$E$2:$E$2001,$A94,'原子事实记录'!$F$2:$F$2001,$B94,'原子事实记录'!$G$2:$G$2001,$C94,'原子事实记录'!$I$2:$I$2001,$E94,'原子事实记录'!$J$2:$J$2001,$F94,'原子事实记录'!$Q$2:$Q$2001,"是",'原子事实记录'!$R$2:$R$2001,"FN"))</f>
        <v/>
      </c>
      <c r="K94" s="5">
        <f>IF(COUNTA(A94:G94)&lt;7,"",COUNTIFS('原子事实记录'!$C$2:$C$2001,$D94,'原子事实记录'!$E$2:$E$2001,$A94,'原子事实记录'!$F$2:$F$2001,$B94,'原子事实记录'!$G$2:$G$2001,$C94,'原子事实记录'!$I$2:$I$2001,$E94,'原子事实记录'!$J$2:$J$2001,$F94,'原子事实记录'!$Q$2:$Q$2001,"是",'原子事实记录'!$R$2:$R$2001,"TN"))</f>
        <v/>
      </c>
      <c r="L94" s="5">
        <f>IF(COUNTA(A94:G94)&lt;7,"",COUNTIFS('原子事实记录'!$C$2:$C$2001,$D94,'原子事实记录'!$E$2:$E$2001,$A94,'原子事实记录'!$F$2:$F$2001,$B94,'原子事实记录'!$G$2:$G$2001,$C94,'原子事实记录'!$I$2:$I$2001,$E94,'原子事实记录'!$J$2:$J$2001,$F94,'原子事实记录'!$Q$2:$Q$2001,"是",'原子事实记录'!$R$2:$R$2001,"未知"))</f>
        <v/>
      </c>
      <c r="M94" s="3" t="n"/>
      <c r="N94" s="3" t="n"/>
      <c r="O94" s="5">
        <f>IF(OR(G94="",M94="",N94=""),"",M94+IF(G94="肯定主张正确率",H94,IF(G94="否定主张正确率",K94,IF(G94="灵敏度",H94,K94))))</f>
        <v/>
      </c>
      <c r="P94" s="5">
        <f>IF(OR(G94="",M94="",N94=""),"",N94+IF(G94="肯定主张正确率",I94,IF(G94="否定主张正确率",J94,IF(G94="灵敏度",J94,I94))))</f>
        <v/>
      </c>
      <c r="Q94" s="7">
        <f>IF(OR(O94="",P94=""),"",O94/(O94+P94))</f>
        <v/>
      </c>
      <c r="R94" s="7">
        <f>IF(Q94="","",BETA.INV(0.025,O94,P94))</f>
        <v/>
      </c>
      <c r="S94" s="7">
        <f>IF(Q94="","",BETA.INV(0.975,O94,P94))</f>
        <v/>
      </c>
      <c r="T94" s="5">
        <f>IF(OR(O94="",P94=""),"",O94+P94-M94-N94)</f>
        <v/>
      </c>
      <c r="U94" s="5">
        <f>IF(T94="","先填完整分组",IF(T94&lt;30,"样本太少：仅描述",IF(T94&lt;100,"只作试点候选","可进入独立验证")))</f>
        <v/>
      </c>
      <c r="V94" s="3" t="n"/>
      <c r="W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5">
        <f>IF(COUNTA(A95:G95)&lt;7,"",COUNTIFS('原子事实记录'!$C$2:$C$2001,$D95,'原子事实记录'!$E$2:$E$2001,$A95,'原子事实记录'!$F$2:$F$2001,$B95,'原子事实记录'!$G$2:$G$2001,$C95,'原子事实记录'!$I$2:$I$2001,$E95,'原子事实记录'!$J$2:$J$2001,$F95,'原子事实记录'!$Q$2:$Q$2001,"是",'原子事实记录'!$R$2:$R$2001,"TP"))</f>
        <v/>
      </c>
      <c r="I95" s="5">
        <f>IF(COUNTA(A95:G95)&lt;7,"",COUNTIFS('原子事实记录'!$C$2:$C$2001,$D95,'原子事实记录'!$E$2:$E$2001,$A95,'原子事实记录'!$F$2:$F$2001,$B95,'原子事实记录'!$G$2:$G$2001,$C95,'原子事实记录'!$I$2:$I$2001,$E95,'原子事实记录'!$J$2:$J$2001,$F95,'原子事实记录'!$Q$2:$Q$2001,"是",'原子事实记录'!$R$2:$R$2001,"FP"))</f>
        <v/>
      </c>
      <c r="J95" s="5">
        <f>IF(COUNTA(A95:G95)&lt;7,"",COUNTIFS('原子事实记录'!$C$2:$C$2001,$D95,'原子事实记录'!$E$2:$E$2001,$A95,'原子事实记录'!$F$2:$F$2001,$B95,'原子事实记录'!$G$2:$G$2001,$C95,'原子事实记录'!$I$2:$I$2001,$E95,'原子事实记录'!$J$2:$J$2001,$F95,'原子事实记录'!$Q$2:$Q$2001,"是",'原子事实记录'!$R$2:$R$2001,"FN"))</f>
        <v/>
      </c>
      <c r="K95" s="5">
        <f>IF(COUNTA(A95:G95)&lt;7,"",COUNTIFS('原子事实记录'!$C$2:$C$2001,$D95,'原子事实记录'!$E$2:$E$2001,$A95,'原子事实记录'!$F$2:$F$2001,$B95,'原子事实记录'!$G$2:$G$2001,$C95,'原子事实记录'!$I$2:$I$2001,$E95,'原子事实记录'!$J$2:$J$2001,$F95,'原子事实记录'!$Q$2:$Q$2001,"是",'原子事实记录'!$R$2:$R$2001,"TN"))</f>
        <v/>
      </c>
      <c r="L95" s="5">
        <f>IF(COUNTA(A95:G95)&lt;7,"",COUNTIFS('原子事实记录'!$C$2:$C$2001,$D95,'原子事实记录'!$E$2:$E$2001,$A95,'原子事实记录'!$F$2:$F$2001,$B95,'原子事实记录'!$G$2:$G$2001,$C95,'原子事实记录'!$I$2:$I$2001,$E95,'原子事实记录'!$J$2:$J$2001,$F95,'原子事实记录'!$Q$2:$Q$2001,"是",'原子事实记录'!$R$2:$R$2001,"未知"))</f>
        <v/>
      </c>
      <c r="M95" s="3" t="n"/>
      <c r="N95" s="3" t="n"/>
      <c r="O95" s="5">
        <f>IF(OR(G95="",M95="",N95=""),"",M95+IF(G95="肯定主张正确率",H95,IF(G95="否定主张正确率",K95,IF(G95="灵敏度",H95,K95))))</f>
        <v/>
      </c>
      <c r="P95" s="5">
        <f>IF(OR(G95="",M95="",N95=""),"",N95+IF(G95="肯定主张正确率",I95,IF(G95="否定主张正确率",J95,IF(G95="灵敏度",J95,I95))))</f>
        <v/>
      </c>
      <c r="Q95" s="7">
        <f>IF(OR(O95="",P95=""),"",O95/(O95+P95))</f>
        <v/>
      </c>
      <c r="R95" s="7">
        <f>IF(Q95="","",BETA.INV(0.025,O95,P95))</f>
        <v/>
      </c>
      <c r="S95" s="7">
        <f>IF(Q95="","",BETA.INV(0.975,O95,P95))</f>
        <v/>
      </c>
      <c r="T95" s="5">
        <f>IF(OR(O95="",P95=""),"",O95+P95-M95-N95)</f>
        <v/>
      </c>
      <c r="U95" s="5">
        <f>IF(T95="","先填完整分组",IF(T95&lt;30,"样本太少：仅描述",IF(T95&lt;100,"只作试点候选","可进入独立验证")))</f>
        <v/>
      </c>
      <c r="V95" s="3" t="n"/>
      <c r="W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5">
        <f>IF(COUNTA(A96:G96)&lt;7,"",COUNTIFS('原子事实记录'!$C$2:$C$2001,$D96,'原子事实记录'!$E$2:$E$2001,$A96,'原子事实记录'!$F$2:$F$2001,$B96,'原子事实记录'!$G$2:$G$2001,$C96,'原子事实记录'!$I$2:$I$2001,$E96,'原子事实记录'!$J$2:$J$2001,$F96,'原子事实记录'!$Q$2:$Q$2001,"是",'原子事实记录'!$R$2:$R$2001,"TP"))</f>
        <v/>
      </c>
      <c r="I96" s="5">
        <f>IF(COUNTA(A96:G96)&lt;7,"",COUNTIFS('原子事实记录'!$C$2:$C$2001,$D96,'原子事实记录'!$E$2:$E$2001,$A96,'原子事实记录'!$F$2:$F$2001,$B96,'原子事实记录'!$G$2:$G$2001,$C96,'原子事实记录'!$I$2:$I$2001,$E96,'原子事实记录'!$J$2:$J$2001,$F96,'原子事实记录'!$Q$2:$Q$2001,"是",'原子事实记录'!$R$2:$R$2001,"FP"))</f>
        <v/>
      </c>
      <c r="J96" s="5">
        <f>IF(COUNTA(A96:G96)&lt;7,"",COUNTIFS('原子事实记录'!$C$2:$C$2001,$D96,'原子事实记录'!$E$2:$E$2001,$A96,'原子事实记录'!$F$2:$F$2001,$B96,'原子事实记录'!$G$2:$G$2001,$C96,'原子事实记录'!$I$2:$I$2001,$E96,'原子事实记录'!$J$2:$J$2001,$F96,'原子事实记录'!$Q$2:$Q$2001,"是",'原子事实记录'!$R$2:$R$2001,"FN"))</f>
        <v/>
      </c>
      <c r="K96" s="5">
        <f>IF(COUNTA(A96:G96)&lt;7,"",COUNTIFS('原子事实记录'!$C$2:$C$2001,$D96,'原子事实记录'!$E$2:$E$2001,$A96,'原子事实记录'!$F$2:$F$2001,$B96,'原子事实记录'!$G$2:$G$2001,$C96,'原子事实记录'!$I$2:$I$2001,$E96,'原子事实记录'!$J$2:$J$2001,$F96,'原子事实记录'!$Q$2:$Q$2001,"是",'原子事实记录'!$R$2:$R$2001,"TN"))</f>
        <v/>
      </c>
      <c r="L96" s="5">
        <f>IF(COUNTA(A96:G96)&lt;7,"",COUNTIFS('原子事实记录'!$C$2:$C$2001,$D96,'原子事实记录'!$E$2:$E$2001,$A96,'原子事实记录'!$F$2:$F$2001,$B96,'原子事实记录'!$G$2:$G$2001,$C96,'原子事实记录'!$I$2:$I$2001,$E96,'原子事实记录'!$J$2:$J$2001,$F96,'原子事实记录'!$Q$2:$Q$2001,"是",'原子事实记录'!$R$2:$R$2001,"未知"))</f>
        <v/>
      </c>
      <c r="M96" s="3" t="n"/>
      <c r="N96" s="3" t="n"/>
      <c r="O96" s="5">
        <f>IF(OR(G96="",M96="",N96=""),"",M96+IF(G96="肯定主张正确率",H96,IF(G96="否定主张正确率",K96,IF(G96="灵敏度",H96,K96))))</f>
        <v/>
      </c>
      <c r="P96" s="5">
        <f>IF(OR(G96="",M96="",N96=""),"",N96+IF(G96="肯定主张正确率",I96,IF(G96="否定主张正确率",J96,IF(G96="灵敏度",J96,I96))))</f>
        <v/>
      </c>
      <c r="Q96" s="7">
        <f>IF(OR(O96="",P96=""),"",O96/(O96+P96))</f>
        <v/>
      </c>
      <c r="R96" s="7">
        <f>IF(Q96="","",BETA.INV(0.025,O96,P96))</f>
        <v/>
      </c>
      <c r="S96" s="7">
        <f>IF(Q96="","",BETA.INV(0.975,O96,P96))</f>
        <v/>
      </c>
      <c r="T96" s="5">
        <f>IF(OR(O96="",P96=""),"",O96+P96-M96-N96)</f>
        <v/>
      </c>
      <c r="U96" s="5">
        <f>IF(T96="","先填完整分组",IF(T96&lt;30,"样本太少：仅描述",IF(T96&lt;100,"只作试点候选","可进入独立验证")))</f>
        <v/>
      </c>
      <c r="V96" s="3" t="n"/>
      <c r="W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5">
        <f>IF(COUNTA(A97:G97)&lt;7,"",COUNTIFS('原子事实记录'!$C$2:$C$2001,$D97,'原子事实记录'!$E$2:$E$2001,$A97,'原子事实记录'!$F$2:$F$2001,$B97,'原子事实记录'!$G$2:$G$2001,$C97,'原子事实记录'!$I$2:$I$2001,$E97,'原子事实记录'!$J$2:$J$2001,$F97,'原子事实记录'!$Q$2:$Q$2001,"是",'原子事实记录'!$R$2:$R$2001,"TP"))</f>
        <v/>
      </c>
      <c r="I97" s="5">
        <f>IF(COUNTA(A97:G97)&lt;7,"",COUNTIFS('原子事实记录'!$C$2:$C$2001,$D97,'原子事实记录'!$E$2:$E$2001,$A97,'原子事实记录'!$F$2:$F$2001,$B97,'原子事实记录'!$G$2:$G$2001,$C97,'原子事实记录'!$I$2:$I$2001,$E97,'原子事实记录'!$J$2:$J$2001,$F97,'原子事实记录'!$Q$2:$Q$2001,"是",'原子事实记录'!$R$2:$R$2001,"FP"))</f>
        <v/>
      </c>
      <c r="J97" s="5">
        <f>IF(COUNTA(A97:G97)&lt;7,"",COUNTIFS('原子事实记录'!$C$2:$C$2001,$D97,'原子事实记录'!$E$2:$E$2001,$A97,'原子事实记录'!$F$2:$F$2001,$B97,'原子事实记录'!$G$2:$G$2001,$C97,'原子事实记录'!$I$2:$I$2001,$E97,'原子事实记录'!$J$2:$J$2001,$F97,'原子事实记录'!$Q$2:$Q$2001,"是",'原子事实记录'!$R$2:$R$2001,"FN"))</f>
        <v/>
      </c>
      <c r="K97" s="5">
        <f>IF(COUNTA(A97:G97)&lt;7,"",COUNTIFS('原子事实记录'!$C$2:$C$2001,$D97,'原子事实记录'!$E$2:$E$2001,$A97,'原子事实记录'!$F$2:$F$2001,$B97,'原子事实记录'!$G$2:$G$2001,$C97,'原子事实记录'!$I$2:$I$2001,$E97,'原子事实记录'!$J$2:$J$2001,$F97,'原子事实记录'!$Q$2:$Q$2001,"是",'原子事实记录'!$R$2:$R$2001,"TN"))</f>
        <v/>
      </c>
      <c r="L97" s="5">
        <f>IF(COUNTA(A97:G97)&lt;7,"",COUNTIFS('原子事实记录'!$C$2:$C$2001,$D97,'原子事实记录'!$E$2:$E$2001,$A97,'原子事实记录'!$F$2:$F$2001,$B97,'原子事实记录'!$G$2:$G$2001,$C97,'原子事实记录'!$I$2:$I$2001,$E97,'原子事实记录'!$J$2:$J$2001,$F97,'原子事实记录'!$Q$2:$Q$2001,"是",'原子事实记录'!$R$2:$R$2001,"未知"))</f>
        <v/>
      </c>
      <c r="M97" s="3" t="n"/>
      <c r="N97" s="3" t="n"/>
      <c r="O97" s="5">
        <f>IF(OR(G97="",M97="",N97=""),"",M97+IF(G97="肯定主张正确率",H97,IF(G97="否定主张正确率",K97,IF(G97="灵敏度",H97,K97))))</f>
        <v/>
      </c>
      <c r="P97" s="5">
        <f>IF(OR(G97="",M97="",N97=""),"",N97+IF(G97="肯定主张正确率",I97,IF(G97="否定主张正确率",J97,IF(G97="灵敏度",J97,I97))))</f>
        <v/>
      </c>
      <c r="Q97" s="7">
        <f>IF(OR(O97="",P97=""),"",O97/(O97+P97))</f>
        <v/>
      </c>
      <c r="R97" s="7">
        <f>IF(Q97="","",BETA.INV(0.025,O97,P97))</f>
        <v/>
      </c>
      <c r="S97" s="7">
        <f>IF(Q97="","",BETA.INV(0.975,O97,P97))</f>
        <v/>
      </c>
      <c r="T97" s="5">
        <f>IF(OR(O97="",P97=""),"",O97+P97-M97-N97)</f>
        <v/>
      </c>
      <c r="U97" s="5">
        <f>IF(T97="","先填完整分组",IF(T97&lt;30,"样本太少：仅描述",IF(T97&lt;100,"只作试点候选","可进入独立验证")))</f>
        <v/>
      </c>
      <c r="V97" s="3" t="n"/>
      <c r="W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5">
        <f>IF(COUNTA(A98:G98)&lt;7,"",COUNTIFS('原子事实记录'!$C$2:$C$2001,$D98,'原子事实记录'!$E$2:$E$2001,$A98,'原子事实记录'!$F$2:$F$2001,$B98,'原子事实记录'!$G$2:$G$2001,$C98,'原子事实记录'!$I$2:$I$2001,$E98,'原子事实记录'!$J$2:$J$2001,$F98,'原子事实记录'!$Q$2:$Q$2001,"是",'原子事实记录'!$R$2:$R$2001,"TP"))</f>
        <v/>
      </c>
      <c r="I98" s="5">
        <f>IF(COUNTA(A98:G98)&lt;7,"",COUNTIFS('原子事实记录'!$C$2:$C$2001,$D98,'原子事实记录'!$E$2:$E$2001,$A98,'原子事实记录'!$F$2:$F$2001,$B98,'原子事实记录'!$G$2:$G$2001,$C98,'原子事实记录'!$I$2:$I$2001,$E98,'原子事实记录'!$J$2:$J$2001,$F98,'原子事实记录'!$Q$2:$Q$2001,"是",'原子事实记录'!$R$2:$R$2001,"FP"))</f>
        <v/>
      </c>
      <c r="J98" s="5">
        <f>IF(COUNTA(A98:G98)&lt;7,"",COUNTIFS('原子事实记录'!$C$2:$C$2001,$D98,'原子事实记录'!$E$2:$E$2001,$A98,'原子事实记录'!$F$2:$F$2001,$B98,'原子事实记录'!$G$2:$G$2001,$C98,'原子事实记录'!$I$2:$I$2001,$E98,'原子事实记录'!$J$2:$J$2001,$F98,'原子事实记录'!$Q$2:$Q$2001,"是",'原子事实记录'!$R$2:$R$2001,"FN"))</f>
        <v/>
      </c>
      <c r="K98" s="5">
        <f>IF(COUNTA(A98:G98)&lt;7,"",COUNTIFS('原子事实记录'!$C$2:$C$2001,$D98,'原子事实记录'!$E$2:$E$2001,$A98,'原子事实记录'!$F$2:$F$2001,$B98,'原子事实记录'!$G$2:$G$2001,$C98,'原子事实记录'!$I$2:$I$2001,$E98,'原子事实记录'!$J$2:$J$2001,$F98,'原子事实记录'!$Q$2:$Q$2001,"是",'原子事实记录'!$R$2:$R$2001,"TN"))</f>
        <v/>
      </c>
      <c r="L98" s="5">
        <f>IF(COUNTA(A98:G98)&lt;7,"",COUNTIFS('原子事实记录'!$C$2:$C$2001,$D98,'原子事实记录'!$E$2:$E$2001,$A98,'原子事实记录'!$F$2:$F$2001,$B98,'原子事实记录'!$G$2:$G$2001,$C98,'原子事实记录'!$I$2:$I$2001,$E98,'原子事实记录'!$J$2:$J$2001,$F98,'原子事实记录'!$Q$2:$Q$2001,"是",'原子事实记录'!$R$2:$R$2001,"未知"))</f>
        <v/>
      </c>
      <c r="M98" s="3" t="n"/>
      <c r="N98" s="3" t="n"/>
      <c r="O98" s="5">
        <f>IF(OR(G98="",M98="",N98=""),"",M98+IF(G98="肯定主张正确率",H98,IF(G98="否定主张正确率",K98,IF(G98="灵敏度",H98,K98))))</f>
        <v/>
      </c>
      <c r="P98" s="5">
        <f>IF(OR(G98="",M98="",N98=""),"",N98+IF(G98="肯定主张正确率",I98,IF(G98="否定主张正确率",J98,IF(G98="灵敏度",J98,I98))))</f>
        <v/>
      </c>
      <c r="Q98" s="7">
        <f>IF(OR(O98="",P98=""),"",O98/(O98+P98))</f>
        <v/>
      </c>
      <c r="R98" s="7">
        <f>IF(Q98="","",BETA.INV(0.025,O98,P98))</f>
        <v/>
      </c>
      <c r="S98" s="7">
        <f>IF(Q98="","",BETA.INV(0.975,O98,P98))</f>
        <v/>
      </c>
      <c r="T98" s="5">
        <f>IF(OR(O98="",P98=""),"",O98+P98-M98-N98)</f>
        <v/>
      </c>
      <c r="U98" s="5">
        <f>IF(T98="","先填完整分组",IF(T98&lt;30,"样本太少：仅描述",IF(T98&lt;100,"只作试点候选","可进入独立验证")))</f>
        <v/>
      </c>
      <c r="V98" s="3" t="n"/>
      <c r="W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5">
        <f>IF(COUNTA(A99:G99)&lt;7,"",COUNTIFS('原子事实记录'!$C$2:$C$2001,$D99,'原子事实记录'!$E$2:$E$2001,$A99,'原子事实记录'!$F$2:$F$2001,$B99,'原子事实记录'!$G$2:$G$2001,$C99,'原子事实记录'!$I$2:$I$2001,$E99,'原子事实记录'!$J$2:$J$2001,$F99,'原子事实记录'!$Q$2:$Q$2001,"是",'原子事实记录'!$R$2:$R$2001,"TP"))</f>
        <v/>
      </c>
      <c r="I99" s="5">
        <f>IF(COUNTA(A99:G99)&lt;7,"",COUNTIFS('原子事实记录'!$C$2:$C$2001,$D99,'原子事实记录'!$E$2:$E$2001,$A99,'原子事实记录'!$F$2:$F$2001,$B99,'原子事实记录'!$G$2:$G$2001,$C99,'原子事实记录'!$I$2:$I$2001,$E99,'原子事实记录'!$J$2:$J$2001,$F99,'原子事实记录'!$Q$2:$Q$2001,"是",'原子事实记录'!$R$2:$R$2001,"FP"))</f>
        <v/>
      </c>
      <c r="J99" s="5">
        <f>IF(COUNTA(A99:G99)&lt;7,"",COUNTIFS('原子事实记录'!$C$2:$C$2001,$D99,'原子事实记录'!$E$2:$E$2001,$A99,'原子事实记录'!$F$2:$F$2001,$B99,'原子事实记录'!$G$2:$G$2001,$C99,'原子事实记录'!$I$2:$I$2001,$E99,'原子事实记录'!$J$2:$J$2001,$F99,'原子事实记录'!$Q$2:$Q$2001,"是",'原子事实记录'!$R$2:$R$2001,"FN"))</f>
        <v/>
      </c>
      <c r="K99" s="5">
        <f>IF(COUNTA(A99:G99)&lt;7,"",COUNTIFS('原子事实记录'!$C$2:$C$2001,$D99,'原子事实记录'!$E$2:$E$2001,$A99,'原子事实记录'!$F$2:$F$2001,$B99,'原子事实记录'!$G$2:$G$2001,$C99,'原子事实记录'!$I$2:$I$2001,$E99,'原子事实记录'!$J$2:$J$2001,$F99,'原子事实记录'!$Q$2:$Q$2001,"是",'原子事实记录'!$R$2:$R$2001,"TN"))</f>
        <v/>
      </c>
      <c r="L99" s="5">
        <f>IF(COUNTA(A99:G99)&lt;7,"",COUNTIFS('原子事实记录'!$C$2:$C$2001,$D99,'原子事实记录'!$E$2:$E$2001,$A99,'原子事实记录'!$F$2:$F$2001,$B99,'原子事实记录'!$G$2:$G$2001,$C99,'原子事实记录'!$I$2:$I$2001,$E99,'原子事实记录'!$J$2:$J$2001,$F99,'原子事实记录'!$Q$2:$Q$2001,"是",'原子事实记录'!$R$2:$R$2001,"未知"))</f>
        <v/>
      </c>
      <c r="M99" s="3" t="n"/>
      <c r="N99" s="3" t="n"/>
      <c r="O99" s="5">
        <f>IF(OR(G99="",M99="",N99=""),"",M99+IF(G99="肯定主张正确率",H99,IF(G99="否定主张正确率",K99,IF(G99="灵敏度",H99,K99))))</f>
        <v/>
      </c>
      <c r="P99" s="5">
        <f>IF(OR(G99="",M99="",N99=""),"",N99+IF(G99="肯定主张正确率",I99,IF(G99="否定主张正确率",J99,IF(G99="灵敏度",J99,I99))))</f>
        <v/>
      </c>
      <c r="Q99" s="7">
        <f>IF(OR(O99="",P99=""),"",O99/(O99+P99))</f>
        <v/>
      </c>
      <c r="R99" s="7">
        <f>IF(Q99="","",BETA.INV(0.025,O99,P99))</f>
        <v/>
      </c>
      <c r="S99" s="7">
        <f>IF(Q99="","",BETA.INV(0.975,O99,P99))</f>
        <v/>
      </c>
      <c r="T99" s="5">
        <f>IF(OR(O99="",P99=""),"",O99+P99-M99-N99)</f>
        <v/>
      </c>
      <c r="U99" s="5">
        <f>IF(T99="","先填完整分组",IF(T99&lt;30,"样本太少：仅描述",IF(T99&lt;100,"只作试点候选","可进入独立验证")))</f>
        <v/>
      </c>
      <c r="V99" s="3" t="n"/>
      <c r="W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5">
        <f>IF(COUNTA(A100:G100)&lt;7,"",COUNTIFS('原子事实记录'!$C$2:$C$2001,$D100,'原子事实记录'!$E$2:$E$2001,$A100,'原子事实记录'!$F$2:$F$2001,$B100,'原子事实记录'!$G$2:$G$2001,$C100,'原子事实记录'!$I$2:$I$2001,$E100,'原子事实记录'!$J$2:$J$2001,$F100,'原子事实记录'!$Q$2:$Q$2001,"是",'原子事实记录'!$R$2:$R$2001,"TP"))</f>
        <v/>
      </c>
      <c r="I100" s="5">
        <f>IF(COUNTA(A100:G100)&lt;7,"",COUNTIFS('原子事实记录'!$C$2:$C$2001,$D100,'原子事实记录'!$E$2:$E$2001,$A100,'原子事实记录'!$F$2:$F$2001,$B100,'原子事实记录'!$G$2:$G$2001,$C100,'原子事实记录'!$I$2:$I$2001,$E100,'原子事实记录'!$J$2:$J$2001,$F100,'原子事实记录'!$Q$2:$Q$2001,"是",'原子事实记录'!$R$2:$R$2001,"FP"))</f>
        <v/>
      </c>
      <c r="J100" s="5">
        <f>IF(COUNTA(A100:G100)&lt;7,"",COUNTIFS('原子事实记录'!$C$2:$C$2001,$D100,'原子事实记录'!$E$2:$E$2001,$A100,'原子事实记录'!$F$2:$F$2001,$B100,'原子事实记录'!$G$2:$G$2001,$C100,'原子事实记录'!$I$2:$I$2001,$E100,'原子事实记录'!$J$2:$J$2001,$F100,'原子事实记录'!$Q$2:$Q$2001,"是",'原子事实记录'!$R$2:$R$2001,"FN"))</f>
        <v/>
      </c>
      <c r="K100" s="5">
        <f>IF(COUNTA(A100:G100)&lt;7,"",COUNTIFS('原子事实记录'!$C$2:$C$2001,$D100,'原子事实记录'!$E$2:$E$2001,$A100,'原子事实记录'!$F$2:$F$2001,$B100,'原子事实记录'!$G$2:$G$2001,$C100,'原子事实记录'!$I$2:$I$2001,$E100,'原子事实记录'!$J$2:$J$2001,$F100,'原子事实记录'!$Q$2:$Q$2001,"是",'原子事实记录'!$R$2:$R$2001,"TN"))</f>
        <v/>
      </c>
      <c r="L100" s="5">
        <f>IF(COUNTA(A100:G100)&lt;7,"",COUNTIFS('原子事实记录'!$C$2:$C$2001,$D100,'原子事实记录'!$E$2:$E$2001,$A100,'原子事实记录'!$F$2:$F$2001,$B100,'原子事实记录'!$G$2:$G$2001,$C100,'原子事实记录'!$I$2:$I$2001,$E100,'原子事实记录'!$J$2:$J$2001,$F100,'原子事实记录'!$Q$2:$Q$2001,"是",'原子事实记录'!$R$2:$R$2001,"未知"))</f>
        <v/>
      </c>
      <c r="M100" s="3" t="n"/>
      <c r="N100" s="3" t="n"/>
      <c r="O100" s="5">
        <f>IF(OR(G100="",M100="",N100=""),"",M100+IF(G100="肯定主张正确率",H100,IF(G100="否定主张正确率",K100,IF(G100="灵敏度",H100,K100))))</f>
        <v/>
      </c>
      <c r="P100" s="5">
        <f>IF(OR(G100="",M100="",N100=""),"",N100+IF(G100="肯定主张正确率",I100,IF(G100="否定主张正确率",J100,IF(G100="灵敏度",J100,I100))))</f>
        <v/>
      </c>
      <c r="Q100" s="7">
        <f>IF(OR(O100="",P100=""),"",O100/(O100+P100))</f>
        <v/>
      </c>
      <c r="R100" s="7">
        <f>IF(Q100="","",BETA.INV(0.025,O100,P100))</f>
        <v/>
      </c>
      <c r="S100" s="7">
        <f>IF(Q100="","",BETA.INV(0.975,O100,P100))</f>
        <v/>
      </c>
      <c r="T100" s="5">
        <f>IF(OR(O100="",P100=""),"",O100+P100-M100-N100)</f>
        <v/>
      </c>
      <c r="U100" s="5">
        <f>IF(T100="","先填完整分组",IF(T100&lt;30,"样本太少：仅描述",IF(T100&lt;100,"只作试点候选","可进入独立验证")))</f>
        <v/>
      </c>
      <c r="V100" s="3" t="n"/>
      <c r="W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5">
        <f>IF(COUNTA(A101:G101)&lt;7,"",COUNTIFS('原子事实记录'!$C$2:$C$2001,$D101,'原子事实记录'!$E$2:$E$2001,$A101,'原子事实记录'!$F$2:$F$2001,$B101,'原子事实记录'!$G$2:$G$2001,$C101,'原子事实记录'!$I$2:$I$2001,$E101,'原子事实记录'!$J$2:$J$2001,$F101,'原子事实记录'!$Q$2:$Q$2001,"是",'原子事实记录'!$R$2:$R$2001,"TP"))</f>
        <v/>
      </c>
      <c r="I101" s="5">
        <f>IF(COUNTA(A101:G101)&lt;7,"",COUNTIFS('原子事实记录'!$C$2:$C$2001,$D101,'原子事实记录'!$E$2:$E$2001,$A101,'原子事实记录'!$F$2:$F$2001,$B101,'原子事实记录'!$G$2:$G$2001,$C101,'原子事实记录'!$I$2:$I$2001,$E101,'原子事实记录'!$J$2:$J$2001,$F101,'原子事实记录'!$Q$2:$Q$2001,"是",'原子事实记录'!$R$2:$R$2001,"FP"))</f>
        <v/>
      </c>
      <c r="J101" s="5">
        <f>IF(COUNTA(A101:G101)&lt;7,"",COUNTIFS('原子事实记录'!$C$2:$C$2001,$D101,'原子事实记录'!$E$2:$E$2001,$A101,'原子事实记录'!$F$2:$F$2001,$B101,'原子事实记录'!$G$2:$G$2001,$C101,'原子事实记录'!$I$2:$I$2001,$E101,'原子事实记录'!$J$2:$J$2001,$F101,'原子事实记录'!$Q$2:$Q$2001,"是",'原子事实记录'!$R$2:$R$2001,"FN"))</f>
        <v/>
      </c>
      <c r="K101" s="5">
        <f>IF(COUNTA(A101:G101)&lt;7,"",COUNTIFS('原子事实记录'!$C$2:$C$2001,$D101,'原子事实记录'!$E$2:$E$2001,$A101,'原子事实记录'!$F$2:$F$2001,$B101,'原子事实记录'!$G$2:$G$2001,$C101,'原子事实记录'!$I$2:$I$2001,$E101,'原子事实记录'!$J$2:$J$2001,$F101,'原子事实记录'!$Q$2:$Q$2001,"是",'原子事实记录'!$R$2:$R$2001,"TN"))</f>
        <v/>
      </c>
      <c r="L101" s="5">
        <f>IF(COUNTA(A101:G101)&lt;7,"",COUNTIFS('原子事实记录'!$C$2:$C$2001,$D101,'原子事实记录'!$E$2:$E$2001,$A101,'原子事实记录'!$F$2:$F$2001,$B101,'原子事实记录'!$G$2:$G$2001,$C101,'原子事实记录'!$I$2:$I$2001,$E101,'原子事实记录'!$J$2:$J$2001,$F101,'原子事实记录'!$Q$2:$Q$2001,"是",'原子事实记录'!$R$2:$R$2001,"未知"))</f>
        <v/>
      </c>
      <c r="M101" s="3" t="n"/>
      <c r="N101" s="3" t="n"/>
      <c r="O101" s="5">
        <f>IF(OR(G101="",M101="",N101=""),"",M101+IF(G101="肯定主张正确率",H101,IF(G101="否定主张正确率",K101,IF(G101="灵敏度",H101,K101))))</f>
        <v/>
      </c>
      <c r="P101" s="5">
        <f>IF(OR(G101="",M101="",N101=""),"",N101+IF(G101="肯定主张正确率",I101,IF(G101="否定主张正确率",J101,IF(G101="灵敏度",J101,I101))))</f>
        <v/>
      </c>
      <c r="Q101" s="7">
        <f>IF(OR(O101="",P101=""),"",O101/(O101+P101))</f>
        <v/>
      </c>
      <c r="R101" s="7">
        <f>IF(Q101="","",BETA.INV(0.025,O101,P101))</f>
        <v/>
      </c>
      <c r="S101" s="7">
        <f>IF(Q101="","",BETA.INV(0.975,O101,P101))</f>
        <v/>
      </c>
      <c r="T101" s="5">
        <f>IF(OR(O101="",P101=""),"",O101+P101-M101-N101)</f>
        <v/>
      </c>
      <c r="U101" s="5">
        <f>IF(T101="","先填完整分组",IF(T101&lt;30,"样本太少：仅描述",IF(T101&lt;100,"只作试点候选","可进入独立验证")))</f>
        <v/>
      </c>
      <c r="V101" s="3" t="n"/>
      <c r="W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5">
        <f>IF(COUNTA(A102:G102)&lt;7,"",COUNTIFS('原子事实记录'!$C$2:$C$2001,$D102,'原子事实记录'!$E$2:$E$2001,$A102,'原子事实记录'!$F$2:$F$2001,$B102,'原子事实记录'!$G$2:$G$2001,$C102,'原子事实记录'!$I$2:$I$2001,$E102,'原子事实记录'!$J$2:$J$2001,$F102,'原子事实记录'!$Q$2:$Q$2001,"是",'原子事实记录'!$R$2:$R$2001,"TP"))</f>
        <v/>
      </c>
      <c r="I102" s="5">
        <f>IF(COUNTA(A102:G102)&lt;7,"",COUNTIFS('原子事实记录'!$C$2:$C$2001,$D102,'原子事实记录'!$E$2:$E$2001,$A102,'原子事实记录'!$F$2:$F$2001,$B102,'原子事实记录'!$G$2:$G$2001,$C102,'原子事实记录'!$I$2:$I$2001,$E102,'原子事实记录'!$J$2:$J$2001,$F102,'原子事实记录'!$Q$2:$Q$2001,"是",'原子事实记录'!$R$2:$R$2001,"FP"))</f>
        <v/>
      </c>
      <c r="J102" s="5">
        <f>IF(COUNTA(A102:G102)&lt;7,"",COUNTIFS('原子事实记录'!$C$2:$C$2001,$D102,'原子事实记录'!$E$2:$E$2001,$A102,'原子事实记录'!$F$2:$F$2001,$B102,'原子事实记录'!$G$2:$G$2001,$C102,'原子事实记录'!$I$2:$I$2001,$E102,'原子事实记录'!$J$2:$J$2001,$F102,'原子事实记录'!$Q$2:$Q$2001,"是",'原子事实记录'!$R$2:$R$2001,"FN"))</f>
        <v/>
      </c>
      <c r="K102" s="5">
        <f>IF(COUNTA(A102:G102)&lt;7,"",COUNTIFS('原子事实记录'!$C$2:$C$2001,$D102,'原子事实记录'!$E$2:$E$2001,$A102,'原子事实记录'!$F$2:$F$2001,$B102,'原子事实记录'!$G$2:$G$2001,$C102,'原子事实记录'!$I$2:$I$2001,$E102,'原子事实记录'!$J$2:$J$2001,$F102,'原子事实记录'!$Q$2:$Q$2001,"是",'原子事实记录'!$R$2:$R$2001,"TN"))</f>
        <v/>
      </c>
      <c r="L102" s="5">
        <f>IF(COUNTA(A102:G102)&lt;7,"",COUNTIFS('原子事实记录'!$C$2:$C$2001,$D102,'原子事实记录'!$E$2:$E$2001,$A102,'原子事实记录'!$F$2:$F$2001,$B102,'原子事实记录'!$G$2:$G$2001,$C102,'原子事实记录'!$I$2:$I$2001,$E102,'原子事实记录'!$J$2:$J$2001,$F102,'原子事实记录'!$Q$2:$Q$2001,"是",'原子事实记录'!$R$2:$R$2001,"未知"))</f>
        <v/>
      </c>
      <c r="M102" s="3" t="n"/>
      <c r="N102" s="3" t="n"/>
      <c r="O102" s="5">
        <f>IF(OR(G102="",M102="",N102=""),"",M102+IF(G102="肯定主张正确率",H102,IF(G102="否定主张正确率",K102,IF(G102="灵敏度",H102,K102))))</f>
        <v/>
      </c>
      <c r="P102" s="5">
        <f>IF(OR(G102="",M102="",N102=""),"",N102+IF(G102="肯定主张正确率",I102,IF(G102="否定主张正确率",J102,IF(G102="灵敏度",J102,I102))))</f>
        <v/>
      </c>
      <c r="Q102" s="7">
        <f>IF(OR(O102="",P102=""),"",O102/(O102+P102))</f>
        <v/>
      </c>
      <c r="R102" s="7">
        <f>IF(Q102="","",BETA.INV(0.025,O102,P102))</f>
        <v/>
      </c>
      <c r="S102" s="7">
        <f>IF(Q102="","",BETA.INV(0.975,O102,P102))</f>
        <v/>
      </c>
      <c r="T102" s="5">
        <f>IF(OR(O102="",P102=""),"",O102+P102-M102-N102)</f>
        <v/>
      </c>
      <c r="U102" s="5">
        <f>IF(T102="","先填完整分组",IF(T102&lt;30,"样本太少：仅描述",IF(T102&lt;100,"只作试点候选","可进入独立验证")))</f>
        <v/>
      </c>
      <c r="V102" s="3" t="n"/>
      <c r="W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5">
        <f>IF(COUNTA(A103:G103)&lt;7,"",COUNTIFS('原子事实记录'!$C$2:$C$2001,$D103,'原子事实记录'!$E$2:$E$2001,$A103,'原子事实记录'!$F$2:$F$2001,$B103,'原子事实记录'!$G$2:$G$2001,$C103,'原子事实记录'!$I$2:$I$2001,$E103,'原子事实记录'!$J$2:$J$2001,$F103,'原子事实记录'!$Q$2:$Q$2001,"是",'原子事实记录'!$R$2:$R$2001,"TP"))</f>
        <v/>
      </c>
      <c r="I103" s="5">
        <f>IF(COUNTA(A103:G103)&lt;7,"",COUNTIFS('原子事实记录'!$C$2:$C$2001,$D103,'原子事实记录'!$E$2:$E$2001,$A103,'原子事实记录'!$F$2:$F$2001,$B103,'原子事实记录'!$G$2:$G$2001,$C103,'原子事实记录'!$I$2:$I$2001,$E103,'原子事实记录'!$J$2:$J$2001,$F103,'原子事实记录'!$Q$2:$Q$2001,"是",'原子事实记录'!$R$2:$R$2001,"FP"))</f>
        <v/>
      </c>
      <c r="J103" s="5">
        <f>IF(COUNTA(A103:G103)&lt;7,"",COUNTIFS('原子事实记录'!$C$2:$C$2001,$D103,'原子事实记录'!$E$2:$E$2001,$A103,'原子事实记录'!$F$2:$F$2001,$B103,'原子事实记录'!$G$2:$G$2001,$C103,'原子事实记录'!$I$2:$I$2001,$E103,'原子事实记录'!$J$2:$J$2001,$F103,'原子事实记录'!$Q$2:$Q$2001,"是",'原子事实记录'!$R$2:$R$2001,"FN"))</f>
        <v/>
      </c>
      <c r="K103" s="5">
        <f>IF(COUNTA(A103:G103)&lt;7,"",COUNTIFS('原子事实记录'!$C$2:$C$2001,$D103,'原子事实记录'!$E$2:$E$2001,$A103,'原子事实记录'!$F$2:$F$2001,$B103,'原子事实记录'!$G$2:$G$2001,$C103,'原子事实记录'!$I$2:$I$2001,$E103,'原子事实记录'!$J$2:$J$2001,$F103,'原子事实记录'!$Q$2:$Q$2001,"是",'原子事实记录'!$R$2:$R$2001,"TN"))</f>
        <v/>
      </c>
      <c r="L103" s="5">
        <f>IF(COUNTA(A103:G103)&lt;7,"",COUNTIFS('原子事实记录'!$C$2:$C$2001,$D103,'原子事实记录'!$E$2:$E$2001,$A103,'原子事实记录'!$F$2:$F$2001,$B103,'原子事实记录'!$G$2:$G$2001,$C103,'原子事实记录'!$I$2:$I$2001,$E103,'原子事实记录'!$J$2:$J$2001,$F103,'原子事实记录'!$Q$2:$Q$2001,"是",'原子事实记录'!$R$2:$R$2001,"未知"))</f>
        <v/>
      </c>
      <c r="M103" s="3" t="n"/>
      <c r="N103" s="3" t="n"/>
      <c r="O103" s="5">
        <f>IF(OR(G103="",M103="",N103=""),"",M103+IF(G103="肯定主张正确率",H103,IF(G103="否定主张正确率",K103,IF(G103="灵敏度",H103,K103))))</f>
        <v/>
      </c>
      <c r="P103" s="5">
        <f>IF(OR(G103="",M103="",N103=""),"",N103+IF(G103="肯定主张正确率",I103,IF(G103="否定主张正确率",J103,IF(G103="灵敏度",J103,I103))))</f>
        <v/>
      </c>
      <c r="Q103" s="7">
        <f>IF(OR(O103="",P103=""),"",O103/(O103+P103))</f>
        <v/>
      </c>
      <c r="R103" s="7">
        <f>IF(Q103="","",BETA.INV(0.025,O103,P103))</f>
        <v/>
      </c>
      <c r="S103" s="7">
        <f>IF(Q103="","",BETA.INV(0.975,O103,P103))</f>
        <v/>
      </c>
      <c r="T103" s="5">
        <f>IF(OR(O103="",P103=""),"",O103+P103-M103-N103)</f>
        <v/>
      </c>
      <c r="U103" s="5">
        <f>IF(T103="","先填完整分组",IF(T103&lt;30,"样本太少：仅描述",IF(T103&lt;100,"只作试点候选","可进入独立验证")))</f>
        <v/>
      </c>
      <c r="V103" s="3" t="n"/>
      <c r="W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5">
        <f>IF(COUNTA(A104:G104)&lt;7,"",COUNTIFS('原子事实记录'!$C$2:$C$2001,$D104,'原子事实记录'!$E$2:$E$2001,$A104,'原子事实记录'!$F$2:$F$2001,$B104,'原子事实记录'!$G$2:$G$2001,$C104,'原子事实记录'!$I$2:$I$2001,$E104,'原子事实记录'!$J$2:$J$2001,$F104,'原子事实记录'!$Q$2:$Q$2001,"是",'原子事实记录'!$R$2:$R$2001,"TP"))</f>
        <v/>
      </c>
      <c r="I104" s="5">
        <f>IF(COUNTA(A104:G104)&lt;7,"",COUNTIFS('原子事实记录'!$C$2:$C$2001,$D104,'原子事实记录'!$E$2:$E$2001,$A104,'原子事实记录'!$F$2:$F$2001,$B104,'原子事实记录'!$G$2:$G$2001,$C104,'原子事实记录'!$I$2:$I$2001,$E104,'原子事实记录'!$J$2:$J$2001,$F104,'原子事实记录'!$Q$2:$Q$2001,"是",'原子事实记录'!$R$2:$R$2001,"FP"))</f>
        <v/>
      </c>
      <c r="J104" s="5">
        <f>IF(COUNTA(A104:G104)&lt;7,"",COUNTIFS('原子事实记录'!$C$2:$C$2001,$D104,'原子事实记录'!$E$2:$E$2001,$A104,'原子事实记录'!$F$2:$F$2001,$B104,'原子事实记录'!$G$2:$G$2001,$C104,'原子事实记录'!$I$2:$I$2001,$E104,'原子事实记录'!$J$2:$J$2001,$F104,'原子事实记录'!$Q$2:$Q$2001,"是",'原子事实记录'!$R$2:$R$2001,"FN"))</f>
        <v/>
      </c>
      <c r="K104" s="5">
        <f>IF(COUNTA(A104:G104)&lt;7,"",COUNTIFS('原子事实记录'!$C$2:$C$2001,$D104,'原子事实记录'!$E$2:$E$2001,$A104,'原子事实记录'!$F$2:$F$2001,$B104,'原子事实记录'!$G$2:$G$2001,$C104,'原子事实记录'!$I$2:$I$2001,$E104,'原子事实记录'!$J$2:$J$2001,$F104,'原子事实记录'!$Q$2:$Q$2001,"是",'原子事实记录'!$R$2:$R$2001,"TN"))</f>
        <v/>
      </c>
      <c r="L104" s="5">
        <f>IF(COUNTA(A104:G104)&lt;7,"",COUNTIFS('原子事实记录'!$C$2:$C$2001,$D104,'原子事实记录'!$E$2:$E$2001,$A104,'原子事实记录'!$F$2:$F$2001,$B104,'原子事实记录'!$G$2:$G$2001,$C104,'原子事实记录'!$I$2:$I$2001,$E104,'原子事实记录'!$J$2:$J$2001,$F104,'原子事实记录'!$Q$2:$Q$2001,"是",'原子事实记录'!$R$2:$R$2001,"未知"))</f>
        <v/>
      </c>
      <c r="M104" s="3" t="n"/>
      <c r="N104" s="3" t="n"/>
      <c r="O104" s="5">
        <f>IF(OR(G104="",M104="",N104=""),"",M104+IF(G104="肯定主张正确率",H104,IF(G104="否定主张正确率",K104,IF(G104="灵敏度",H104,K104))))</f>
        <v/>
      </c>
      <c r="P104" s="5">
        <f>IF(OR(G104="",M104="",N104=""),"",N104+IF(G104="肯定主张正确率",I104,IF(G104="否定主张正确率",J104,IF(G104="灵敏度",J104,I104))))</f>
        <v/>
      </c>
      <c r="Q104" s="7">
        <f>IF(OR(O104="",P104=""),"",O104/(O104+P104))</f>
        <v/>
      </c>
      <c r="R104" s="7">
        <f>IF(Q104="","",BETA.INV(0.025,O104,P104))</f>
        <v/>
      </c>
      <c r="S104" s="7">
        <f>IF(Q104="","",BETA.INV(0.975,O104,P104))</f>
        <v/>
      </c>
      <c r="T104" s="5">
        <f>IF(OR(O104="",P104=""),"",O104+P104-M104-N104)</f>
        <v/>
      </c>
      <c r="U104" s="5">
        <f>IF(T104="","先填完整分组",IF(T104&lt;30,"样本太少：仅描述",IF(T104&lt;100,"只作试点候选","可进入独立验证")))</f>
        <v/>
      </c>
      <c r="V104" s="3" t="n"/>
      <c r="W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5">
        <f>IF(COUNTA(A105:G105)&lt;7,"",COUNTIFS('原子事实记录'!$C$2:$C$2001,$D105,'原子事实记录'!$E$2:$E$2001,$A105,'原子事实记录'!$F$2:$F$2001,$B105,'原子事实记录'!$G$2:$G$2001,$C105,'原子事实记录'!$I$2:$I$2001,$E105,'原子事实记录'!$J$2:$J$2001,$F105,'原子事实记录'!$Q$2:$Q$2001,"是",'原子事实记录'!$R$2:$R$2001,"TP"))</f>
        <v/>
      </c>
      <c r="I105" s="5">
        <f>IF(COUNTA(A105:G105)&lt;7,"",COUNTIFS('原子事实记录'!$C$2:$C$2001,$D105,'原子事实记录'!$E$2:$E$2001,$A105,'原子事实记录'!$F$2:$F$2001,$B105,'原子事实记录'!$G$2:$G$2001,$C105,'原子事实记录'!$I$2:$I$2001,$E105,'原子事实记录'!$J$2:$J$2001,$F105,'原子事实记录'!$Q$2:$Q$2001,"是",'原子事实记录'!$R$2:$R$2001,"FP"))</f>
        <v/>
      </c>
      <c r="J105" s="5">
        <f>IF(COUNTA(A105:G105)&lt;7,"",COUNTIFS('原子事实记录'!$C$2:$C$2001,$D105,'原子事实记录'!$E$2:$E$2001,$A105,'原子事实记录'!$F$2:$F$2001,$B105,'原子事实记录'!$G$2:$G$2001,$C105,'原子事实记录'!$I$2:$I$2001,$E105,'原子事实记录'!$J$2:$J$2001,$F105,'原子事实记录'!$Q$2:$Q$2001,"是",'原子事实记录'!$R$2:$R$2001,"FN"))</f>
        <v/>
      </c>
      <c r="K105" s="5">
        <f>IF(COUNTA(A105:G105)&lt;7,"",COUNTIFS('原子事实记录'!$C$2:$C$2001,$D105,'原子事实记录'!$E$2:$E$2001,$A105,'原子事实记录'!$F$2:$F$2001,$B105,'原子事实记录'!$G$2:$G$2001,$C105,'原子事实记录'!$I$2:$I$2001,$E105,'原子事实记录'!$J$2:$J$2001,$F105,'原子事实记录'!$Q$2:$Q$2001,"是",'原子事实记录'!$R$2:$R$2001,"TN"))</f>
        <v/>
      </c>
      <c r="L105" s="5">
        <f>IF(COUNTA(A105:G105)&lt;7,"",COUNTIFS('原子事实记录'!$C$2:$C$2001,$D105,'原子事实记录'!$E$2:$E$2001,$A105,'原子事实记录'!$F$2:$F$2001,$B105,'原子事实记录'!$G$2:$G$2001,$C105,'原子事实记录'!$I$2:$I$2001,$E105,'原子事实记录'!$J$2:$J$2001,$F105,'原子事实记录'!$Q$2:$Q$2001,"是",'原子事实记录'!$R$2:$R$2001,"未知"))</f>
        <v/>
      </c>
      <c r="M105" s="3" t="n"/>
      <c r="N105" s="3" t="n"/>
      <c r="O105" s="5">
        <f>IF(OR(G105="",M105="",N105=""),"",M105+IF(G105="肯定主张正确率",H105,IF(G105="否定主张正确率",K105,IF(G105="灵敏度",H105,K105))))</f>
        <v/>
      </c>
      <c r="P105" s="5">
        <f>IF(OR(G105="",M105="",N105=""),"",N105+IF(G105="肯定主张正确率",I105,IF(G105="否定主张正确率",J105,IF(G105="灵敏度",J105,I105))))</f>
        <v/>
      </c>
      <c r="Q105" s="7">
        <f>IF(OR(O105="",P105=""),"",O105/(O105+P105))</f>
        <v/>
      </c>
      <c r="R105" s="7">
        <f>IF(Q105="","",BETA.INV(0.025,O105,P105))</f>
        <v/>
      </c>
      <c r="S105" s="7">
        <f>IF(Q105="","",BETA.INV(0.975,O105,P105))</f>
        <v/>
      </c>
      <c r="T105" s="5">
        <f>IF(OR(O105="",P105=""),"",O105+P105-M105-N105)</f>
        <v/>
      </c>
      <c r="U105" s="5">
        <f>IF(T105="","先填完整分组",IF(T105&lt;30,"样本太少：仅描述",IF(T105&lt;100,"只作试点候选","可进入独立验证")))</f>
        <v/>
      </c>
      <c r="V105" s="3" t="n"/>
      <c r="W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5">
        <f>IF(COUNTA(A106:G106)&lt;7,"",COUNTIFS('原子事实记录'!$C$2:$C$2001,$D106,'原子事实记录'!$E$2:$E$2001,$A106,'原子事实记录'!$F$2:$F$2001,$B106,'原子事实记录'!$G$2:$G$2001,$C106,'原子事实记录'!$I$2:$I$2001,$E106,'原子事实记录'!$J$2:$J$2001,$F106,'原子事实记录'!$Q$2:$Q$2001,"是",'原子事实记录'!$R$2:$R$2001,"TP"))</f>
        <v/>
      </c>
      <c r="I106" s="5">
        <f>IF(COUNTA(A106:G106)&lt;7,"",COUNTIFS('原子事实记录'!$C$2:$C$2001,$D106,'原子事实记录'!$E$2:$E$2001,$A106,'原子事实记录'!$F$2:$F$2001,$B106,'原子事实记录'!$G$2:$G$2001,$C106,'原子事实记录'!$I$2:$I$2001,$E106,'原子事实记录'!$J$2:$J$2001,$F106,'原子事实记录'!$Q$2:$Q$2001,"是",'原子事实记录'!$R$2:$R$2001,"FP"))</f>
        <v/>
      </c>
      <c r="J106" s="5">
        <f>IF(COUNTA(A106:G106)&lt;7,"",COUNTIFS('原子事实记录'!$C$2:$C$2001,$D106,'原子事实记录'!$E$2:$E$2001,$A106,'原子事实记录'!$F$2:$F$2001,$B106,'原子事实记录'!$G$2:$G$2001,$C106,'原子事实记录'!$I$2:$I$2001,$E106,'原子事实记录'!$J$2:$J$2001,$F106,'原子事实记录'!$Q$2:$Q$2001,"是",'原子事实记录'!$R$2:$R$2001,"FN"))</f>
        <v/>
      </c>
      <c r="K106" s="5">
        <f>IF(COUNTA(A106:G106)&lt;7,"",COUNTIFS('原子事实记录'!$C$2:$C$2001,$D106,'原子事实记录'!$E$2:$E$2001,$A106,'原子事实记录'!$F$2:$F$2001,$B106,'原子事实记录'!$G$2:$G$2001,$C106,'原子事实记录'!$I$2:$I$2001,$E106,'原子事实记录'!$J$2:$J$2001,$F106,'原子事实记录'!$Q$2:$Q$2001,"是",'原子事实记录'!$R$2:$R$2001,"TN"))</f>
        <v/>
      </c>
      <c r="L106" s="5">
        <f>IF(COUNTA(A106:G106)&lt;7,"",COUNTIFS('原子事实记录'!$C$2:$C$2001,$D106,'原子事实记录'!$E$2:$E$2001,$A106,'原子事实记录'!$F$2:$F$2001,$B106,'原子事实记录'!$G$2:$G$2001,$C106,'原子事实记录'!$I$2:$I$2001,$E106,'原子事实记录'!$J$2:$J$2001,$F106,'原子事实记录'!$Q$2:$Q$2001,"是",'原子事实记录'!$R$2:$R$2001,"未知"))</f>
        <v/>
      </c>
      <c r="M106" s="3" t="n"/>
      <c r="N106" s="3" t="n"/>
      <c r="O106" s="5">
        <f>IF(OR(G106="",M106="",N106=""),"",M106+IF(G106="肯定主张正确率",H106,IF(G106="否定主张正确率",K106,IF(G106="灵敏度",H106,K106))))</f>
        <v/>
      </c>
      <c r="P106" s="5">
        <f>IF(OR(G106="",M106="",N106=""),"",N106+IF(G106="肯定主张正确率",I106,IF(G106="否定主张正确率",J106,IF(G106="灵敏度",J106,I106))))</f>
        <v/>
      </c>
      <c r="Q106" s="7">
        <f>IF(OR(O106="",P106=""),"",O106/(O106+P106))</f>
        <v/>
      </c>
      <c r="R106" s="7">
        <f>IF(Q106="","",BETA.INV(0.025,O106,P106))</f>
        <v/>
      </c>
      <c r="S106" s="7">
        <f>IF(Q106="","",BETA.INV(0.975,O106,P106))</f>
        <v/>
      </c>
      <c r="T106" s="5">
        <f>IF(OR(O106="",P106=""),"",O106+P106-M106-N106)</f>
        <v/>
      </c>
      <c r="U106" s="5">
        <f>IF(T106="","先填完整分组",IF(T106&lt;30,"样本太少：仅描述",IF(T106&lt;100,"只作试点候选","可进入独立验证")))</f>
        <v/>
      </c>
      <c r="V106" s="3" t="n"/>
      <c r="W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5">
        <f>IF(COUNTA(A107:G107)&lt;7,"",COUNTIFS('原子事实记录'!$C$2:$C$2001,$D107,'原子事实记录'!$E$2:$E$2001,$A107,'原子事实记录'!$F$2:$F$2001,$B107,'原子事实记录'!$G$2:$G$2001,$C107,'原子事实记录'!$I$2:$I$2001,$E107,'原子事实记录'!$J$2:$J$2001,$F107,'原子事实记录'!$Q$2:$Q$2001,"是",'原子事实记录'!$R$2:$R$2001,"TP"))</f>
        <v/>
      </c>
      <c r="I107" s="5">
        <f>IF(COUNTA(A107:G107)&lt;7,"",COUNTIFS('原子事实记录'!$C$2:$C$2001,$D107,'原子事实记录'!$E$2:$E$2001,$A107,'原子事实记录'!$F$2:$F$2001,$B107,'原子事实记录'!$G$2:$G$2001,$C107,'原子事实记录'!$I$2:$I$2001,$E107,'原子事实记录'!$J$2:$J$2001,$F107,'原子事实记录'!$Q$2:$Q$2001,"是",'原子事实记录'!$R$2:$R$2001,"FP"))</f>
        <v/>
      </c>
      <c r="J107" s="5">
        <f>IF(COUNTA(A107:G107)&lt;7,"",COUNTIFS('原子事实记录'!$C$2:$C$2001,$D107,'原子事实记录'!$E$2:$E$2001,$A107,'原子事实记录'!$F$2:$F$2001,$B107,'原子事实记录'!$G$2:$G$2001,$C107,'原子事实记录'!$I$2:$I$2001,$E107,'原子事实记录'!$J$2:$J$2001,$F107,'原子事实记录'!$Q$2:$Q$2001,"是",'原子事实记录'!$R$2:$R$2001,"FN"))</f>
        <v/>
      </c>
      <c r="K107" s="5">
        <f>IF(COUNTA(A107:G107)&lt;7,"",COUNTIFS('原子事实记录'!$C$2:$C$2001,$D107,'原子事实记录'!$E$2:$E$2001,$A107,'原子事实记录'!$F$2:$F$2001,$B107,'原子事实记录'!$G$2:$G$2001,$C107,'原子事实记录'!$I$2:$I$2001,$E107,'原子事实记录'!$J$2:$J$2001,$F107,'原子事实记录'!$Q$2:$Q$2001,"是",'原子事实记录'!$R$2:$R$2001,"TN"))</f>
        <v/>
      </c>
      <c r="L107" s="5">
        <f>IF(COUNTA(A107:G107)&lt;7,"",COUNTIFS('原子事实记录'!$C$2:$C$2001,$D107,'原子事实记录'!$E$2:$E$2001,$A107,'原子事实记录'!$F$2:$F$2001,$B107,'原子事实记录'!$G$2:$G$2001,$C107,'原子事实记录'!$I$2:$I$2001,$E107,'原子事实记录'!$J$2:$J$2001,$F107,'原子事实记录'!$Q$2:$Q$2001,"是",'原子事实记录'!$R$2:$R$2001,"未知"))</f>
        <v/>
      </c>
      <c r="M107" s="3" t="n"/>
      <c r="N107" s="3" t="n"/>
      <c r="O107" s="5">
        <f>IF(OR(G107="",M107="",N107=""),"",M107+IF(G107="肯定主张正确率",H107,IF(G107="否定主张正确率",K107,IF(G107="灵敏度",H107,K107))))</f>
        <v/>
      </c>
      <c r="P107" s="5">
        <f>IF(OR(G107="",M107="",N107=""),"",N107+IF(G107="肯定主张正确率",I107,IF(G107="否定主张正确率",J107,IF(G107="灵敏度",J107,I107))))</f>
        <v/>
      </c>
      <c r="Q107" s="7">
        <f>IF(OR(O107="",P107=""),"",O107/(O107+P107))</f>
        <v/>
      </c>
      <c r="R107" s="7">
        <f>IF(Q107="","",BETA.INV(0.025,O107,P107))</f>
        <v/>
      </c>
      <c r="S107" s="7">
        <f>IF(Q107="","",BETA.INV(0.975,O107,P107))</f>
        <v/>
      </c>
      <c r="T107" s="5">
        <f>IF(OR(O107="",P107=""),"",O107+P107-M107-N107)</f>
        <v/>
      </c>
      <c r="U107" s="5">
        <f>IF(T107="","先填完整分组",IF(T107&lt;30,"样本太少：仅描述",IF(T107&lt;100,"只作试点候选","可进入独立验证")))</f>
        <v/>
      </c>
      <c r="V107" s="3" t="n"/>
      <c r="W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5">
        <f>IF(COUNTA(A108:G108)&lt;7,"",COUNTIFS('原子事实记录'!$C$2:$C$2001,$D108,'原子事实记录'!$E$2:$E$2001,$A108,'原子事实记录'!$F$2:$F$2001,$B108,'原子事实记录'!$G$2:$G$2001,$C108,'原子事实记录'!$I$2:$I$2001,$E108,'原子事实记录'!$J$2:$J$2001,$F108,'原子事实记录'!$Q$2:$Q$2001,"是",'原子事实记录'!$R$2:$R$2001,"TP"))</f>
        <v/>
      </c>
      <c r="I108" s="5">
        <f>IF(COUNTA(A108:G108)&lt;7,"",COUNTIFS('原子事实记录'!$C$2:$C$2001,$D108,'原子事实记录'!$E$2:$E$2001,$A108,'原子事实记录'!$F$2:$F$2001,$B108,'原子事实记录'!$G$2:$G$2001,$C108,'原子事实记录'!$I$2:$I$2001,$E108,'原子事实记录'!$J$2:$J$2001,$F108,'原子事实记录'!$Q$2:$Q$2001,"是",'原子事实记录'!$R$2:$R$2001,"FP"))</f>
        <v/>
      </c>
      <c r="J108" s="5">
        <f>IF(COUNTA(A108:G108)&lt;7,"",COUNTIFS('原子事实记录'!$C$2:$C$2001,$D108,'原子事实记录'!$E$2:$E$2001,$A108,'原子事实记录'!$F$2:$F$2001,$B108,'原子事实记录'!$G$2:$G$2001,$C108,'原子事实记录'!$I$2:$I$2001,$E108,'原子事实记录'!$J$2:$J$2001,$F108,'原子事实记录'!$Q$2:$Q$2001,"是",'原子事实记录'!$R$2:$R$2001,"FN"))</f>
        <v/>
      </c>
      <c r="K108" s="5">
        <f>IF(COUNTA(A108:G108)&lt;7,"",COUNTIFS('原子事实记录'!$C$2:$C$2001,$D108,'原子事实记录'!$E$2:$E$2001,$A108,'原子事实记录'!$F$2:$F$2001,$B108,'原子事实记录'!$G$2:$G$2001,$C108,'原子事实记录'!$I$2:$I$2001,$E108,'原子事实记录'!$J$2:$J$2001,$F108,'原子事实记录'!$Q$2:$Q$2001,"是",'原子事实记录'!$R$2:$R$2001,"TN"))</f>
        <v/>
      </c>
      <c r="L108" s="5">
        <f>IF(COUNTA(A108:G108)&lt;7,"",COUNTIFS('原子事实记录'!$C$2:$C$2001,$D108,'原子事实记录'!$E$2:$E$2001,$A108,'原子事实记录'!$F$2:$F$2001,$B108,'原子事实记录'!$G$2:$G$2001,$C108,'原子事实记录'!$I$2:$I$2001,$E108,'原子事实记录'!$J$2:$J$2001,$F108,'原子事实记录'!$Q$2:$Q$2001,"是",'原子事实记录'!$R$2:$R$2001,"未知"))</f>
        <v/>
      </c>
      <c r="M108" s="3" t="n"/>
      <c r="N108" s="3" t="n"/>
      <c r="O108" s="5">
        <f>IF(OR(G108="",M108="",N108=""),"",M108+IF(G108="肯定主张正确率",H108,IF(G108="否定主张正确率",K108,IF(G108="灵敏度",H108,K108))))</f>
        <v/>
      </c>
      <c r="P108" s="5">
        <f>IF(OR(G108="",M108="",N108=""),"",N108+IF(G108="肯定主张正确率",I108,IF(G108="否定主张正确率",J108,IF(G108="灵敏度",J108,I108))))</f>
        <v/>
      </c>
      <c r="Q108" s="7">
        <f>IF(OR(O108="",P108=""),"",O108/(O108+P108))</f>
        <v/>
      </c>
      <c r="R108" s="7">
        <f>IF(Q108="","",BETA.INV(0.025,O108,P108))</f>
        <v/>
      </c>
      <c r="S108" s="7">
        <f>IF(Q108="","",BETA.INV(0.975,O108,P108))</f>
        <v/>
      </c>
      <c r="T108" s="5">
        <f>IF(OR(O108="",P108=""),"",O108+P108-M108-N108)</f>
        <v/>
      </c>
      <c r="U108" s="5">
        <f>IF(T108="","先填完整分组",IF(T108&lt;30,"样本太少：仅描述",IF(T108&lt;100,"只作试点候选","可进入独立验证")))</f>
        <v/>
      </c>
      <c r="V108" s="3" t="n"/>
      <c r="W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5">
        <f>IF(COUNTA(A109:G109)&lt;7,"",COUNTIFS('原子事实记录'!$C$2:$C$2001,$D109,'原子事实记录'!$E$2:$E$2001,$A109,'原子事实记录'!$F$2:$F$2001,$B109,'原子事实记录'!$G$2:$G$2001,$C109,'原子事实记录'!$I$2:$I$2001,$E109,'原子事实记录'!$J$2:$J$2001,$F109,'原子事实记录'!$Q$2:$Q$2001,"是",'原子事实记录'!$R$2:$R$2001,"TP"))</f>
        <v/>
      </c>
      <c r="I109" s="5">
        <f>IF(COUNTA(A109:G109)&lt;7,"",COUNTIFS('原子事实记录'!$C$2:$C$2001,$D109,'原子事实记录'!$E$2:$E$2001,$A109,'原子事实记录'!$F$2:$F$2001,$B109,'原子事实记录'!$G$2:$G$2001,$C109,'原子事实记录'!$I$2:$I$2001,$E109,'原子事实记录'!$J$2:$J$2001,$F109,'原子事实记录'!$Q$2:$Q$2001,"是",'原子事实记录'!$R$2:$R$2001,"FP"))</f>
        <v/>
      </c>
      <c r="J109" s="5">
        <f>IF(COUNTA(A109:G109)&lt;7,"",COUNTIFS('原子事实记录'!$C$2:$C$2001,$D109,'原子事实记录'!$E$2:$E$2001,$A109,'原子事实记录'!$F$2:$F$2001,$B109,'原子事实记录'!$G$2:$G$2001,$C109,'原子事实记录'!$I$2:$I$2001,$E109,'原子事实记录'!$J$2:$J$2001,$F109,'原子事实记录'!$Q$2:$Q$2001,"是",'原子事实记录'!$R$2:$R$2001,"FN"))</f>
        <v/>
      </c>
      <c r="K109" s="5">
        <f>IF(COUNTA(A109:G109)&lt;7,"",COUNTIFS('原子事实记录'!$C$2:$C$2001,$D109,'原子事实记录'!$E$2:$E$2001,$A109,'原子事实记录'!$F$2:$F$2001,$B109,'原子事实记录'!$G$2:$G$2001,$C109,'原子事实记录'!$I$2:$I$2001,$E109,'原子事实记录'!$J$2:$J$2001,$F109,'原子事实记录'!$Q$2:$Q$2001,"是",'原子事实记录'!$R$2:$R$2001,"TN"))</f>
        <v/>
      </c>
      <c r="L109" s="5">
        <f>IF(COUNTA(A109:G109)&lt;7,"",COUNTIFS('原子事实记录'!$C$2:$C$2001,$D109,'原子事实记录'!$E$2:$E$2001,$A109,'原子事实记录'!$F$2:$F$2001,$B109,'原子事实记录'!$G$2:$G$2001,$C109,'原子事实记录'!$I$2:$I$2001,$E109,'原子事实记录'!$J$2:$J$2001,$F109,'原子事实记录'!$Q$2:$Q$2001,"是",'原子事实记录'!$R$2:$R$2001,"未知"))</f>
        <v/>
      </c>
      <c r="M109" s="3" t="n"/>
      <c r="N109" s="3" t="n"/>
      <c r="O109" s="5">
        <f>IF(OR(G109="",M109="",N109=""),"",M109+IF(G109="肯定主张正确率",H109,IF(G109="否定主张正确率",K109,IF(G109="灵敏度",H109,K109))))</f>
        <v/>
      </c>
      <c r="P109" s="5">
        <f>IF(OR(G109="",M109="",N109=""),"",N109+IF(G109="肯定主张正确率",I109,IF(G109="否定主张正确率",J109,IF(G109="灵敏度",J109,I109))))</f>
        <v/>
      </c>
      <c r="Q109" s="7">
        <f>IF(OR(O109="",P109=""),"",O109/(O109+P109))</f>
        <v/>
      </c>
      <c r="R109" s="7">
        <f>IF(Q109="","",BETA.INV(0.025,O109,P109))</f>
        <v/>
      </c>
      <c r="S109" s="7">
        <f>IF(Q109="","",BETA.INV(0.975,O109,P109))</f>
        <v/>
      </c>
      <c r="T109" s="5">
        <f>IF(OR(O109="",P109=""),"",O109+P109-M109-N109)</f>
        <v/>
      </c>
      <c r="U109" s="5">
        <f>IF(T109="","先填完整分组",IF(T109&lt;30,"样本太少：仅描述",IF(T109&lt;100,"只作试点候选","可进入独立验证")))</f>
        <v/>
      </c>
      <c r="V109" s="3" t="n"/>
      <c r="W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5">
        <f>IF(COUNTA(A110:G110)&lt;7,"",COUNTIFS('原子事实记录'!$C$2:$C$2001,$D110,'原子事实记录'!$E$2:$E$2001,$A110,'原子事实记录'!$F$2:$F$2001,$B110,'原子事实记录'!$G$2:$G$2001,$C110,'原子事实记录'!$I$2:$I$2001,$E110,'原子事实记录'!$J$2:$J$2001,$F110,'原子事实记录'!$Q$2:$Q$2001,"是",'原子事实记录'!$R$2:$R$2001,"TP"))</f>
        <v/>
      </c>
      <c r="I110" s="5">
        <f>IF(COUNTA(A110:G110)&lt;7,"",COUNTIFS('原子事实记录'!$C$2:$C$2001,$D110,'原子事实记录'!$E$2:$E$2001,$A110,'原子事实记录'!$F$2:$F$2001,$B110,'原子事实记录'!$G$2:$G$2001,$C110,'原子事实记录'!$I$2:$I$2001,$E110,'原子事实记录'!$J$2:$J$2001,$F110,'原子事实记录'!$Q$2:$Q$2001,"是",'原子事实记录'!$R$2:$R$2001,"FP"))</f>
        <v/>
      </c>
      <c r="J110" s="5">
        <f>IF(COUNTA(A110:G110)&lt;7,"",COUNTIFS('原子事实记录'!$C$2:$C$2001,$D110,'原子事实记录'!$E$2:$E$2001,$A110,'原子事实记录'!$F$2:$F$2001,$B110,'原子事实记录'!$G$2:$G$2001,$C110,'原子事实记录'!$I$2:$I$2001,$E110,'原子事实记录'!$J$2:$J$2001,$F110,'原子事实记录'!$Q$2:$Q$2001,"是",'原子事实记录'!$R$2:$R$2001,"FN"))</f>
        <v/>
      </c>
      <c r="K110" s="5">
        <f>IF(COUNTA(A110:G110)&lt;7,"",COUNTIFS('原子事实记录'!$C$2:$C$2001,$D110,'原子事实记录'!$E$2:$E$2001,$A110,'原子事实记录'!$F$2:$F$2001,$B110,'原子事实记录'!$G$2:$G$2001,$C110,'原子事实记录'!$I$2:$I$2001,$E110,'原子事实记录'!$J$2:$J$2001,$F110,'原子事实记录'!$Q$2:$Q$2001,"是",'原子事实记录'!$R$2:$R$2001,"TN"))</f>
        <v/>
      </c>
      <c r="L110" s="5">
        <f>IF(COUNTA(A110:G110)&lt;7,"",COUNTIFS('原子事实记录'!$C$2:$C$2001,$D110,'原子事实记录'!$E$2:$E$2001,$A110,'原子事实记录'!$F$2:$F$2001,$B110,'原子事实记录'!$G$2:$G$2001,$C110,'原子事实记录'!$I$2:$I$2001,$E110,'原子事实记录'!$J$2:$J$2001,$F110,'原子事实记录'!$Q$2:$Q$2001,"是",'原子事实记录'!$R$2:$R$2001,"未知"))</f>
        <v/>
      </c>
      <c r="M110" s="3" t="n"/>
      <c r="N110" s="3" t="n"/>
      <c r="O110" s="5">
        <f>IF(OR(G110="",M110="",N110=""),"",M110+IF(G110="肯定主张正确率",H110,IF(G110="否定主张正确率",K110,IF(G110="灵敏度",H110,K110))))</f>
        <v/>
      </c>
      <c r="P110" s="5">
        <f>IF(OR(G110="",M110="",N110=""),"",N110+IF(G110="肯定主张正确率",I110,IF(G110="否定主张正确率",J110,IF(G110="灵敏度",J110,I110))))</f>
        <v/>
      </c>
      <c r="Q110" s="7">
        <f>IF(OR(O110="",P110=""),"",O110/(O110+P110))</f>
        <v/>
      </c>
      <c r="R110" s="7">
        <f>IF(Q110="","",BETA.INV(0.025,O110,P110))</f>
        <v/>
      </c>
      <c r="S110" s="7">
        <f>IF(Q110="","",BETA.INV(0.975,O110,P110))</f>
        <v/>
      </c>
      <c r="T110" s="5">
        <f>IF(OR(O110="",P110=""),"",O110+P110-M110-N110)</f>
        <v/>
      </c>
      <c r="U110" s="5">
        <f>IF(T110="","先填完整分组",IF(T110&lt;30,"样本太少：仅描述",IF(T110&lt;100,"只作试点候选","可进入独立验证")))</f>
        <v/>
      </c>
      <c r="V110" s="3" t="n"/>
      <c r="W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5">
        <f>IF(COUNTA(A111:G111)&lt;7,"",COUNTIFS('原子事实记录'!$C$2:$C$2001,$D111,'原子事实记录'!$E$2:$E$2001,$A111,'原子事实记录'!$F$2:$F$2001,$B111,'原子事实记录'!$G$2:$G$2001,$C111,'原子事实记录'!$I$2:$I$2001,$E111,'原子事实记录'!$J$2:$J$2001,$F111,'原子事实记录'!$Q$2:$Q$2001,"是",'原子事实记录'!$R$2:$R$2001,"TP"))</f>
        <v/>
      </c>
      <c r="I111" s="5">
        <f>IF(COUNTA(A111:G111)&lt;7,"",COUNTIFS('原子事实记录'!$C$2:$C$2001,$D111,'原子事实记录'!$E$2:$E$2001,$A111,'原子事实记录'!$F$2:$F$2001,$B111,'原子事实记录'!$G$2:$G$2001,$C111,'原子事实记录'!$I$2:$I$2001,$E111,'原子事实记录'!$J$2:$J$2001,$F111,'原子事实记录'!$Q$2:$Q$2001,"是",'原子事实记录'!$R$2:$R$2001,"FP"))</f>
        <v/>
      </c>
      <c r="J111" s="5">
        <f>IF(COUNTA(A111:G111)&lt;7,"",COUNTIFS('原子事实记录'!$C$2:$C$2001,$D111,'原子事实记录'!$E$2:$E$2001,$A111,'原子事实记录'!$F$2:$F$2001,$B111,'原子事实记录'!$G$2:$G$2001,$C111,'原子事实记录'!$I$2:$I$2001,$E111,'原子事实记录'!$J$2:$J$2001,$F111,'原子事实记录'!$Q$2:$Q$2001,"是",'原子事实记录'!$R$2:$R$2001,"FN"))</f>
        <v/>
      </c>
      <c r="K111" s="5">
        <f>IF(COUNTA(A111:G111)&lt;7,"",COUNTIFS('原子事实记录'!$C$2:$C$2001,$D111,'原子事实记录'!$E$2:$E$2001,$A111,'原子事实记录'!$F$2:$F$2001,$B111,'原子事实记录'!$G$2:$G$2001,$C111,'原子事实记录'!$I$2:$I$2001,$E111,'原子事实记录'!$J$2:$J$2001,$F111,'原子事实记录'!$Q$2:$Q$2001,"是",'原子事实记录'!$R$2:$R$2001,"TN"))</f>
        <v/>
      </c>
      <c r="L111" s="5">
        <f>IF(COUNTA(A111:G111)&lt;7,"",COUNTIFS('原子事实记录'!$C$2:$C$2001,$D111,'原子事实记录'!$E$2:$E$2001,$A111,'原子事实记录'!$F$2:$F$2001,$B111,'原子事实记录'!$G$2:$G$2001,$C111,'原子事实记录'!$I$2:$I$2001,$E111,'原子事实记录'!$J$2:$J$2001,$F111,'原子事实记录'!$Q$2:$Q$2001,"是",'原子事实记录'!$R$2:$R$2001,"未知"))</f>
        <v/>
      </c>
      <c r="M111" s="3" t="n"/>
      <c r="N111" s="3" t="n"/>
      <c r="O111" s="5">
        <f>IF(OR(G111="",M111="",N111=""),"",M111+IF(G111="肯定主张正确率",H111,IF(G111="否定主张正确率",K111,IF(G111="灵敏度",H111,K111))))</f>
        <v/>
      </c>
      <c r="P111" s="5">
        <f>IF(OR(G111="",M111="",N111=""),"",N111+IF(G111="肯定主张正确率",I111,IF(G111="否定主张正确率",J111,IF(G111="灵敏度",J111,I111))))</f>
        <v/>
      </c>
      <c r="Q111" s="7">
        <f>IF(OR(O111="",P111=""),"",O111/(O111+P111))</f>
        <v/>
      </c>
      <c r="R111" s="7">
        <f>IF(Q111="","",BETA.INV(0.025,O111,P111))</f>
        <v/>
      </c>
      <c r="S111" s="7">
        <f>IF(Q111="","",BETA.INV(0.975,O111,P111))</f>
        <v/>
      </c>
      <c r="T111" s="5">
        <f>IF(OR(O111="",P111=""),"",O111+P111-M111-N111)</f>
        <v/>
      </c>
      <c r="U111" s="5">
        <f>IF(T111="","先填完整分组",IF(T111&lt;30,"样本太少：仅描述",IF(T111&lt;100,"只作试点候选","可进入独立验证")))</f>
        <v/>
      </c>
      <c r="V111" s="3" t="n"/>
      <c r="W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5">
        <f>IF(COUNTA(A112:G112)&lt;7,"",COUNTIFS('原子事实记录'!$C$2:$C$2001,$D112,'原子事实记录'!$E$2:$E$2001,$A112,'原子事实记录'!$F$2:$F$2001,$B112,'原子事实记录'!$G$2:$G$2001,$C112,'原子事实记录'!$I$2:$I$2001,$E112,'原子事实记录'!$J$2:$J$2001,$F112,'原子事实记录'!$Q$2:$Q$2001,"是",'原子事实记录'!$R$2:$R$2001,"TP"))</f>
        <v/>
      </c>
      <c r="I112" s="5">
        <f>IF(COUNTA(A112:G112)&lt;7,"",COUNTIFS('原子事实记录'!$C$2:$C$2001,$D112,'原子事实记录'!$E$2:$E$2001,$A112,'原子事实记录'!$F$2:$F$2001,$B112,'原子事实记录'!$G$2:$G$2001,$C112,'原子事实记录'!$I$2:$I$2001,$E112,'原子事实记录'!$J$2:$J$2001,$F112,'原子事实记录'!$Q$2:$Q$2001,"是",'原子事实记录'!$R$2:$R$2001,"FP"))</f>
        <v/>
      </c>
      <c r="J112" s="5">
        <f>IF(COUNTA(A112:G112)&lt;7,"",COUNTIFS('原子事实记录'!$C$2:$C$2001,$D112,'原子事实记录'!$E$2:$E$2001,$A112,'原子事实记录'!$F$2:$F$2001,$B112,'原子事实记录'!$G$2:$G$2001,$C112,'原子事实记录'!$I$2:$I$2001,$E112,'原子事实记录'!$J$2:$J$2001,$F112,'原子事实记录'!$Q$2:$Q$2001,"是",'原子事实记录'!$R$2:$R$2001,"FN"))</f>
        <v/>
      </c>
      <c r="K112" s="5">
        <f>IF(COUNTA(A112:G112)&lt;7,"",COUNTIFS('原子事实记录'!$C$2:$C$2001,$D112,'原子事实记录'!$E$2:$E$2001,$A112,'原子事实记录'!$F$2:$F$2001,$B112,'原子事实记录'!$G$2:$G$2001,$C112,'原子事实记录'!$I$2:$I$2001,$E112,'原子事实记录'!$J$2:$J$2001,$F112,'原子事实记录'!$Q$2:$Q$2001,"是",'原子事实记录'!$R$2:$R$2001,"TN"))</f>
        <v/>
      </c>
      <c r="L112" s="5">
        <f>IF(COUNTA(A112:G112)&lt;7,"",COUNTIFS('原子事实记录'!$C$2:$C$2001,$D112,'原子事实记录'!$E$2:$E$2001,$A112,'原子事实记录'!$F$2:$F$2001,$B112,'原子事实记录'!$G$2:$G$2001,$C112,'原子事实记录'!$I$2:$I$2001,$E112,'原子事实记录'!$J$2:$J$2001,$F112,'原子事实记录'!$Q$2:$Q$2001,"是",'原子事实记录'!$R$2:$R$2001,"未知"))</f>
        <v/>
      </c>
      <c r="M112" s="3" t="n"/>
      <c r="N112" s="3" t="n"/>
      <c r="O112" s="5">
        <f>IF(OR(G112="",M112="",N112=""),"",M112+IF(G112="肯定主张正确率",H112,IF(G112="否定主张正确率",K112,IF(G112="灵敏度",H112,K112))))</f>
        <v/>
      </c>
      <c r="P112" s="5">
        <f>IF(OR(G112="",M112="",N112=""),"",N112+IF(G112="肯定主张正确率",I112,IF(G112="否定主张正确率",J112,IF(G112="灵敏度",J112,I112))))</f>
        <v/>
      </c>
      <c r="Q112" s="7">
        <f>IF(OR(O112="",P112=""),"",O112/(O112+P112))</f>
        <v/>
      </c>
      <c r="R112" s="7">
        <f>IF(Q112="","",BETA.INV(0.025,O112,P112))</f>
        <v/>
      </c>
      <c r="S112" s="7">
        <f>IF(Q112="","",BETA.INV(0.975,O112,P112))</f>
        <v/>
      </c>
      <c r="T112" s="5">
        <f>IF(OR(O112="",P112=""),"",O112+P112-M112-N112)</f>
        <v/>
      </c>
      <c r="U112" s="5">
        <f>IF(T112="","先填完整分组",IF(T112&lt;30,"样本太少：仅描述",IF(T112&lt;100,"只作试点候选","可进入独立验证")))</f>
        <v/>
      </c>
      <c r="V112" s="3" t="n"/>
      <c r="W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5">
        <f>IF(COUNTA(A113:G113)&lt;7,"",COUNTIFS('原子事实记录'!$C$2:$C$2001,$D113,'原子事实记录'!$E$2:$E$2001,$A113,'原子事实记录'!$F$2:$F$2001,$B113,'原子事实记录'!$G$2:$G$2001,$C113,'原子事实记录'!$I$2:$I$2001,$E113,'原子事实记录'!$J$2:$J$2001,$F113,'原子事实记录'!$Q$2:$Q$2001,"是",'原子事实记录'!$R$2:$R$2001,"TP"))</f>
        <v/>
      </c>
      <c r="I113" s="5">
        <f>IF(COUNTA(A113:G113)&lt;7,"",COUNTIFS('原子事实记录'!$C$2:$C$2001,$D113,'原子事实记录'!$E$2:$E$2001,$A113,'原子事实记录'!$F$2:$F$2001,$B113,'原子事实记录'!$G$2:$G$2001,$C113,'原子事实记录'!$I$2:$I$2001,$E113,'原子事实记录'!$J$2:$J$2001,$F113,'原子事实记录'!$Q$2:$Q$2001,"是",'原子事实记录'!$R$2:$R$2001,"FP"))</f>
        <v/>
      </c>
      <c r="J113" s="5">
        <f>IF(COUNTA(A113:G113)&lt;7,"",COUNTIFS('原子事实记录'!$C$2:$C$2001,$D113,'原子事实记录'!$E$2:$E$2001,$A113,'原子事实记录'!$F$2:$F$2001,$B113,'原子事实记录'!$G$2:$G$2001,$C113,'原子事实记录'!$I$2:$I$2001,$E113,'原子事实记录'!$J$2:$J$2001,$F113,'原子事实记录'!$Q$2:$Q$2001,"是",'原子事实记录'!$R$2:$R$2001,"FN"))</f>
        <v/>
      </c>
      <c r="K113" s="5">
        <f>IF(COUNTA(A113:G113)&lt;7,"",COUNTIFS('原子事实记录'!$C$2:$C$2001,$D113,'原子事实记录'!$E$2:$E$2001,$A113,'原子事实记录'!$F$2:$F$2001,$B113,'原子事实记录'!$G$2:$G$2001,$C113,'原子事实记录'!$I$2:$I$2001,$E113,'原子事实记录'!$J$2:$J$2001,$F113,'原子事实记录'!$Q$2:$Q$2001,"是",'原子事实记录'!$R$2:$R$2001,"TN"))</f>
        <v/>
      </c>
      <c r="L113" s="5">
        <f>IF(COUNTA(A113:G113)&lt;7,"",COUNTIFS('原子事实记录'!$C$2:$C$2001,$D113,'原子事实记录'!$E$2:$E$2001,$A113,'原子事实记录'!$F$2:$F$2001,$B113,'原子事实记录'!$G$2:$G$2001,$C113,'原子事实记录'!$I$2:$I$2001,$E113,'原子事实记录'!$J$2:$J$2001,$F113,'原子事实记录'!$Q$2:$Q$2001,"是",'原子事实记录'!$R$2:$R$2001,"未知"))</f>
        <v/>
      </c>
      <c r="M113" s="3" t="n"/>
      <c r="N113" s="3" t="n"/>
      <c r="O113" s="5">
        <f>IF(OR(G113="",M113="",N113=""),"",M113+IF(G113="肯定主张正确率",H113,IF(G113="否定主张正确率",K113,IF(G113="灵敏度",H113,K113))))</f>
        <v/>
      </c>
      <c r="P113" s="5">
        <f>IF(OR(G113="",M113="",N113=""),"",N113+IF(G113="肯定主张正确率",I113,IF(G113="否定主张正确率",J113,IF(G113="灵敏度",J113,I113))))</f>
        <v/>
      </c>
      <c r="Q113" s="7">
        <f>IF(OR(O113="",P113=""),"",O113/(O113+P113))</f>
        <v/>
      </c>
      <c r="R113" s="7">
        <f>IF(Q113="","",BETA.INV(0.025,O113,P113))</f>
        <v/>
      </c>
      <c r="S113" s="7">
        <f>IF(Q113="","",BETA.INV(0.975,O113,P113))</f>
        <v/>
      </c>
      <c r="T113" s="5">
        <f>IF(OR(O113="",P113=""),"",O113+P113-M113-N113)</f>
        <v/>
      </c>
      <c r="U113" s="5">
        <f>IF(T113="","先填完整分组",IF(T113&lt;30,"样本太少：仅描述",IF(T113&lt;100,"只作试点候选","可进入独立验证")))</f>
        <v/>
      </c>
      <c r="V113" s="3" t="n"/>
      <c r="W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5">
        <f>IF(COUNTA(A114:G114)&lt;7,"",COUNTIFS('原子事实记录'!$C$2:$C$2001,$D114,'原子事实记录'!$E$2:$E$2001,$A114,'原子事实记录'!$F$2:$F$2001,$B114,'原子事实记录'!$G$2:$G$2001,$C114,'原子事实记录'!$I$2:$I$2001,$E114,'原子事实记录'!$J$2:$J$2001,$F114,'原子事实记录'!$Q$2:$Q$2001,"是",'原子事实记录'!$R$2:$R$2001,"TP"))</f>
        <v/>
      </c>
      <c r="I114" s="5">
        <f>IF(COUNTA(A114:G114)&lt;7,"",COUNTIFS('原子事实记录'!$C$2:$C$2001,$D114,'原子事实记录'!$E$2:$E$2001,$A114,'原子事实记录'!$F$2:$F$2001,$B114,'原子事实记录'!$G$2:$G$2001,$C114,'原子事实记录'!$I$2:$I$2001,$E114,'原子事实记录'!$J$2:$J$2001,$F114,'原子事实记录'!$Q$2:$Q$2001,"是",'原子事实记录'!$R$2:$R$2001,"FP"))</f>
        <v/>
      </c>
      <c r="J114" s="5">
        <f>IF(COUNTA(A114:G114)&lt;7,"",COUNTIFS('原子事实记录'!$C$2:$C$2001,$D114,'原子事实记录'!$E$2:$E$2001,$A114,'原子事实记录'!$F$2:$F$2001,$B114,'原子事实记录'!$G$2:$G$2001,$C114,'原子事实记录'!$I$2:$I$2001,$E114,'原子事实记录'!$J$2:$J$2001,$F114,'原子事实记录'!$Q$2:$Q$2001,"是",'原子事实记录'!$R$2:$R$2001,"FN"))</f>
        <v/>
      </c>
      <c r="K114" s="5">
        <f>IF(COUNTA(A114:G114)&lt;7,"",COUNTIFS('原子事实记录'!$C$2:$C$2001,$D114,'原子事实记录'!$E$2:$E$2001,$A114,'原子事实记录'!$F$2:$F$2001,$B114,'原子事实记录'!$G$2:$G$2001,$C114,'原子事实记录'!$I$2:$I$2001,$E114,'原子事实记录'!$J$2:$J$2001,$F114,'原子事实记录'!$Q$2:$Q$2001,"是",'原子事实记录'!$R$2:$R$2001,"TN"))</f>
        <v/>
      </c>
      <c r="L114" s="5">
        <f>IF(COUNTA(A114:G114)&lt;7,"",COUNTIFS('原子事实记录'!$C$2:$C$2001,$D114,'原子事实记录'!$E$2:$E$2001,$A114,'原子事实记录'!$F$2:$F$2001,$B114,'原子事实记录'!$G$2:$G$2001,$C114,'原子事实记录'!$I$2:$I$2001,$E114,'原子事实记录'!$J$2:$J$2001,$F114,'原子事实记录'!$Q$2:$Q$2001,"是",'原子事实记录'!$R$2:$R$2001,"未知"))</f>
        <v/>
      </c>
      <c r="M114" s="3" t="n"/>
      <c r="N114" s="3" t="n"/>
      <c r="O114" s="5">
        <f>IF(OR(G114="",M114="",N114=""),"",M114+IF(G114="肯定主张正确率",H114,IF(G114="否定主张正确率",K114,IF(G114="灵敏度",H114,K114))))</f>
        <v/>
      </c>
      <c r="P114" s="5">
        <f>IF(OR(G114="",M114="",N114=""),"",N114+IF(G114="肯定主张正确率",I114,IF(G114="否定主张正确率",J114,IF(G114="灵敏度",J114,I114))))</f>
        <v/>
      </c>
      <c r="Q114" s="7">
        <f>IF(OR(O114="",P114=""),"",O114/(O114+P114))</f>
        <v/>
      </c>
      <c r="R114" s="7">
        <f>IF(Q114="","",BETA.INV(0.025,O114,P114))</f>
        <v/>
      </c>
      <c r="S114" s="7">
        <f>IF(Q114="","",BETA.INV(0.975,O114,P114))</f>
        <v/>
      </c>
      <c r="T114" s="5">
        <f>IF(OR(O114="",P114=""),"",O114+P114-M114-N114)</f>
        <v/>
      </c>
      <c r="U114" s="5">
        <f>IF(T114="","先填完整分组",IF(T114&lt;30,"样本太少：仅描述",IF(T114&lt;100,"只作试点候选","可进入独立验证")))</f>
        <v/>
      </c>
      <c r="V114" s="3" t="n"/>
      <c r="W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5">
        <f>IF(COUNTA(A115:G115)&lt;7,"",COUNTIFS('原子事实记录'!$C$2:$C$2001,$D115,'原子事实记录'!$E$2:$E$2001,$A115,'原子事实记录'!$F$2:$F$2001,$B115,'原子事实记录'!$G$2:$G$2001,$C115,'原子事实记录'!$I$2:$I$2001,$E115,'原子事实记录'!$J$2:$J$2001,$F115,'原子事实记录'!$Q$2:$Q$2001,"是",'原子事实记录'!$R$2:$R$2001,"TP"))</f>
        <v/>
      </c>
      <c r="I115" s="5">
        <f>IF(COUNTA(A115:G115)&lt;7,"",COUNTIFS('原子事实记录'!$C$2:$C$2001,$D115,'原子事实记录'!$E$2:$E$2001,$A115,'原子事实记录'!$F$2:$F$2001,$B115,'原子事实记录'!$G$2:$G$2001,$C115,'原子事实记录'!$I$2:$I$2001,$E115,'原子事实记录'!$J$2:$J$2001,$F115,'原子事实记录'!$Q$2:$Q$2001,"是",'原子事实记录'!$R$2:$R$2001,"FP"))</f>
        <v/>
      </c>
      <c r="J115" s="5">
        <f>IF(COUNTA(A115:G115)&lt;7,"",COUNTIFS('原子事实记录'!$C$2:$C$2001,$D115,'原子事实记录'!$E$2:$E$2001,$A115,'原子事实记录'!$F$2:$F$2001,$B115,'原子事实记录'!$G$2:$G$2001,$C115,'原子事实记录'!$I$2:$I$2001,$E115,'原子事实记录'!$J$2:$J$2001,$F115,'原子事实记录'!$Q$2:$Q$2001,"是",'原子事实记录'!$R$2:$R$2001,"FN"))</f>
        <v/>
      </c>
      <c r="K115" s="5">
        <f>IF(COUNTA(A115:G115)&lt;7,"",COUNTIFS('原子事实记录'!$C$2:$C$2001,$D115,'原子事实记录'!$E$2:$E$2001,$A115,'原子事实记录'!$F$2:$F$2001,$B115,'原子事实记录'!$G$2:$G$2001,$C115,'原子事实记录'!$I$2:$I$2001,$E115,'原子事实记录'!$J$2:$J$2001,$F115,'原子事实记录'!$Q$2:$Q$2001,"是",'原子事实记录'!$R$2:$R$2001,"TN"))</f>
        <v/>
      </c>
      <c r="L115" s="5">
        <f>IF(COUNTA(A115:G115)&lt;7,"",COUNTIFS('原子事实记录'!$C$2:$C$2001,$D115,'原子事实记录'!$E$2:$E$2001,$A115,'原子事实记录'!$F$2:$F$2001,$B115,'原子事实记录'!$G$2:$G$2001,$C115,'原子事实记录'!$I$2:$I$2001,$E115,'原子事实记录'!$J$2:$J$2001,$F115,'原子事实记录'!$Q$2:$Q$2001,"是",'原子事实记录'!$R$2:$R$2001,"未知"))</f>
        <v/>
      </c>
      <c r="M115" s="3" t="n"/>
      <c r="N115" s="3" t="n"/>
      <c r="O115" s="5">
        <f>IF(OR(G115="",M115="",N115=""),"",M115+IF(G115="肯定主张正确率",H115,IF(G115="否定主张正确率",K115,IF(G115="灵敏度",H115,K115))))</f>
        <v/>
      </c>
      <c r="P115" s="5">
        <f>IF(OR(G115="",M115="",N115=""),"",N115+IF(G115="肯定主张正确率",I115,IF(G115="否定主张正确率",J115,IF(G115="灵敏度",J115,I115))))</f>
        <v/>
      </c>
      <c r="Q115" s="7">
        <f>IF(OR(O115="",P115=""),"",O115/(O115+P115))</f>
        <v/>
      </c>
      <c r="R115" s="7">
        <f>IF(Q115="","",BETA.INV(0.025,O115,P115))</f>
        <v/>
      </c>
      <c r="S115" s="7">
        <f>IF(Q115="","",BETA.INV(0.975,O115,P115))</f>
        <v/>
      </c>
      <c r="T115" s="5">
        <f>IF(OR(O115="",P115=""),"",O115+P115-M115-N115)</f>
        <v/>
      </c>
      <c r="U115" s="5">
        <f>IF(T115="","先填完整分组",IF(T115&lt;30,"样本太少：仅描述",IF(T115&lt;100,"只作试点候选","可进入独立验证")))</f>
        <v/>
      </c>
      <c r="V115" s="3" t="n"/>
      <c r="W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5">
        <f>IF(COUNTA(A116:G116)&lt;7,"",COUNTIFS('原子事实记录'!$C$2:$C$2001,$D116,'原子事实记录'!$E$2:$E$2001,$A116,'原子事实记录'!$F$2:$F$2001,$B116,'原子事实记录'!$G$2:$G$2001,$C116,'原子事实记录'!$I$2:$I$2001,$E116,'原子事实记录'!$J$2:$J$2001,$F116,'原子事实记录'!$Q$2:$Q$2001,"是",'原子事实记录'!$R$2:$R$2001,"TP"))</f>
        <v/>
      </c>
      <c r="I116" s="5">
        <f>IF(COUNTA(A116:G116)&lt;7,"",COUNTIFS('原子事实记录'!$C$2:$C$2001,$D116,'原子事实记录'!$E$2:$E$2001,$A116,'原子事实记录'!$F$2:$F$2001,$B116,'原子事实记录'!$G$2:$G$2001,$C116,'原子事实记录'!$I$2:$I$2001,$E116,'原子事实记录'!$J$2:$J$2001,$F116,'原子事实记录'!$Q$2:$Q$2001,"是",'原子事实记录'!$R$2:$R$2001,"FP"))</f>
        <v/>
      </c>
      <c r="J116" s="5">
        <f>IF(COUNTA(A116:G116)&lt;7,"",COUNTIFS('原子事实记录'!$C$2:$C$2001,$D116,'原子事实记录'!$E$2:$E$2001,$A116,'原子事实记录'!$F$2:$F$2001,$B116,'原子事实记录'!$G$2:$G$2001,$C116,'原子事实记录'!$I$2:$I$2001,$E116,'原子事实记录'!$J$2:$J$2001,$F116,'原子事实记录'!$Q$2:$Q$2001,"是",'原子事实记录'!$R$2:$R$2001,"FN"))</f>
        <v/>
      </c>
      <c r="K116" s="5">
        <f>IF(COUNTA(A116:G116)&lt;7,"",COUNTIFS('原子事实记录'!$C$2:$C$2001,$D116,'原子事实记录'!$E$2:$E$2001,$A116,'原子事实记录'!$F$2:$F$2001,$B116,'原子事实记录'!$G$2:$G$2001,$C116,'原子事实记录'!$I$2:$I$2001,$E116,'原子事实记录'!$J$2:$J$2001,$F116,'原子事实记录'!$Q$2:$Q$2001,"是",'原子事实记录'!$R$2:$R$2001,"TN"))</f>
        <v/>
      </c>
      <c r="L116" s="5">
        <f>IF(COUNTA(A116:G116)&lt;7,"",COUNTIFS('原子事实记录'!$C$2:$C$2001,$D116,'原子事实记录'!$E$2:$E$2001,$A116,'原子事实记录'!$F$2:$F$2001,$B116,'原子事实记录'!$G$2:$G$2001,$C116,'原子事实记录'!$I$2:$I$2001,$E116,'原子事实记录'!$J$2:$J$2001,$F116,'原子事实记录'!$Q$2:$Q$2001,"是",'原子事实记录'!$R$2:$R$2001,"未知"))</f>
        <v/>
      </c>
      <c r="M116" s="3" t="n"/>
      <c r="N116" s="3" t="n"/>
      <c r="O116" s="5">
        <f>IF(OR(G116="",M116="",N116=""),"",M116+IF(G116="肯定主张正确率",H116,IF(G116="否定主张正确率",K116,IF(G116="灵敏度",H116,K116))))</f>
        <v/>
      </c>
      <c r="P116" s="5">
        <f>IF(OR(G116="",M116="",N116=""),"",N116+IF(G116="肯定主张正确率",I116,IF(G116="否定主张正确率",J116,IF(G116="灵敏度",J116,I116))))</f>
        <v/>
      </c>
      <c r="Q116" s="7">
        <f>IF(OR(O116="",P116=""),"",O116/(O116+P116))</f>
        <v/>
      </c>
      <c r="R116" s="7">
        <f>IF(Q116="","",BETA.INV(0.025,O116,P116))</f>
        <v/>
      </c>
      <c r="S116" s="7">
        <f>IF(Q116="","",BETA.INV(0.975,O116,P116))</f>
        <v/>
      </c>
      <c r="T116" s="5">
        <f>IF(OR(O116="",P116=""),"",O116+P116-M116-N116)</f>
        <v/>
      </c>
      <c r="U116" s="5">
        <f>IF(T116="","先填完整分组",IF(T116&lt;30,"样本太少：仅描述",IF(T116&lt;100,"只作试点候选","可进入独立验证")))</f>
        <v/>
      </c>
      <c r="V116" s="3" t="n"/>
      <c r="W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5">
        <f>IF(COUNTA(A117:G117)&lt;7,"",COUNTIFS('原子事实记录'!$C$2:$C$2001,$D117,'原子事实记录'!$E$2:$E$2001,$A117,'原子事实记录'!$F$2:$F$2001,$B117,'原子事实记录'!$G$2:$G$2001,$C117,'原子事实记录'!$I$2:$I$2001,$E117,'原子事实记录'!$J$2:$J$2001,$F117,'原子事实记录'!$Q$2:$Q$2001,"是",'原子事实记录'!$R$2:$R$2001,"TP"))</f>
        <v/>
      </c>
      <c r="I117" s="5">
        <f>IF(COUNTA(A117:G117)&lt;7,"",COUNTIFS('原子事实记录'!$C$2:$C$2001,$D117,'原子事实记录'!$E$2:$E$2001,$A117,'原子事实记录'!$F$2:$F$2001,$B117,'原子事实记录'!$G$2:$G$2001,$C117,'原子事实记录'!$I$2:$I$2001,$E117,'原子事实记录'!$J$2:$J$2001,$F117,'原子事实记录'!$Q$2:$Q$2001,"是",'原子事实记录'!$R$2:$R$2001,"FP"))</f>
        <v/>
      </c>
      <c r="J117" s="5">
        <f>IF(COUNTA(A117:G117)&lt;7,"",COUNTIFS('原子事实记录'!$C$2:$C$2001,$D117,'原子事实记录'!$E$2:$E$2001,$A117,'原子事实记录'!$F$2:$F$2001,$B117,'原子事实记录'!$G$2:$G$2001,$C117,'原子事实记录'!$I$2:$I$2001,$E117,'原子事实记录'!$J$2:$J$2001,$F117,'原子事实记录'!$Q$2:$Q$2001,"是",'原子事实记录'!$R$2:$R$2001,"FN"))</f>
        <v/>
      </c>
      <c r="K117" s="5">
        <f>IF(COUNTA(A117:G117)&lt;7,"",COUNTIFS('原子事实记录'!$C$2:$C$2001,$D117,'原子事实记录'!$E$2:$E$2001,$A117,'原子事实记录'!$F$2:$F$2001,$B117,'原子事实记录'!$G$2:$G$2001,$C117,'原子事实记录'!$I$2:$I$2001,$E117,'原子事实记录'!$J$2:$J$2001,$F117,'原子事实记录'!$Q$2:$Q$2001,"是",'原子事实记录'!$R$2:$R$2001,"TN"))</f>
        <v/>
      </c>
      <c r="L117" s="5">
        <f>IF(COUNTA(A117:G117)&lt;7,"",COUNTIFS('原子事实记录'!$C$2:$C$2001,$D117,'原子事实记录'!$E$2:$E$2001,$A117,'原子事实记录'!$F$2:$F$2001,$B117,'原子事实记录'!$G$2:$G$2001,$C117,'原子事实记录'!$I$2:$I$2001,$E117,'原子事实记录'!$J$2:$J$2001,$F117,'原子事实记录'!$Q$2:$Q$2001,"是",'原子事实记录'!$R$2:$R$2001,"未知"))</f>
        <v/>
      </c>
      <c r="M117" s="3" t="n"/>
      <c r="N117" s="3" t="n"/>
      <c r="O117" s="5">
        <f>IF(OR(G117="",M117="",N117=""),"",M117+IF(G117="肯定主张正确率",H117,IF(G117="否定主张正确率",K117,IF(G117="灵敏度",H117,K117))))</f>
        <v/>
      </c>
      <c r="P117" s="5">
        <f>IF(OR(G117="",M117="",N117=""),"",N117+IF(G117="肯定主张正确率",I117,IF(G117="否定主张正确率",J117,IF(G117="灵敏度",J117,I117))))</f>
        <v/>
      </c>
      <c r="Q117" s="7">
        <f>IF(OR(O117="",P117=""),"",O117/(O117+P117))</f>
        <v/>
      </c>
      <c r="R117" s="7">
        <f>IF(Q117="","",BETA.INV(0.025,O117,P117))</f>
        <v/>
      </c>
      <c r="S117" s="7">
        <f>IF(Q117="","",BETA.INV(0.975,O117,P117))</f>
        <v/>
      </c>
      <c r="T117" s="5">
        <f>IF(OR(O117="",P117=""),"",O117+P117-M117-N117)</f>
        <v/>
      </c>
      <c r="U117" s="5">
        <f>IF(T117="","先填完整分组",IF(T117&lt;30,"样本太少：仅描述",IF(T117&lt;100,"只作试点候选","可进入独立验证")))</f>
        <v/>
      </c>
      <c r="V117" s="3" t="n"/>
      <c r="W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5">
        <f>IF(COUNTA(A118:G118)&lt;7,"",COUNTIFS('原子事实记录'!$C$2:$C$2001,$D118,'原子事实记录'!$E$2:$E$2001,$A118,'原子事实记录'!$F$2:$F$2001,$B118,'原子事实记录'!$G$2:$G$2001,$C118,'原子事实记录'!$I$2:$I$2001,$E118,'原子事实记录'!$J$2:$J$2001,$F118,'原子事实记录'!$Q$2:$Q$2001,"是",'原子事实记录'!$R$2:$R$2001,"TP"))</f>
        <v/>
      </c>
      <c r="I118" s="5">
        <f>IF(COUNTA(A118:G118)&lt;7,"",COUNTIFS('原子事实记录'!$C$2:$C$2001,$D118,'原子事实记录'!$E$2:$E$2001,$A118,'原子事实记录'!$F$2:$F$2001,$B118,'原子事实记录'!$G$2:$G$2001,$C118,'原子事实记录'!$I$2:$I$2001,$E118,'原子事实记录'!$J$2:$J$2001,$F118,'原子事实记录'!$Q$2:$Q$2001,"是",'原子事实记录'!$R$2:$R$2001,"FP"))</f>
        <v/>
      </c>
      <c r="J118" s="5">
        <f>IF(COUNTA(A118:G118)&lt;7,"",COUNTIFS('原子事实记录'!$C$2:$C$2001,$D118,'原子事实记录'!$E$2:$E$2001,$A118,'原子事实记录'!$F$2:$F$2001,$B118,'原子事实记录'!$G$2:$G$2001,$C118,'原子事实记录'!$I$2:$I$2001,$E118,'原子事实记录'!$J$2:$J$2001,$F118,'原子事实记录'!$Q$2:$Q$2001,"是",'原子事实记录'!$R$2:$R$2001,"FN"))</f>
        <v/>
      </c>
      <c r="K118" s="5">
        <f>IF(COUNTA(A118:G118)&lt;7,"",COUNTIFS('原子事实记录'!$C$2:$C$2001,$D118,'原子事实记录'!$E$2:$E$2001,$A118,'原子事实记录'!$F$2:$F$2001,$B118,'原子事实记录'!$G$2:$G$2001,$C118,'原子事实记录'!$I$2:$I$2001,$E118,'原子事实记录'!$J$2:$J$2001,$F118,'原子事实记录'!$Q$2:$Q$2001,"是",'原子事实记录'!$R$2:$R$2001,"TN"))</f>
        <v/>
      </c>
      <c r="L118" s="5">
        <f>IF(COUNTA(A118:G118)&lt;7,"",COUNTIFS('原子事实记录'!$C$2:$C$2001,$D118,'原子事实记录'!$E$2:$E$2001,$A118,'原子事实记录'!$F$2:$F$2001,$B118,'原子事实记录'!$G$2:$G$2001,$C118,'原子事实记录'!$I$2:$I$2001,$E118,'原子事实记录'!$J$2:$J$2001,$F118,'原子事实记录'!$Q$2:$Q$2001,"是",'原子事实记录'!$R$2:$R$2001,"未知"))</f>
        <v/>
      </c>
      <c r="M118" s="3" t="n"/>
      <c r="N118" s="3" t="n"/>
      <c r="O118" s="5">
        <f>IF(OR(G118="",M118="",N118=""),"",M118+IF(G118="肯定主张正确率",H118,IF(G118="否定主张正确率",K118,IF(G118="灵敏度",H118,K118))))</f>
        <v/>
      </c>
      <c r="P118" s="5">
        <f>IF(OR(G118="",M118="",N118=""),"",N118+IF(G118="肯定主张正确率",I118,IF(G118="否定主张正确率",J118,IF(G118="灵敏度",J118,I118))))</f>
        <v/>
      </c>
      <c r="Q118" s="7">
        <f>IF(OR(O118="",P118=""),"",O118/(O118+P118))</f>
        <v/>
      </c>
      <c r="R118" s="7">
        <f>IF(Q118="","",BETA.INV(0.025,O118,P118))</f>
        <v/>
      </c>
      <c r="S118" s="7">
        <f>IF(Q118="","",BETA.INV(0.975,O118,P118))</f>
        <v/>
      </c>
      <c r="T118" s="5">
        <f>IF(OR(O118="",P118=""),"",O118+P118-M118-N118)</f>
        <v/>
      </c>
      <c r="U118" s="5">
        <f>IF(T118="","先填完整分组",IF(T118&lt;30,"样本太少：仅描述",IF(T118&lt;100,"只作试点候选","可进入独立验证")))</f>
        <v/>
      </c>
      <c r="V118" s="3" t="n"/>
      <c r="W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5">
        <f>IF(COUNTA(A119:G119)&lt;7,"",COUNTIFS('原子事实记录'!$C$2:$C$2001,$D119,'原子事实记录'!$E$2:$E$2001,$A119,'原子事实记录'!$F$2:$F$2001,$B119,'原子事实记录'!$G$2:$G$2001,$C119,'原子事实记录'!$I$2:$I$2001,$E119,'原子事实记录'!$J$2:$J$2001,$F119,'原子事实记录'!$Q$2:$Q$2001,"是",'原子事实记录'!$R$2:$R$2001,"TP"))</f>
        <v/>
      </c>
      <c r="I119" s="5">
        <f>IF(COUNTA(A119:G119)&lt;7,"",COUNTIFS('原子事实记录'!$C$2:$C$2001,$D119,'原子事实记录'!$E$2:$E$2001,$A119,'原子事实记录'!$F$2:$F$2001,$B119,'原子事实记录'!$G$2:$G$2001,$C119,'原子事实记录'!$I$2:$I$2001,$E119,'原子事实记录'!$J$2:$J$2001,$F119,'原子事实记录'!$Q$2:$Q$2001,"是",'原子事实记录'!$R$2:$R$2001,"FP"))</f>
        <v/>
      </c>
      <c r="J119" s="5">
        <f>IF(COUNTA(A119:G119)&lt;7,"",COUNTIFS('原子事实记录'!$C$2:$C$2001,$D119,'原子事实记录'!$E$2:$E$2001,$A119,'原子事实记录'!$F$2:$F$2001,$B119,'原子事实记录'!$G$2:$G$2001,$C119,'原子事实记录'!$I$2:$I$2001,$E119,'原子事实记录'!$J$2:$J$2001,$F119,'原子事实记录'!$Q$2:$Q$2001,"是",'原子事实记录'!$R$2:$R$2001,"FN"))</f>
        <v/>
      </c>
      <c r="K119" s="5">
        <f>IF(COUNTA(A119:G119)&lt;7,"",COUNTIFS('原子事实记录'!$C$2:$C$2001,$D119,'原子事实记录'!$E$2:$E$2001,$A119,'原子事实记录'!$F$2:$F$2001,$B119,'原子事实记录'!$G$2:$G$2001,$C119,'原子事实记录'!$I$2:$I$2001,$E119,'原子事实记录'!$J$2:$J$2001,$F119,'原子事实记录'!$Q$2:$Q$2001,"是",'原子事实记录'!$R$2:$R$2001,"TN"))</f>
        <v/>
      </c>
      <c r="L119" s="5">
        <f>IF(COUNTA(A119:G119)&lt;7,"",COUNTIFS('原子事实记录'!$C$2:$C$2001,$D119,'原子事实记录'!$E$2:$E$2001,$A119,'原子事实记录'!$F$2:$F$2001,$B119,'原子事实记录'!$G$2:$G$2001,$C119,'原子事实记录'!$I$2:$I$2001,$E119,'原子事实记录'!$J$2:$J$2001,$F119,'原子事实记录'!$Q$2:$Q$2001,"是",'原子事实记录'!$R$2:$R$2001,"未知"))</f>
        <v/>
      </c>
      <c r="M119" s="3" t="n"/>
      <c r="N119" s="3" t="n"/>
      <c r="O119" s="5">
        <f>IF(OR(G119="",M119="",N119=""),"",M119+IF(G119="肯定主张正确率",H119,IF(G119="否定主张正确率",K119,IF(G119="灵敏度",H119,K119))))</f>
        <v/>
      </c>
      <c r="P119" s="5">
        <f>IF(OR(G119="",M119="",N119=""),"",N119+IF(G119="肯定主张正确率",I119,IF(G119="否定主张正确率",J119,IF(G119="灵敏度",J119,I119))))</f>
        <v/>
      </c>
      <c r="Q119" s="7">
        <f>IF(OR(O119="",P119=""),"",O119/(O119+P119))</f>
        <v/>
      </c>
      <c r="R119" s="7">
        <f>IF(Q119="","",BETA.INV(0.025,O119,P119))</f>
        <v/>
      </c>
      <c r="S119" s="7">
        <f>IF(Q119="","",BETA.INV(0.975,O119,P119))</f>
        <v/>
      </c>
      <c r="T119" s="5">
        <f>IF(OR(O119="",P119=""),"",O119+P119-M119-N119)</f>
        <v/>
      </c>
      <c r="U119" s="5">
        <f>IF(T119="","先填完整分组",IF(T119&lt;30,"样本太少：仅描述",IF(T119&lt;100,"只作试点候选","可进入独立验证")))</f>
        <v/>
      </c>
      <c r="V119" s="3" t="n"/>
      <c r="W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5">
        <f>IF(COUNTA(A120:G120)&lt;7,"",COUNTIFS('原子事实记录'!$C$2:$C$2001,$D120,'原子事实记录'!$E$2:$E$2001,$A120,'原子事实记录'!$F$2:$F$2001,$B120,'原子事实记录'!$G$2:$G$2001,$C120,'原子事实记录'!$I$2:$I$2001,$E120,'原子事实记录'!$J$2:$J$2001,$F120,'原子事实记录'!$Q$2:$Q$2001,"是",'原子事实记录'!$R$2:$R$2001,"TP"))</f>
        <v/>
      </c>
      <c r="I120" s="5">
        <f>IF(COUNTA(A120:G120)&lt;7,"",COUNTIFS('原子事实记录'!$C$2:$C$2001,$D120,'原子事实记录'!$E$2:$E$2001,$A120,'原子事实记录'!$F$2:$F$2001,$B120,'原子事实记录'!$G$2:$G$2001,$C120,'原子事实记录'!$I$2:$I$2001,$E120,'原子事实记录'!$J$2:$J$2001,$F120,'原子事实记录'!$Q$2:$Q$2001,"是",'原子事实记录'!$R$2:$R$2001,"FP"))</f>
        <v/>
      </c>
      <c r="J120" s="5">
        <f>IF(COUNTA(A120:G120)&lt;7,"",COUNTIFS('原子事实记录'!$C$2:$C$2001,$D120,'原子事实记录'!$E$2:$E$2001,$A120,'原子事实记录'!$F$2:$F$2001,$B120,'原子事实记录'!$G$2:$G$2001,$C120,'原子事实记录'!$I$2:$I$2001,$E120,'原子事实记录'!$J$2:$J$2001,$F120,'原子事实记录'!$Q$2:$Q$2001,"是",'原子事实记录'!$R$2:$R$2001,"FN"))</f>
        <v/>
      </c>
      <c r="K120" s="5">
        <f>IF(COUNTA(A120:G120)&lt;7,"",COUNTIFS('原子事实记录'!$C$2:$C$2001,$D120,'原子事实记录'!$E$2:$E$2001,$A120,'原子事实记录'!$F$2:$F$2001,$B120,'原子事实记录'!$G$2:$G$2001,$C120,'原子事实记录'!$I$2:$I$2001,$E120,'原子事实记录'!$J$2:$J$2001,$F120,'原子事实记录'!$Q$2:$Q$2001,"是",'原子事实记录'!$R$2:$R$2001,"TN"))</f>
        <v/>
      </c>
      <c r="L120" s="5">
        <f>IF(COUNTA(A120:G120)&lt;7,"",COUNTIFS('原子事实记录'!$C$2:$C$2001,$D120,'原子事实记录'!$E$2:$E$2001,$A120,'原子事实记录'!$F$2:$F$2001,$B120,'原子事实记录'!$G$2:$G$2001,$C120,'原子事实记录'!$I$2:$I$2001,$E120,'原子事实记录'!$J$2:$J$2001,$F120,'原子事实记录'!$Q$2:$Q$2001,"是",'原子事实记录'!$R$2:$R$2001,"未知"))</f>
        <v/>
      </c>
      <c r="M120" s="3" t="n"/>
      <c r="N120" s="3" t="n"/>
      <c r="O120" s="5">
        <f>IF(OR(G120="",M120="",N120=""),"",M120+IF(G120="肯定主张正确率",H120,IF(G120="否定主张正确率",K120,IF(G120="灵敏度",H120,K120))))</f>
        <v/>
      </c>
      <c r="P120" s="5">
        <f>IF(OR(G120="",M120="",N120=""),"",N120+IF(G120="肯定主张正确率",I120,IF(G120="否定主张正确率",J120,IF(G120="灵敏度",J120,I120))))</f>
        <v/>
      </c>
      <c r="Q120" s="7">
        <f>IF(OR(O120="",P120=""),"",O120/(O120+P120))</f>
        <v/>
      </c>
      <c r="R120" s="7">
        <f>IF(Q120="","",BETA.INV(0.025,O120,P120))</f>
        <v/>
      </c>
      <c r="S120" s="7">
        <f>IF(Q120="","",BETA.INV(0.975,O120,P120))</f>
        <v/>
      </c>
      <c r="T120" s="5">
        <f>IF(OR(O120="",P120=""),"",O120+P120-M120-N120)</f>
        <v/>
      </c>
      <c r="U120" s="5">
        <f>IF(T120="","先填完整分组",IF(T120&lt;30,"样本太少：仅描述",IF(T120&lt;100,"只作试点候选","可进入独立验证")))</f>
        <v/>
      </c>
      <c r="V120" s="3" t="n"/>
      <c r="W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5">
        <f>IF(COUNTA(A121:G121)&lt;7,"",COUNTIFS('原子事实记录'!$C$2:$C$2001,$D121,'原子事实记录'!$E$2:$E$2001,$A121,'原子事实记录'!$F$2:$F$2001,$B121,'原子事实记录'!$G$2:$G$2001,$C121,'原子事实记录'!$I$2:$I$2001,$E121,'原子事实记录'!$J$2:$J$2001,$F121,'原子事实记录'!$Q$2:$Q$2001,"是",'原子事实记录'!$R$2:$R$2001,"TP"))</f>
        <v/>
      </c>
      <c r="I121" s="5">
        <f>IF(COUNTA(A121:G121)&lt;7,"",COUNTIFS('原子事实记录'!$C$2:$C$2001,$D121,'原子事实记录'!$E$2:$E$2001,$A121,'原子事实记录'!$F$2:$F$2001,$B121,'原子事实记录'!$G$2:$G$2001,$C121,'原子事实记录'!$I$2:$I$2001,$E121,'原子事实记录'!$J$2:$J$2001,$F121,'原子事实记录'!$Q$2:$Q$2001,"是",'原子事实记录'!$R$2:$R$2001,"FP"))</f>
        <v/>
      </c>
      <c r="J121" s="5">
        <f>IF(COUNTA(A121:G121)&lt;7,"",COUNTIFS('原子事实记录'!$C$2:$C$2001,$D121,'原子事实记录'!$E$2:$E$2001,$A121,'原子事实记录'!$F$2:$F$2001,$B121,'原子事实记录'!$G$2:$G$2001,$C121,'原子事实记录'!$I$2:$I$2001,$E121,'原子事实记录'!$J$2:$J$2001,$F121,'原子事实记录'!$Q$2:$Q$2001,"是",'原子事实记录'!$R$2:$R$2001,"FN"))</f>
        <v/>
      </c>
      <c r="K121" s="5">
        <f>IF(COUNTA(A121:G121)&lt;7,"",COUNTIFS('原子事实记录'!$C$2:$C$2001,$D121,'原子事实记录'!$E$2:$E$2001,$A121,'原子事实记录'!$F$2:$F$2001,$B121,'原子事实记录'!$G$2:$G$2001,$C121,'原子事实记录'!$I$2:$I$2001,$E121,'原子事实记录'!$J$2:$J$2001,$F121,'原子事实记录'!$Q$2:$Q$2001,"是",'原子事实记录'!$R$2:$R$2001,"TN"))</f>
        <v/>
      </c>
      <c r="L121" s="5">
        <f>IF(COUNTA(A121:G121)&lt;7,"",COUNTIFS('原子事实记录'!$C$2:$C$2001,$D121,'原子事实记录'!$E$2:$E$2001,$A121,'原子事实记录'!$F$2:$F$2001,$B121,'原子事实记录'!$G$2:$G$2001,$C121,'原子事实记录'!$I$2:$I$2001,$E121,'原子事实记录'!$J$2:$J$2001,$F121,'原子事实记录'!$Q$2:$Q$2001,"是",'原子事实记录'!$R$2:$R$2001,"未知"))</f>
        <v/>
      </c>
      <c r="M121" s="3" t="n"/>
      <c r="N121" s="3" t="n"/>
      <c r="O121" s="5">
        <f>IF(OR(G121="",M121="",N121=""),"",M121+IF(G121="肯定主张正确率",H121,IF(G121="否定主张正确率",K121,IF(G121="灵敏度",H121,K121))))</f>
        <v/>
      </c>
      <c r="P121" s="5">
        <f>IF(OR(G121="",M121="",N121=""),"",N121+IF(G121="肯定主张正确率",I121,IF(G121="否定主张正确率",J121,IF(G121="灵敏度",J121,I121))))</f>
        <v/>
      </c>
      <c r="Q121" s="7">
        <f>IF(OR(O121="",P121=""),"",O121/(O121+P121))</f>
        <v/>
      </c>
      <c r="R121" s="7">
        <f>IF(Q121="","",BETA.INV(0.025,O121,P121))</f>
        <v/>
      </c>
      <c r="S121" s="7">
        <f>IF(Q121="","",BETA.INV(0.975,O121,P121))</f>
        <v/>
      </c>
      <c r="T121" s="5">
        <f>IF(OR(O121="",P121=""),"",O121+P121-M121-N121)</f>
        <v/>
      </c>
      <c r="U121" s="5">
        <f>IF(T121="","先填完整分组",IF(T121&lt;30,"样本太少：仅描述",IF(T121&lt;100,"只作试点候选","可进入独立验证")))</f>
        <v/>
      </c>
      <c r="V121" s="3" t="n"/>
      <c r="W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5">
        <f>IF(COUNTA(A122:G122)&lt;7,"",COUNTIFS('原子事实记录'!$C$2:$C$2001,$D122,'原子事实记录'!$E$2:$E$2001,$A122,'原子事实记录'!$F$2:$F$2001,$B122,'原子事实记录'!$G$2:$G$2001,$C122,'原子事实记录'!$I$2:$I$2001,$E122,'原子事实记录'!$J$2:$J$2001,$F122,'原子事实记录'!$Q$2:$Q$2001,"是",'原子事实记录'!$R$2:$R$2001,"TP"))</f>
        <v/>
      </c>
      <c r="I122" s="5">
        <f>IF(COUNTA(A122:G122)&lt;7,"",COUNTIFS('原子事实记录'!$C$2:$C$2001,$D122,'原子事实记录'!$E$2:$E$2001,$A122,'原子事实记录'!$F$2:$F$2001,$B122,'原子事实记录'!$G$2:$G$2001,$C122,'原子事实记录'!$I$2:$I$2001,$E122,'原子事实记录'!$J$2:$J$2001,$F122,'原子事实记录'!$Q$2:$Q$2001,"是",'原子事实记录'!$R$2:$R$2001,"FP"))</f>
        <v/>
      </c>
      <c r="J122" s="5">
        <f>IF(COUNTA(A122:G122)&lt;7,"",COUNTIFS('原子事实记录'!$C$2:$C$2001,$D122,'原子事实记录'!$E$2:$E$2001,$A122,'原子事实记录'!$F$2:$F$2001,$B122,'原子事实记录'!$G$2:$G$2001,$C122,'原子事实记录'!$I$2:$I$2001,$E122,'原子事实记录'!$J$2:$J$2001,$F122,'原子事实记录'!$Q$2:$Q$2001,"是",'原子事实记录'!$R$2:$R$2001,"FN"))</f>
        <v/>
      </c>
      <c r="K122" s="5">
        <f>IF(COUNTA(A122:G122)&lt;7,"",COUNTIFS('原子事实记录'!$C$2:$C$2001,$D122,'原子事实记录'!$E$2:$E$2001,$A122,'原子事实记录'!$F$2:$F$2001,$B122,'原子事实记录'!$G$2:$G$2001,$C122,'原子事实记录'!$I$2:$I$2001,$E122,'原子事实记录'!$J$2:$J$2001,$F122,'原子事实记录'!$Q$2:$Q$2001,"是",'原子事实记录'!$R$2:$R$2001,"TN"))</f>
        <v/>
      </c>
      <c r="L122" s="5">
        <f>IF(COUNTA(A122:G122)&lt;7,"",COUNTIFS('原子事实记录'!$C$2:$C$2001,$D122,'原子事实记录'!$E$2:$E$2001,$A122,'原子事实记录'!$F$2:$F$2001,$B122,'原子事实记录'!$G$2:$G$2001,$C122,'原子事实记录'!$I$2:$I$2001,$E122,'原子事实记录'!$J$2:$J$2001,$F122,'原子事实记录'!$Q$2:$Q$2001,"是",'原子事实记录'!$R$2:$R$2001,"未知"))</f>
        <v/>
      </c>
      <c r="M122" s="3" t="n"/>
      <c r="N122" s="3" t="n"/>
      <c r="O122" s="5">
        <f>IF(OR(G122="",M122="",N122=""),"",M122+IF(G122="肯定主张正确率",H122,IF(G122="否定主张正确率",K122,IF(G122="灵敏度",H122,K122))))</f>
        <v/>
      </c>
      <c r="P122" s="5">
        <f>IF(OR(G122="",M122="",N122=""),"",N122+IF(G122="肯定主张正确率",I122,IF(G122="否定主张正确率",J122,IF(G122="灵敏度",J122,I122))))</f>
        <v/>
      </c>
      <c r="Q122" s="7">
        <f>IF(OR(O122="",P122=""),"",O122/(O122+P122))</f>
        <v/>
      </c>
      <c r="R122" s="7">
        <f>IF(Q122="","",BETA.INV(0.025,O122,P122))</f>
        <v/>
      </c>
      <c r="S122" s="7">
        <f>IF(Q122="","",BETA.INV(0.975,O122,P122))</f>
        <v/>
      </c>
      <c r="T122" s="5">
        <f>IF(OR(O122="",P122=""),"",O122+P122-M122-N122)</f>
        <v/>
      </c>
      <c r="U122" s="5">
        <f>IF(T122="","先填完整分组",IF(T122&lt;30,"样本太少：仅描述",IF(T122&lt;100,"只作试点候选","可进入独立验证")))</f>
        <v/>
      </c>
      <c r="V122" s="3" t="n"/>
      <c r="W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5">
        <f>IF(COUNTA(A123:G123)&lt;7,"",COUNTIFS('原子事实记录'!$C$2:$C$2001,$D123,'原子事实记录'!$E$2:$E$2001,$A123,'原子事实记录'!$F$2:$F$2001,$B123,'原子事实记录'!$G$2:$G$2001,$C123,'原子事实记录'!$I$2:$I$2001,$E123,'原子事实记录'!$J$2:$J$2001,$F123,'原子事实记录'!$Q$2:$Q$2001,"是",'原子事实记录'!$R$2:$R$2001,"TP"))</f>
        <v/>
      </c>
      <c r="I123" s="5">
        <f>IF(COUNTA(A123:G123)&lt;7,"",COUNTIFS('原子事实记录'!$C$2:$C$2001,$D123,'原子事实记录'!$E$2:$E$2001,$A123,'原子事实记录'!$F$2:$F$2001,$B123,'原子事实记录'!$G$2:$G$2001,$C123,'原子事实记录'!$I$2:$I$2001,$E123,'原子事实记录'!$J$2:$J$2001,$F123,'原子事实记录'!$Q$2:$Q$2001,"是",'原子事实记录'!$R$2:$R$2001,"FP"))</f>
        <v/>
      </c>
      <c r="J123" s="5">
        <f>IF(COUNTA(A123:G123)&lt;7,"",COUNTIFS('原子事实记录'!$C$2:$C$2001,$D123,'原子事实记录'!$E$2:$E$2001,$A123,'原子事实记录'!$F$2:$F$2001,$B123,'原子事实记录'!$G$2:$G$2001,$C123,'原子事实记录'!$I$2:$I$2001,$E123,'原子事实记录'!$J$2:$J$2001,$F123,'原子事实记录'!$Q$2:$Q$2001,"是",'原子事实记录'!$R$2:$R$2001,"FN"))</f>
        <v/>
      </c>
      <c r="K123" s="5">
        <f>IF(COUNTA(A123:G123)&lt;7,"",COUNTIFS('原子事实记录'!$C$2:$C$2001,$D123,'原子事实记录'!$E$2:$E$2001,$A123,'原子事实记录'!$F$2:$F$2001,$B123,'原子事实记录'!$G$2:$G$2001,$C123,'原子事实记录'!$I$2:$I$2001,$E123,'原子事实记录'!$J$2:$J$2001,$F123,'原子事实记录'!$Q$2:$Q$2001,"是",'原子事实记录'!$R$2:$R$2001,"TN"))</f>
        <v/>
      </c>
      <c r="L123" s="5">
        <f>IF(COUNTA(A123:G123)&lt;7,"",COUNTIFS('原子事实记录'!$C$2:$C$2001,$D123,'原子事实记录'!$E$2:$E$2001,$A123,'原子事实记录'!$F$2:$F$2001,$B123,'原子事实记录'!$G$2:$G$2001,$C123,'原子事实记录'!$I$2:$I$2001,$E123,'原子事实记录'!$J$2:$J$2001,$F123,'原子事实记录'!$Q$2:$Q$2001,"是",'原子事实记录'!$R$2:$R$2001,"未知"))</f>
        <v/>
      </c>
      <c r="M123" s="3" t="n"/>
      <c r="N123" s="3" t="n"/>
      <c r="O123" s="5">
        <f>IF(OR(G123="",M123="",N123=""),"",M123+IF(G123="肯定主张正确率",H123,IF(G123="否定主张正确率",K123,IF(G123="灵敏度",H123,K123))))</f>
        <v/>
      </c>
      <c r="P123" s="5">
        <f>IF(OR(G123="",M123="",N123=""),"",N123+IF(G123="肯定主张正确率",I123,IF(G123="否定主张正确率",J123,IF(G123="灵敏度",J123,I123))))</f>
        <v/>
      </c>
      <c r="Q123" s="7">
        <f>IF(OR(O123="",P123=""),"",O123/(O123+P123))</f>
        <v/>
      </c>
      <c r="R123" s="7">
        <f>IF(Q123="","",BETA.INV(0.025,O123,P123))</f>
        <v/>
      </c>
      <c r="S123" s="7">
        <f>IF(Q123="","",BETA.INV(0.975,O123,P123))</f>
        <v/>
      </c>
      <c r="T123" s="5">
        <f>IF(OR(O123="",P123=""),"",O123+P123-M123-N123)</f>
        <v/>
      </c>
      <c r="U123" s="5">
        <f>IF(T123="","先填完整分组",IF(T123&lt;30,"样本太少：仅描述",IF(T123&lt;100,"只作试点候选","可进入独立验证")))</f>
        <v/>
      </c>
      <c r="V123" s="3" t="n"/>
      <c r="W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5">
        <f>IF(COUNTA(A124:G124)&lt;7,"",COUNTIFS('原子事实记录'!$C$2:$C$2001,$D124,'原子事实记录'!$E$2:$E$2001,$A124,'原子事实记录'!$F$2:$F$2001,$B124,'原子事实记录'!$G$2:$G$2001,$C124,'原子事实记录'!$I$2:$I$2001,$E124,'原子事实记录'!$J$2:$J$2001,$F124,'原子事实记录'!$Q$2:$Q$2001,"是",'原子事实记录'!$R$2:$R$2001,"TP"))</f>
        <v/>
      </c>
      <c r="I124" s="5">
        <f>IF(COUNTA(A124:G124)&lt;7,"",COUNTIFS('原子事实记录'!$C$2:$C$2001,$D124,'原子事实记录'!$E$2:$E$2001,$A124,'原子事实记录'!$F$2:$F$2001,$B124,'原子事实记录'!$G$2:$G$2001,$C124,'原子事实记录'!$I$2:$I$2001,$E124,'原子事实记录'!$J$2:$J$2001,$F124,'原子事实记录'!$Q$2:$Q$2001,"是",'原子事实记录'!$R$2:$R$2001,"FP"))</f>
        <v/>
      </c>
      <c r="J124" s="5">
        <f>IF(COUNTA(A124:G124)&lt;7,"",COUNTIFS('原子事实记录'!$C$2:$C$2001,$D124,'原子事实记录'!$E$2:$E$2001,$A124,'原子事实记录'!$F$2:$F$2001,$B124,'原子事实记录'!$G$2:$G$2001,$C124,'原子事实记录'!$I$2:$I$2001,$E124,'原子事实记录'!$J$2:$J$2001,$F124,'原子事实记录'!$Q$2:$Q$2001,"是",'原子事实记录'!$R$2:$R$2001,"FN"))</f>
        <v/>
      </c>
      <c r="K124" s="5">
        <f>IF(COUNTA(A124:G124)&lt;7,"",COUNTIFS('原子事实记录'!$C$2:$C$2001,$D124,'原子事实记录'!$E$2:$E$2001,$A124,'原子事实记录'!$F$2:$F$2001,$B124,'原子事实记录'!$G$2:$G$2001,$C124,'原子事实记录'!$I$2:$I$2001,$E124,'原子事实记录'!$J$2:$J$2001,$F124,'原子事实记录'!$Q$2:$Q$2001,"是",'原子事实记录'!$R$2:$R$2001,"TN"))</f>
        <v/>
      </c>
      <c r="L124" s="5">
        <f>IF(COUNTA(A124:G124)&lt;7,"",COUNTIFS('原子事实记录'!$C$2:$C$2001,$D124,'原子事实记录'!$E$2:$E$2001,$A124,'原子事实记录'!$F$2:$F$2001,$B124,'原子事实记录'!$G$2:$G$2001,$C124,'原子事实记录'!$I$2:$I$2001,$E124,'原子事实记录'!$J$2:$J$2001,$F124,'原子事实记录'!$Q$2:$Q$2001,"是",'原子事实记录'!$R$2:$R$2001,"未知"))</f>
        <v/>
      </c>
      <c r="M124" s="3" t="n"/>
      <c r="N124" s="3" t="n"/>
      <c r="O124" s="5">
        <f>IF(OR(G124="",M124="",N124=""),"",M124+IF(G124="肯定主张正确率",H124,IF(G124="否定主张正确率",K124,IF(G124="灵敏度",H124,K124))))</f>
        <v/>
      </c>
      <c r="P124" s="5">
        <f>IF(OR(G124="",M124="",N124=""),"",N124+IF(G124="肯定主张正确率",I124,IF(G124="否定主张正确率",J124,IF(G124="灵敏度",J124,I124))))</f>
        <v/>
      </c>
      <c r="Q124" s="7">
        <f>IF(OR(O124="",P124=""),"",O124/(O124+P124))</f>
        <v/>
      </c>
      <c r="R124" s="7">
        <f>IF(Q124="","",BETA.INV(0.025,O124,P124))</f>
        <v/>
      </c>
      <c r="S124" s="7">
        <f>IF(Q124="","",BETA.INV(0.975,O124,P124))</f>
        <v/>
      </c>
      <c r="T124" s="5">
        <f>IF(OR(O124="",P124=""),"",O124+P124-M124-N124)</f>
        <v/>
      </c>
      <c r="U124" s="5">
        <f>IF(T124="","先填完整分组",IF(T124&lt;30,"样本太少：仅描述",IF(T124&lt;100,"只作试点候选","可进入独立验证")))</f>
        <v/>
      </c>
      <c r="V124" s="3" t="n"/>
      <c r="W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5">
        <f>IF(COUNTA(A125:G125)&lt;7,"",COUNTIFS('原子事实记录'!$C$2:$C$2001,$D125,'原子事实记录'!$E$2:$E$2001,$A125,'原子事实记录'!$F$2:$F$2001,$B125,'原子事实记录'!$G$2:$G$2001,$C125,'原子事实记录'!$I$2:$I$2001,$E125,'原子事实记录'!$J$2:$J$2001,$F125,'原子事实记录'!$Q$2:$Q$2001,"是",'原子事实记录'!$R$2:$R$2001,"TP"))</f>
        <v/>
      </c>
      <c r="I125" s="5">
        <f>IF(COUNTA(A125:G125)&lt;7,"",COUNTIFS('原子事实记录'!$C$2:$C$2001,$D125,'原子事实记录'!$E$2:$E$2001,$A125,'原子事实记录'!$F$2:$F$2001,$B125,'原子事实记录'!$G$2:$G$2001,$C125,'原子事实记录'!$I$2:$I$2001,$E125,'原子事实记录'!$J$2:$J$2001,$F125,'原子事实记录'!$Q$2:$Q$2001,"是",'原子事实记录'!$R$2:$R$2001,"FP"))</f>
        <v/>
      </c>
      <c r="J125" s="5">
        <f>IF(COUNTA(A125:G125)&lt;7,"",COUNTIFS('原子事实记录'!$C$2:$C$2001,$D125,'原子事实记录'!$E$2:$E$2001,$A125,'原子事实记录'!$F$2:$F$2001,$B125,'原子事实记录'!$G$2:$G$2001,$C125,'原子事实记录'!$I$2:$I$2001,$E125,'原子事实记录'!$J$2:$J$2001,$F125,'原子事实记录'!$Q$2:$Q$2001,"是",'原子事实记录'!$R$2:$R$2001,"FN"))</f>
        <v/>
      </c>
      <c r="K125" s="5">
        <f>IF(COUNTA(A125:G125)&lt;7,"",COUNTIFS('原子事实记录'!$C$2:$C$2001,$D125,'原子事实记录'!$E$2:$E$2001,$A125,'原子事实记录'!$F$2:$F$2001,$B125,'原子事实记录'!$G$2:$G$2001,$C125,'原子事实记录'!$I$2:$I$2001,$E125,'原子事实记录'!$J$2:$J$2001,$F125,'原子事实记录'!$Q$2:$Q$2001,"是",'原子事实记录'!$R$2:$R$2001,"TN"))</f>
        <v/>
      </c>
      <c r="L125" s="5">
        <f>IF(COUNTA(A125:G125)&lt;7,"",COUNTIFS('原子事实记录'!$C$2:$C$2001,$D125,'原子事实记录'!$E$2:$E$2001,$A125,'原子事实记录'!$F$2:$F$2001,$B125,'原子事实记录'!$G$2:$G$2001,$C125,'原子事实记录'!$I$2:$I$2001,$E125,'原子事实记录'!$J$2:$J$2001,$F125,'原子事实记录'!$Q$2:$Q$2001,"是",'原子事实记录'!$R$2:$R$2001,"未知"))</f>
        <v/>
      </c>
      <c r="M125" s="3" t="n"/>
      <c r="N125" s="3" t="n"/>
      <c r="O125" s="5">
        <f>IF(OR(G125="",M125="",N125=""),"",M125+IF(G125="肯定主张正确率",H125,IF(G125="否定主张正确率",K125,IF(G125="灵敏度",H125,K125))))</f>
        <v/>
      </c>
      <c r="P125" s="5">
        <f>IF(OR(G125="",M125="",N125=""),"",N125+IF(G125="肯定主张正确率",I125,IF(G125="否定主张正确率",J125,IF(G125="灵敏度",J125,I125))))</f>
        <v/>
      </c>
      <c r="Q125" s="7">
        <f>IF(OR(O125="",P125=""),"",O125/(O125+P125))</f>
        <v/>
      </c>
      <c r="R125" s="7">
        <f>IF(Q125="","",BETA.INV(0.025,O125,P125))</f>
        <v/>
      </c>
      <c r="S125" s="7">
        <f>IF(Q125="","",BETA.INV(0.975,O125,P125))</f>
        <v/>
      </c>
      <c r="T125" s="5">
        <f>IF(OR(O125="",P125=""),"",O125+P125-M125-N125)</f>
        <v/>
      </c>
      <c r="U125" s="5">
        <f>IF(T125="","先填完整分组",IF(T125&lt;30,"样本太少：仅描述",IF(T125&lt;100,"只作试点候选","可进入独立验证")))</f>
        <v/>
      </c>
      <c r="V125" s="3" t="n"/>
      <c r="W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5">
        <f>IF(COUNTA(A126:G126)&lt;7,"",COUNTIFS('原子事实记录'!$C$2:$C$2001,$D126,'原子事实记录'!$E$2:$E$2001,$A126,'原子事实记录'!$F$2:$F$2001,$B126,'原子事实记录'!$G$2:$G$2001,$C126,'原子事实记录'!$I$2:$I$2001,$E126,'原子事实记录'!$J$2:$J$2001,$F126,'原子事实记录'!$Q$2:$Q$2001,"是",'原子事实记录'!$R$2:$R$2001,"TP"))</f>
        <v/>
      </c>
      <c r="I126" s="5">
        <f>IF(COUNTA(A126:G126)&lt;7,"",COUNTIFS('原子事实记录'!$C$2:$C$2001,$D126,'原子事实记录'!$E$2:$E$2001,$A126,'原子事实记录'!$F$2:$F$2001,$B126,'原子事实记录'!$G$2:$G$2001,$C126,'原子事实记录'!$I$2:$I$2001,$E126,'原子事实记录'!$J$2:$J$2001,$F126,'原子事实记录'!$Q$2:$Q$2001,"是",'原子事实记录'!$R$2:$R$2001,"FP"))</f>
        <v/>
      </c>
      <c r="J126" s="5">
        <f>IF(COUNTA(A126:G126)&lt;7,"",COUNTIFS('原子事实记录'!$C$2:$C$2001,$D126,'原子事实记录'!$E$2:$E$2001,$A126,'原子事实记录'!$F$2:$F$2001,$B126,'原子事实记录'!$G$2:$G$2001,$C126,'原子事实记录'!$I$2:$I$2001,$E126,'原子事实记录'!$J$2:$J$2001,$F126,'原子事实记录'!$Q$2:$Q$2001,"是",'原子事实记录'!$R$2:$R$2001,"FN"))</f>
        <v/>
      </c>
      <c r="K126" s="5">
        <f>IF(COUNTA(A126:G126)&lt;7,"",COUNTIFS('原子事实记录'!$C$2:$C$2001,$D126,'原子事实记录'!$E$2:$E$2001,$A126,'原子事实记录'!$F$2:$F$2001,$B126,'原子事实记录'!$G$2:$G$2001,$C126,'原子事实记录'!$I$2:$I$2001,$E126,'原子事实记录'!$J$2:$J$2001,$F126,'原子事实记录'!$Q$2:$Q$2001,"是",'原子事实记录'!$R$2:$R$2001,"TN"))</f>
        <v/>
      </c>
      <c r="L126" s="5">
        <f>IF(COUNTA(A126:G126)&lt;7,"",COUNTIFS('原子事实记录'!$C$2:$C$2001,$D126,'原子事实记录'!$E$2:$E$2001,$A126,'原子事实记录'!$F$2:$F$2001,$B126,'原子事实记录'!$G$2:$G$2001,$C126,'原子事实记录'!$I$2:$I$2001,$E126,'原子事实记录'!$J$2:$J$2001,$F126,'原子事实记录'!$Q$2:$Q$2001,"是",'原子事实记录'!$R$2:$R$2001,"未知"))</f>
        <v/>
      </c>
      <c r="M126" s="3" t="n"/>
      <c r="N126" s="3" t="n"/>
      <c r="O126" s="5">
        <f>IF(OR(G126="",M126="",N126=""),"",M126+IF(G126="肯定主张正确率",H126,IF(G126="否定主张正确率",K126,IF(G126="灵敏度",H126,K126))))</f>
        <v/>
      </c>
      <c r="P126" s="5">
        <f>IF(OR(G126="",M126="",N126=""),"",N126+IF(G126="肯定主张正确率",I126,IF(G126="否定主张正确率",J126,IF(G126="灵敏度",J126,I126))))</f>
        <v/>
      </c>
      <c r="Q126" s="7">
        <f>IF(OR(O126="",P126=""),"",O126/(O126+P126))</f>
        <v/>
      </c>
      <c r="R126" s="7">
        <f>IF(Q126="","",BETA.INV(0.025,O126,P126))</f>
        <v/>
      </c>
      <c r="S126" s="7">
        <f>IF(Q126="","",BETA.INV(0.975,O126,P126))</f>
        <v/>
      </c>
      <c r="T126" s="5">
        <f>IF(OR(O126="",P126=""),"",O126+P126-M126-N126)</f>
        <v/>
      </c>
      <c r="U126" s="5">
        <f>IF(T126="","先填完整分组",IF(T126&lt;30,"样本太少：仅描述",IF(T126&lt;100,"只作试点候选","可进入独立验证")))</f>
        <v/>
      </c>
      <c r="V126" s="3" t="n"/>
      <c r="W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5">
        <f>IF(COUNTA(A127:G127)&lt;7,"",COUNTIFS('原子事实记录'!$C$2:$C$2001,$D127,'原子事实记录'!$E$2:$E$2001,$A127,'原子事实记录'!$F$2:$F$2001,$B127,'原子事实记录'!$G$2:$G$2001,$C127,'原子事实记录'!$I$2:$I$2001,$E127,'原子事实记录'!$J$2:$J$2001,$F127,'原子事实记录'!$Q$2:$Q$2001,"是",'原子事实记录'!$R$2:$R$2001,"TP"))</f>
        <v/>
      </c>
      <c r="I127" s="5">
        <f>IF(COUNTA(A127:G127)&lt;7,"",COUNTIFS('原子事实记录'!$C$2:$C$2001,$D127,'原子事实记录'!$E$2:$E$2001,$A127,'原子事实记录'!$F$2:$F$2001,$B127,'原子事实记录'!$G$2:$G$2001,$C127,'原子事实记录'!$I$2:$I$2001,$E127,'原子事实记录'!$J$2:$J$2001,$F127,'原子事实记录'!$Q$2:$Q$2001,"是",'原子事实记录'!$R$2:$R$2001,"FP"))</f>
        <v/>
      </c>
      <c r="J127" s="5">
        <f>IF(COUNTA(A127:G127)&lt;7,"",COUNTIFS('原子事实记录'!$C$2:$C$2001,$D127,'原子事实记录'!$E$2:$E$2001,$A127,'原子事实记录'!$F$2:$F$2001,$B127,'原子事实记录'!$G$2:$G$2001,$C127,'原子事实记录'!$I$2:$I$2001,$E127,'原子事实记录'!$J$2:$J$2001,$F127,'原子事实记录'!$Q$2:$Q$2001,"是",'原子事实记录'!$R$2:$R$2001,"FN"))</f>
        <v/>
      </c>
      <c r="K127" s="5">
        <f>IF(COUNTA(A127:G127)&lt;7,"",COUNTIFS('原子事实记录'!$C$2:$C$2001,$D127,'原子事实记录'!$E$2:$E$2001,$A127,'原子事实记录'!$F$2:$F$2001,$B127,'原子事实记录'!$G$2:$G$2001,$C127,'原子事实记录'!$I$2:$I$2001,$E127,'原子事实记录'!$J$2:$J$2001,$F127,'原子事实记录'!$Q$2:$Q$2001,"是",'原子事实记录'!$R$2:$R$2001,"TN"))</f>
        <v/>
      </c>
      <c r="L127" s="5">
        <f>IF(COUNTA(A127:G127)&lt;7,"",COUNTIFS('原子事实记录'!$C$2:$C$2001,$D127,'原子事实记录'!$E$2:$E$2001,$A127,'原子事实记录'!$F$2:$F$2001,$B127,'原子事实记录'!$G$2:$G$2001,$C127,'原子事实记录'!$I$2:$I$2001,$E127,'原子事实记录'!$J$2:$J$2001,$F127,'原子事实记录'!$Q$2:$Q$2001,"是",'原子事实记录'!$R$2:$R$2001,"未知"))</f>
        <v/>
      </c>
      <c r="M127" s="3" t="n"/>
      <c r="N127" s="3" t="n"/>
      <c r="O127" s="5">
        <f>IF(OR(G127="",M127="",N127=""),"",M127+IF(G127="肯定主张正确率",H127,IF(G127="否定主张正确率",K127,IF(G127="灵敏度",H127,K127))))</f>
        <v/>
      </c>
      <c r="P127" s="5">
        <f>IF(OR(G127="",M127="",N127=""),"",N127+IF(G127="肯定主张正确率",I127,IF(G127="否定主张正确率",J127,IF(G127="灵敏度",J127,I127))))</f>
        <v/>
      </c>
      <c r="Q127" s="7">
        <f>IF(OR(O127="",P127=""),"",O127/(O127+P127))</f>
        <v/>
      </c>
      <c r="R127" s="7">
        <f>IF(Q127="","",BETA.INV(0.025,O127,P127))</f>
        <v/>
      </c>
      <c r="S127" s="7">
        <f>IF(Q127="","",BETA.INV(0.975,O127,P127))</f>
        <v/>
      </c>
      <c r="T127" s="5">
        <f>IF(OR(O127="",P127=""),"",O127+P127-M127-N127)</f>
        <v/>
      </c>
      <c r="U127" s="5">
        <f>IF(T127="","先填完整分组",IF(T127&lt;30,"样本太少：仅描述",IF(T127&lt;100,"只作试点候选","可进入独立验证")))</f>
        <v/>
      </c>
      <c r="V127" s="3" t="n"/>
      <c r="W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5">
        <f>IF(COUNTA(A128:G128)&lt;7,"",COUNTIFS('原子事实记录'!$C$2:$C$2001,$D128,'原子事实记录'!$E$2:$E$2001,$A128,'原子事实记录'!$F$2:$F$2001,$B128,'原子事实记录'!$G$2:$G$2001,$C128,'原子事实记录'!$I$2:$I$2001,$E128,'原子事实记录'!$J$2:$J$2001,$F128,'原子事实记录'!$Q$2:$Q$2001,"是",'原子事实记录'!$R$2:$R$2001,"TP"))</f>
        <v/>
      </c>
      <c r="I128" s="5">
        <f>IF(COUNTA(A128:G128)&lt;7,"",COUNTIFS('原子事实记录'!$C$2:$C$2001,$D128,'原子事实记录'!$E$2:$E$2001,$A128,'原子事实记录'!$F$2:$F$2001,$B128,'原子事实记录'!$G$2:$G$2001,$C128,'原子事实记录'!$I$2:$I$2001,$E128,'原子事实记录'!$J$2:$J$2001,$F128,'原子事实记录'!$Q$2:$Q$2001,"是",'原子事实记录'!$R$2:$R$2001,"FP"))</f>
        <v/>
      </c>
      <c r="J128" s="5">
        <f>IF(COUNTA(A128:G128)&lt;7,"",COUNTIFS('原子事实记录'!$C$2:$C$2001,$D128,'原子事实记录'!$E$2:$E$2001,$A128,'原子事实记录'!$F$2:$F$2001,$B128,'原子事实记录'!$G$2:$G$2001,$C128,'原子事实记录'!$I$2:$I$2001,$E128,'原子事实记录'!$J$2:$J$2001,$F128,'原子事实记录'!$Q$2:$Q$2001,"是",'原子事实记录'!$R$2:$R$2001,"FN"))</f>
        <v/>
      </c>
      <c r="K128" s="5">
        <f>IF(COUNTA(A128:G128)&lt;7,"",COUNTIFS('原子事实记录'!$C$2:$C$2001,$D128,'原子事实记录'!$E$2:$E$2001,$A128,'原子事实记录'!$F$2:$F$2001,$B128,'原子事实记录'!$G$2:$G$2001,$C128,'原子事实记录'!$I$2:$I$2001,$E128,'原子事实记录'!$J$2:$J$2001,$F128,'原子事实记录'!$Q$2:$Q$2001,"是",'原子事实记录'!$R$2:$R$2001,"TN"))</f>
        <v/>
      </c>
      <c r="L128" s="5">
        <f>IF(COUNTA(A128:G128)&lt;7,"",COUNTIFS('原子事实记录'!$C$2:$C$2001,$D128,'原子事实记录'!$E$2:$E$2001,$A128,'原子事实记录'!$F$2:$F$2001,$B128,'原子事实记录'!$G$2:$G$2001,$C128,'原子事实记录'!$I$2:$I$2001,$E128,'原子事实记录'!$J$2:$J$2001,$F128,'原子事实记录'!$Q$2:$Q$2001,"是",'原子事实记录'!$R$2:$R$2001,"未知"))</f>
        <v/>
      </c>
      <c r="M128" s="3" t="n"/>
      <c r="N128" s="3" t="n"/>
      <c r="O128" s="5">
        <f>IF(OR(G128="",M128="",N128=""),"",M128+IF(G128="肯定主张正确率",H128,IF(G128="否定主张正确率",K128,IF(G128="灵敏度",H128,K128))))</f>
        <v/>
      </c>
      <c r="P128" s="5">
        <f>IF(OR(G128="",M128="",N128=""),"",N128+IF(G128="肯定主张正确率",I128,IF(G128="否定主张正确率",J128,IF(G128="灵敏度",J128,I128))))</f>
        <v/>
      </c>
      <c r="Q128" s="7">
        <f>IF(OR(O128="",P128=""),"",O128/(O128+P128))</f>
        <v/>
      </c>
      <c r="R128" s="7">
        <f>IF(Q128="","",BETA.INV(0.025,O128,P128))</f>
        <v/>
      </c>
      <c r="S128" s="7">
        <f>IF(Q128="","",BETA.INV(0.975,O128,P128))</f>
        <v/>
      </c>
      <c r="T128" s="5">
        <f>IF(OR(O128="",P128=""),"",O128+P128-M128-N128)</f>
        <v/>
      </c>
      <c r="U128" s="5">
        <f>IF(T128="","先填完整分组",IF(T128&lt;30,"样本太少：仅描述",IF(T128&lt;100,"只作试点候选","可进入独立验证")))</f>
        <v/>
      </c>
      <c r="V128" s="3" t="n"/>
      <c r="W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5">
        <f>IF(COUNTA(A129:G129)&lt;7,"",COUNTIFS('原子事实记录'!$C$2:$C$2001,$D129,'原子事实记录'!$E$2:$E$2001,$A129,'原子事实记录'!$F$2:$F$2001,$B129,'原子事实记录'!$G$2:$G$2001,$C129,'原子事实记录'!$I$2:$I$2001,$E129,'原子事实记录'!$J$2:$J$2001,$F129,'原子事实记录'!$Q$2:$Q$2001,"是",'原子事实记录'!$R$2:$R$2001,"TP"))</f>
        <v/>
      </c>
      <c r="I129" s="5">
        <f>IF(COUNTA(A129:G129)&lt;7,"",COUNTIFS('原子事实记录'!$C$2:$C$2001,$D129,'原子事实记录'!$E$2:$E$2001,$A129,'原子事实记录'!$F$2:$F$2001,$B129,'原子事实记录'!$G$2:$G$2001,$C129,'原子事实记录'!$I$2:$I$2001,$E129,'原子事实记录'!$J$2:$J$2001,$F129,'原子事实记录'!$Q$2:$Q$2001,"是",'原子事实记录'!$R$2:$R$2001,"FP"))</f>
        <v/>
      </c>
      <c r="J129" s="5">
        <f>IF(COUNTA(A129:G129)&lt;7,"",COUNTIFS('原子事实记录'!$C$2:$C$2001,$D129,'原子事实记录'!$E$2:$E$2001,$A129,'原子事实记录'!$F$2:$F$2001,$B129,'原子事实记录'!$G$2:$G$2001,$C129,'原子事实记录'!$I$2:$I$2001,$E129,'原子事实记录'!$J$2:$J$2001,$F129,'原子事实记录'!$Q$2:$Q$2001,"是",'原子事实记录'!$R$2:$R$2001,"FN"))</f>
        <v/>
      </c>
      <c r="K129" s="5">
        <f>IF(COUNTA(A129:G129)&lt;7,"",COUNTIFS('原子事实记录'!$C$2:$C$2001,$D129,'原子事实记录'!$E$2:$E$2001,$A129,'原子事实记录'!$F$2:$F$2001,$B129,'原子事实记录'!$G$2:$G$2001,$C129,'原子事实记录'!$I$2:$I$2001,$E129,'原子事实记录'!$J$2:$J$2001,$F129,'原子事实记录'!$Q$2:$Q$2001,"是",'原子事实记录'!$R$2:$R$2001,"TN"))</f>
        <v/>
      </c>
      <c r="L129" s="5">
        <f>IF(COUNTA(A129:G129)&lt;7,"",COUNTIFS('原子事实记录'!$C$2:$C$2001,$D129,'原子事实记录'!$E$2:$E$2001,$A129,'原子事实记录'!$F$2:$F$2001,$B129,'原子事实记录'!$G$2:$G$2001,$C129,'原子事实记录'!$I$2:$I$2001,$E129,'原子事实记录'!$J$2:$J$2001,$F129,'原子事实记录'!$Q$2:$Q$2001,"是",'原子事实记录'!$R$2:$R$2001,"未知"))</f>
        <v/>
      </c>
      <c r="M129" s="3" t="n"/>
      <c r="N129" s="3" t="n"/>
      <c r="O129" s="5">
        <f>IF(OR(G129="",M129="",N129=""),"",M129+IF(G129="肯定主张正确率",H129,IF(G129="否定主张正确率",K129,IF(G129="灵敏度",H129,K129))))</f>
        <v/>
      </c>
      <c r="P129" s="5">
        <f>IF(OR(G129="",M129="",N129=""),"",N129+IF(G129="肯定主张正确率",I129,IF(G129="否定主张正确率",J129,IF(G129="灵敏度",J129,I129))))</f>
        <v/>
      </c>
      <c r="Q129" s="7">
        <f>IF(OR(O129="",P129=""),"",O129/(O129+P129))</f>
        <v/>
      </c>
      <c r="R129" s="7">
        <f>IF(Q129="","",BETA.INV(0.025,O129,P129))</f>
        <v/>
      </c>
      <c r="S129" s="7">
        <f>IF(Q129="","",BETA.INV(0.975,O129,P129))</f>
        <v/>
      </c>
      <c r="T129" s="5">
        <f>IF(OR(O129="",P129=""),"",O129+P129-M129-N129)</f>
        <v/>
      </c>
      <c r="U129" s="5">
        <f>IF(T129="","先填完整分组",IF(T129&lt;30,"样本太少：仅描述",IF(T129&lt;100,"只作试点候选","可进入独立验证")))</f>
        <v/>
      </c>
      <c r="V129" s="3" t="n"/>
      <c r="W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5">
        <f>IF(COUNTA(A130:G130)&lt;7,"",COUNTIFS('原子事实记录'!$C$2:$C$2001,$D130,'原子事实记录'!$E$2:$E$2001,$A130,'原子事实记录'!$F$2:$F$2001,$B130,'原子事实记录'!$G$2:$G$2001,$C130,'原子事实记录'!$I$2:$I$2001,$E130,'原子事实记录'!$J$2:$J$2001,$F130,'原子事实记录'!$Q$2:$Q$2001,"是",'原子事实记录'!$R$2:$R$2001,"TP"))</f>
        <v/>
      </c>
      <c r="I130" s="5">
        <f>IF(COUNTA(A130:G130)&lt;7,"",COUNTIFS('原子事实记录'!$C$2:$C$2001,$D130,'原子事实记录'!$E$2:$E$2001,$A130,'原子事实记录'!$F$2:$F$2001,$B130,'原子事实记录'!$G$2:$G$2001,$C130,'原子事实记录'!$I$2:$I$2001,$E130,'原子事实记录'!$J$2:$J$2001,$F130,'原子事实记录'!$Q$2:$Q$2001,"是",'原子事实记录'!$R$2:$R$2001,"FP"))</f>
        <v/>
      </c>
      <c r="J130" s="5">
        <f>IF(COUNTA(A130:G130)&lt;7,"",COUNTIFS('原子事实记录'!$C$2:$C$2001,$D130,'原子事实记录'!$E$2:$E$2001,$A130,'原子事实记录'!$F$2:$F$2001,$B130,'原子事实记录'!$G$2:$G$2001,$C130,'原子事实记录'!$I$2:$I$2001,$E130,'原子事实记录'!$J$2:$J$2001,$F130,'原子事实记录'!$Q$2:$Q$2001,"是",'原子事实记录'!$R$2:$R$2001,"FN"))</f>
        <v/>
      </c>
      <c r="K130" s="5">
        <f>IF(COUNTA(A130:G130)&lt;7,"",COUNTIFS('原子事实记录'!$C$2:$C$2001,$D130,'原子事实记录'!$E$2:$E$2001,$A130,'原子事实记录'!$F$2:$F$2001,$B130,'原子事实记录'!$G$2:$G$2001,$C130,'原子事实记录'!$I$2:$I$2001,$E130,'原子事实记录'!$J$2:$J$2001,$F130,'原子事实记录'!$Q$2:$Q$2001,"是",'原子事实记录'!$R$2:$R$2001,"TN"))</f>
        <v/>
      </c>
      <c r="L130" s="5">
        <f>IF(COUNTA(A130:G130)&lt;7,"",COUNTIFS('原子事实记录'!$C$2:$C$2001,$D130,'原子事实记录'!$E$2:$E$2001,$A130,'原子事实记录'!$F$2:$F$2001,$B130,'原子事实记录'!$G$2:$G$2001,$C130,'原子事实记录'!$I$2:$I$2001,$E130,'原子事实记录'!$J$2:$J$2001,$F130,'原子事实记录'!$Q$2:$Q$2001,"是",'原子事实记录'!$R$2:$R$2001,"未知"))</f>
        <v/>
      </c>
      <c r="M130" s="3" t="n"/>
      <c r="N130" s="3" t="n"/>
      <c r="O130" s="5">
        <f>IF(OR(G130="",M130="",N130=""),"",M130+IF(G130="肯定主张正确率",H130,IF(G130="否定主张正确率",K130,IF(G130="灵敏度",H130,K130))))</f>
        <v/>
      </c>
      <c r="P130" s="5">
        <f>IF(OR(G130="",M130="",N130=""),"",N130+IF(G130="肯定主张正确率",I130,IF(G130="否定主张正确率",J130,IF(G130="灵敏度",J130,I130))))</f>
        <v/>
      </c>
      <c r="Q130" s="7">
        <f>IF(OR(O130="",P130=""),"",O130/(O130+P130))</f>
        <v/>
      </c>
      <c r="R130" s="7">
        <f>IF(Q130="","",BETA.INV(0.025,O130,P130))</f>
        <v/>
      </c>
      <c r="S130" s="7">
        <f>IF(Q130="","",BETA.INV(0.975,O130,P130))</f>
        <v/>
      </c>
      <c r="T130" s="5">
        <f>IF(OR(O130="",P130=""),"",O130+P130-M130-N130)</f>
        <v/>
      </c>
      <c r="U130" s="5">
        <f>IF(T130="","先填完整分组",IF(T130&lt;30,"样本太少：仅描述",IF(T130&lt;100,"只作试点候选","可进入独立验证")))</f>
        <v/>
      </c>
      <c r="V130" s="3" t="n"/>
      <c r="W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5">
        <f>IF(COUNTA(A131:G131)&lt;7,"",COUNTIFS('原子事实记录'!$C$2:$C$2001,$D131,'原子事实记录'!$E$2:$E$2001,$A131,'原子事实记录'!$F$2:$F$2001,$B131,'原子事实记录'!$G$2:$G$2001,$C131,'原子事实记录'!$I$2:$I$2001,$E131,'原子事实记录'!$J$2:$J$2001,$F131,'原子事实记录'!$Q$2:$Q$2001,"是",'原子事实记录'!$R$2:$R$2001,"TP"))</f>
        <v/>
      </c>
      <c r="I131" s="5">
        <f>IF(COUNTA(A131:G131)&lt;7,"",COUNTIFS('原子事实记录'!$C$2:$C$2001,$D131,'原子事实记录'!$E$2:$E$2001,$A131,'原子事实记录'!$F$2:$F$2001,$B131,'原子事实记录'!$G$2:$G$2001,$C131,'原子事实记录'!$I$2:$I$2001,$E131,'原子事实记录'!$J$2:$J$2001,$F131,'原子事实记录'!$Q$2:$Q$2001,"是",'原子事实记录'!$R$2:$R$2001,"FP"))</f>
        <v/>
      </c>
      <c r="J131" s="5">
        <f>IF(COUNTA(A131:G131)&lt;7,"",COUNTIFS('原子事实记录'!$C$2:$C$2001,$D131,'原子事实记录'!$E$2:$E$2001,$A131,'原子事实记录'!$F$2:$F$2001,$B131,'原子事实记录'!$G$2:$G$2001,$C131,'原子事实记录'!$I$2:$I$2001,$E131,'原子事实记录'!$J$2:$J$2001,$F131,'原子事实记录'!$Q$2:$Q$2001,"是",'原子事实记录'!$R$2:$R$2001,"FN"))</f>
        <v/>
      </c>
      <c r="K131" s="5">
        <f>IF(COUNTA(A131:G131)&lt;7,"",COUNTIFS('原子事实记录'!$C$2:$C$2001,$D131,'原子事实记录'!$E$2:$E$2001,$A131,'原子事实记录'!$F$2:$F$2001,$B131,'原子事实记录'!$G$2:$G$2001,$C131,'原子事实记录'!$I$2:$I$2001,$E131,'原子事实记录'!$J$2:$J$2001,$F131,'原子事实记录'!$Q$2:$Q$2001,"是",'原子事实记录'!$R$2:$R$2001,"TN"))</f>
        <v/>
      </c>
      <c r="L131" s="5">
        <f>IF(COUNTA(A131:G131)&lt;7,"",COUNTIFS('原子事实记录'!$C$2:$C$2001,$D131,'原子事实记录'!$E$2:$E$2001,$A131,'原子事实记录'!$F$2:$F$2001,$B131,'原子事实记录'!$G$2:$G$2001,$C131,'原子事实记录'!$I$2:$I$2001,$E131,'原子事实记录'!$J$2:$J$2001,$F131,'原子事实记录'!$Q$2:$Q$2001,"是",'原子事实记录'!$R$2:$R$2001,"未知"))</f>
        <v/>
      </c>
      <c r="M131" s="3" t="n"/>
      <c r="N131" s="3" t="n"/>
      <c r="O131" s="5">
        <f>IF(OR(G131="",M131="",N131=""),"",M131+IF(G131="肯定主张正确率",H131,IF(G131="否定主张正确率",K131,IF(G131="灵敏度",H131,K131))))</f>
        <v/>
      </c>
      <c r="P131" s="5">
        <f>IF(OR(G131="",M131="",N131=""),"",N131+IF(G131="肯定主张正确率",I131,IF(G131="否定主张正确率",J131,IF(G131="灵敏度",J131,I131))))</f>
        <v/>
      </c>
      <c r="Q131" s="7">
        <f>IF(OR(O131="",P131=""),"",O131/(O131+P131))</f>
        <v/>
      </c>
      <c r="R131" s="7">
        <f>IF(Q131="","",BETA.INV(0.025,O131,P131))</f>
        <v/>
      </c>
      <c r="S131" s="7">
        <f>IF(Q131="","",BETA.INV(0.975,O131,P131))</f>
        <v/>
      </c>
      <c r="T131" s="5">
        <f>IF(OR(O131="",P131=""),"",O131+P131-M131-N131)</f>
        <v/>
      </c>
      <c r="U131" s="5">
        <f>IF(T131="","先填完整分组",IF(T131&lt;30,"样本太少：仅描述",IF(T131&lt;100,"只作试点候选","可进入独立验证")))</f>
        <v/>
      </c>
      <c r="V131" s="3" t="n"/>
      <c r="W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5">
        <f>IF(COUNTA(A132:G132)&lt;7,"",COUNTIFS('原子事实记录'!$C$2:$C$2001,$D132,'原子事实记录'!$E$2:$E$2001,$A132,'原子事实记录'!$F$2:$F$2001,$B132,'原子事实记录'!$G$2:$G$2001,$C132,'原子事实记录'!$I$2:$I$2001,$E132,'原子事实记录'!$J$2:$J$2001,$F132,'原子事实记录'!$Q$2:$Q$2001,"是",'原子事实记录'!$R$2:$R$2001,"TP"))</f>
        <v/>
      </c>
      <c r="I132" s="5">
        <f>IF(COUNTA(A132:G132)&lt;7,"",COUNTIFS('原子事实记录'!$C$2:$C$2001,$D132,'原子事实记录'!$E$2:$E$2001,$A132,'原子事实记录'!$F$2:$F$2001,$B132,'原子事实记录'!$G$2:$G$2001,$C132,'原子事实记录'!$I$2:$I$2001,$E132,'原子事实记录'!$J$2:$J$2001,$F132,'原子事实记录'!$Q$2:$Q$2001,"是",'原子事实记录'!$R$2:$R$2001,"FP"))</f>
        <v/>
      </c>
      <c r="J132" s="5">
        <f>IF(COUNTA(A132:G132)&lt;7,"",COUNTIFS('原子事实记录'!$C$2:$C$2001,$D132,'原子事实记录'!$E$2:$E$2001,$A132,'原子事实记录'!$F$2:$F$2001,$B132,'原子事实记录'!$G$2:$G$2001,$C132,'原子事实记录'!$I$2:$I$2001,$E132,'原子事实记录'!$J$2:$J$2001,$F132,'原子事实记录'!$Q$2:$Q$2001,"是",'原子事实记录'!$R$2:$R$2001,"FN"))</f>
        <v/>
      </c>
      <c r="K132" s="5">
        <f>IF(COUNTA(A132:G132)&lt;7,"",COUNTIFS('原子事实记录'!$C$2:$C$2001,$D132,'原子事实记录'!$E$2:$E$2001,$A132,'原子事实记录'!$F$2:$F$2001,$B132,'原子事实记录'!$G$2:$G$2001,$C132,'原子事实记录'!$I$2:$I$2001,$E132,'原子事实记录'!$J$2:$J$2001,$F132,'原子事实记录'!$Q$2:$Q$2001,"是",'原子事实记录'!$R$2:$R$2001,"TN"))</f>
        <v/>
      </c>
      <c r="L132" s="5">
        <f>IF(COUNTA(A132:G132)&lt;7,"",COUNTIFS('原子事实记录'!$C$2:$C$2001,$D132,'原子事实记录'!$E$2:$E$2001,$A132,'原子事实记录'!$F$2:$F$2001,$B132,'原子事实记录'!$G$2:$G$2001,$C132,'原子事实记录'!$I$2:$I$2001,$E132,'原子事实记录'!$J$2:$J$2001,$F132,'原子事实记录'!$Q$2:$Q$2001,"是",'原子事实记录'!$R$2:$R$2001,"未知"))</f>
        <v/>
      </c>
      <c r="M132" s="3" t="n"/>
      <c r="N132" s="3" t="n"/>
      <c r="O132" s="5">
        <f>IF(OR(G132="",M132="",N132=""),"",M132+IF(G132="肯定主张正确率",H132,IF(G132="否定主张正确率",K132,IF(G132="灵敏度",H132,K132))))</f>
        <v/>
      </c>
      <c r="P132" s="5">
        <f>IF(OR(G132="",M132="",N132=""),"",N132+IF(G132="肯定主张正确率",I132,IF(G132="否定主张正确率",J132,IF(G132="灵敏度",J132,I132))))</f>
        <v/>
      </c>
      <c r="Q132" s="7">
        <f>IF(OR(O132="",P132=""),"",O132/(O132+P132))</f>
        <v/>
      </c>
      <c r="R132" s="7">
        <f>IF(Q132="","",BETA.INV(0.025,O132,P132))</f>
        <v/>
      </c>
      <c r="S132" s="7">
        <f>IF(Q132="","",BETA.INV(0.975,O132,P132))</f>
        <v/>
      </c>
      <c r="T132" s="5">
        <f>IF(OR(O132="",P132=""),"",O132+P132-M132-N132)</f>
        <v/>
      </c>
      <c r="U132" s="5">
        <f>IF(T132="","先填完整分组",IF(T132&lt;30,"样本太少：仅描述",IF(T132&lt;100,"只作试点候选","可进入独立验证")))</f>
        <v/>
      </c>
      <c r="V132" s="3" t="n"/>
      <c r="W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5">
        <f>IF(COUNTA(A133:G133)&lt;7,"",COUNTIFS('原子事实记录'!$C$2:$C$2001,$D133,'原子事实记录'!$E$2:$E$2001,$A133,'原子事实记录'!$F$2:$F$2001,$B133,'原子事实记录'!$G$2:$G$2001,$C133,'原子事实记录'!$I$2:$I$2001,$E133,'原子事实记录'!$J$2:$J$2001,$F133,'原子事实记录'!$Q$2:$Q$2001,"是",'原子事实记录'!$R$2:$R$2001,"TP"))</f>
        <v/>
      </c>
      <c r="I133" s="5">
        <f>IF(COUNTA(A133:G133)&lt;7,"",COUNTIFS('原子事实记录'!$C$2:$C$2001,$D133,'原子事实记录'!$E$2:$E$2001,$A133,'原子事实记录'!$F$2:$F$2001,$B133,'原子事实记录'!$G$2:$G$2001,$C133,'原子事实记录'!$I$2:$I$2001,$E133,'原子事实记录'!$J$2:$J$2001,$F133,'原子事实记录'!$Q$2:$Q$2001,"是",'原子事实记录'!$R$2:$R$2001,"FP"))</f>
        <v/>
      </c>
      <c r="J133" s="5">
        <f>IF(COUNTA(A133:G133)&lt;7,"",COUNTIFS('原子事实记录'!$C$2:$C$2001,$D133,'原子事实记录'!$E$2:$E$2001,$A133,'原子事实记录'!$F$2:$F$2001,$B133,'原子事实记录'!$G$2:$G$2001,$C133,'原子事实记录'!$I$2:$I$2001,$E133,'原子事实记录'!$J$2:$J$2001,$F133,'原子事实记录'!$Q$2:$Q$2001,"是",'原子事实记录'!$R$2:$R$2001,"FN"))</f>
        <v/>
      </c>
      <c r="K133" s="5">
        <f>IF(COUNTA(A133:G133)&lt;7,"",COUNTIFS('原子事实记录'!$C$2:$C$2001,$D133,'原子事实记录'!$E$2:$E$2001,$A133,'原子事实记录'!$F$2:$F$2001,$B133,'原子事实记录'!$G$2:$G$2001,$C133,'原子事实记录'!$I$2:$I$2001,$E133,'原子事实记录'!$J$2:$J$2001,$F133,'原子事实记录'!$Q$2:$Q$2001,"是",'原子事实记录'!$R$2:$R$2001,"TN"))</f>
        <v/>
      </c>
      <c r="L133" s="5">
        <f>IF(COUNTA(A133:G133)&lt;7,"",COUNTIFS('原子事实记录'!$C$2:$C$2001,$D133,'原子事实记录'!$E$2:$E$2001,$A133,'原子事实记录'!$F$2:$F$2001,$B133,'原子事实记录'!$G$2:$G$2001,$C133,'原子事实记录'!$I$2:$I$2001,$E133,'原子事实记录'!$J$2:$J$2001,$F133,'原子事实记录'!$Q$2:$Q$2001,"是",'原子事实记录'!$R$2:$R$2001,"未知"))</f>
        <v/>
      </c>
      <c r="M133" s="3" t="n"/>
      <c r="N133" s="3" t="n"/>
      <c r="O133" s="5">
        <f>IF(OR(G133="",M133="",N133=""),"",M133+IF(G133="肯定主张正确率",H133,IF(G133="否定主张正确率",K133,IF(G133="灵敏度",H133,K133))))</f>
        <v/>
      </c>
      <c r="P133" s="5">
        <f>IF(OR(G133="",M133="",N133=""),"",N133+IF(G133="肯定主张正确率",I133,IF(G133="否定主张正确率",J133,IF(G133="灵敏度",J133,I133))))</f>
        <v/>
      </c>
      <c r="Q133" s="7">
        <f>IF(OR(O133="",P133=""),"",O133/(O133+P133))</f>
        <v/>
      </c>
      <c r="R133" s="7">
        <f>IF(Q133="","",BETA.INV(0.025,O133,P133))</f>
        <v/>
      </c>
      <c r="S133" s="7">
        <f>IF(Q133="","",BETA.INV(0.975,O133,P133))</f>
        <v/>
      </c>
      <c r="T133" s="5">
        <f>IF(OR(O133="",P133=""),"",O133+P133-M133-N133)</f>
        <v/>
      </c>
      <c r="U133" s="5">
        <f>IF(T133="","先填完整分组",IF(T133&lt;30,"样本太少：仅描述",IF(T133&lt;100,"只作试点候选","可进入独立验证")))</f>
        <v/>
      </c>
      <c r="V133" s="3" t="n"/>
      <c r="W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5">
        <f>IF(COUNTA(A134:G134)&lt;7,"",COUNTIFS('原子事实记录'!$C$2:$C$2001,$D134,'原子事实记录'!$E$2:$E$2001,$A134,'原子事实记录'!$F$2:$F$2001,$B134,'原子事实记录'!$G$2:$G$2001,$C134,'原子事实记录'!$I$2:$I$2001,$E134,'原子事实记录'!$J$2:$J$2001,$F134,'原子事实记录'!$Q$2:$Q$2001,"是",'原子事实记录'!$R$2:$R$2001,"TP"))</f>
        <v/>
      </c>
      <c r="I134" s="5">
        <f>IF(COUNTA(A134:G134)&lt;7,"",COUNTIFS('原子事实记录'!$C$2:$C$2001,$D134,'原子事实记录'!$E$2:$E$2001,$A134,'原子事实记录'!$F$2:$F$2001,$B134,'原子事实记录'!$G$2:$G$2001,$C134,'原子事实记录'!$I$2:$I$2001,$E134,'原子事实记录'!$J$2:$J$2001,$F134,'原子事实记录'!$Q$2:$Q$2001,"是",'原子事实记录'!$R$2:$R$2001,"FP"))</f>
        <v/>
      </c>
      <c r="J134" s="5">
        <f>IF(COUNTA(A134:G134)&lt;7,"",COUNTIFS('原子事实记录'!$C$2:$C$2001,$D134,'原子事实记录'!$E$2:$E$2001,$A134,'原子事实记录'!$F$2:$F$2001,$B134,'原子事实记录'!$G$2:$G$2001,$C134,'原子事实记录'!$I$2:$I$2001,$E134,'原子事实记录'!$J$2:$J$2001,$F134,'原子事实记录'!$Q$2:$Q$2001,"是",'原子事实记录'!$R$2:$R$2001,"FN"))</f>
        <v/>
      </c>
      <c r="K134" s="5">
        <f>IF(COUNTA(A134:G134)&lt;7,"",COUNTIFS('原子事实记录'!$C$2:$C$2001,$D134,'原子事实记录'!$E$2:$E$2001,$A134,'原子事实记录'!$F$2:$F$2001,$B134,'原子事实记录'!$G$2:$G$2001,$C134,'原子事实记录'!$I$2:$I$2001,$E134,'原子事实记录'!$J$2:$J$2001,$F134,'原子事实记录'!$Q$2:$Q$2001,"是",'原子事实记录'!$R$2:$R$2001,"TN"))</f>
        <v/>
      </c>
      <c r="L134" s="5">
        <f>IF(COUNTA(A134:G134)&lt;7,"",COUNTIFS('原子事实记录'!$C$2:$C$2001,$D134,'原子事实记录'!$E$2:$E$2001,$A134,'原子事实记录'!$F$2:$F$2001,$B134,'原子事实记录'!$G$2:$G$2001,$C134,'原子事实记录'!$I$2:$I$2001,$E134,'原子事实记录'!$J$2:$J$2001,$F134,'原子事实记录'!$Q$2:$Q$2001,"是",'原子事实记录'!$R$2:$R$2001,"未知"))</f>
        <v/>
      </c>
      <c r="M134" s="3" t="n"/>
      <c r="N134" s="3" t="n"/>
      <c r="O134" s="5">
        <f>IF(OR(G134="",M134="",N134=""),"",M134+IF(G134="肯定主张正确率",H134,IF(G134="否定主张正确率",K134,IF(G134="灵敏度",H134,K134))))</f>
        <v/>
      </c>
      <c r="P134" s="5">
        <f>IF(OR(G134="",M134="",N134=""),"",N134+IF(G134="肯定主张正确率",I134,IF(G134="否定主张正确率",J134,IF(G134="灵敏度",J134,I134))))</f>
        <v/>
      </c>
      <c r="Q134" s="7">
        <f>IF(OR(O134="",P134=""),"",O134/(O134+P134))</f>
        <v/>
      </c>
      <c r="R134" s="7">
        <f>IF(Q134="","",BETA.INV(0.025,O134,P134))</f>
        <v/>
      </c>
      <c r="S134" s="7">
        <f>IF(Q134="","",BETA.INV(0.975,O134,P134))</f>
        <v/>
      </c>
      <c r="T134" s="5">
        <f>IF(OR(O134="",P134=""),"",O134+P134-M134-N134)</f>
        <v/>
      </c>
      <c r="U134" s="5">
        <f>IF(T134="","先填完整分组",IF(T134&lt;30,"样本太少：仅描述",IF(T134&lt;100,"只作试点候选","可进入独立验证")))</f>
        <v/>
      </c>
      <c r="V134" s="3" t="n"/>
      <c r="W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5">
        <f>IF(COUNTA(A135:G135)&lt;7,"",COUNTIFS('原子事实记录'!$C$2:$C$2001,$D135,'原子事实记录'!$E$2:$E$2001,$A135,'原子事实记录'!$F$2:$F$2001,$B135,'原子事实记录'!$G$2:$G$2001,$C135,'原子事实记录'!$I$2:$I$2001,$E135,'原子事实记录'!$J$2:$J$2001,$F135,'原子事实记录'!$Q$2:$Q$2001,"是",'原子事实记录'!$R$2:$R$2001,"TP"))</f>
        <v/>
      </c>
      <c r="I135" s="5">
        <f>IF(COUNTA(A135:G135)&lt;7,"",COUNTIFS('原子事实记录'!$C$2:$C$2001,$D135,'原子事实记录'!$E$2:$E$2001,$A135,'原子事实记录'!$F$2:$F$2001,$B135,'原子事实记录'!$G$2:$G$2001,$C135,'原子事实记录'!$I$2:$I$2001,$E135,'原子事实记录'!$J$2:$J$2001,$F135,'原子事实记录'!$Q$2:$Q$2001,"是",'原子事实记录'!$R$2:$R$2001,"FP"))</f>
        <v/>
      </c>
      <c r="J135" s="5">
        <f>IF(COUNTA(A135:G135)&lt;7,"",COUNTIFS('原子事实记录'!$C$2:$C$2001,$D135,'原子事实记录'!$E$2:$E$2001,$A135,'原子事实记录'!$F$2:$F$2001,$B135,'原子事实记录'!$G$2:$G$2001,$C135,'原子事实记录'!$I$2:$I$2001,$E135,'原子事实记录'!$J$2:$J$2001,$F135,'原子事实记录'!$Q$2:$Q$2001,"是",'原子事实记录'!$R$2:$R$2001,"FN"))</f>
        <v/>
      </c>
      <c r="K135" s="5">
        <f>IF(COUNTA(A135:G135)&lt;7,"",COUNTIFS('原子事实记录'!$C$2:$C$2001,$D135,'原子事实记录'!$E$2:$E$2001,$A135,'原子事实记录'!$F$2:$F$2001,$B135,'原子事实记录'!$G$2:$G$2001,$C135,'原子事实记录'!$I$2:$I$2001,$E135,'原子事实记录'!$J$2:$J$2001,$F135,'原子事实记录'!$Q$2:$Q$2001,"是",'原子事实记录'!$R$2:$R$2001,"TN"))</f>
        <v/>
      </c>
      <c r="L135" s="5">
        <f>IF(COUNTA(A135:G135)&lt;7,"",COUNTIFS('原子事实记录'!$C$2:$C$2001,$D135,'原子事实记录'!$E$2:$E$2001,$A135,'原子事实记录'!$F$2:$F$2001,$B135,'原子事实记录'!$G$2:$G$2001,$C135,'原子事实记录'!$I$2:$I$2001,$E135,'原子事实记录'!$J$2:$J$2001,$F135,'原子事实记录'!$Q$2:$Q$2001,"是",'原子事实记录'!$R$2:$R$2001,"未知"))</f>
        <v/>
      </c>
      <c r="M135" s="3" t="n"/>
      <c r="N135" s="3" t="n"/>
      <c r="O135" s="5">
        <f>IF(OR(G135="",M135="",N135=""),"",M135+IF(G135="肯定主张正确率",H135,IF(G135="否定主张正确率",K135,IF(G135="灵敏度",H135,K135))))</f>
        <v/>
      </c>
      <c r="P135" s="5">
        <f>IF(OR(G135="",M135="",N135=""),"",N135+IF(G135="肯定主张正确率",I135,IF(G135="否定主张正确率",J135,IF(G135="灵敏度",J135,I135))))</f>
        <v/>
      </c>
      <c r="Q135" s="7">
        <f>IF(OR(O135="",P135=""),"",O135/(O135+P135))</f>
        <v/>
      </c>
      <c r="R135" s="7">
        <f>IF(Q135="","",BETA.INV(0.025,O135,P135))</f>
        <v/>
      </c>
      <c r="S135" s="7">
        <f>IF(Q135="","",BETA.INV(0.975,O135,P135))</f>
        <v/>
      </c>
      <c r="T135" s="5">
        <f>IF(OR(O135="",P135=""),"",O135+P135-M135-N135)</f>
        <v/>
      </c>
      <c r="U135" s="5">
        <f>IF(T135="","先填完整分组",IF(T135&lt;30,"样本太少：仅描述",IF(T135&lt;100,"只作试点候选","可进入独立验证")))</f>
        <v/>
      </c>
      <c r="V135" s="3" t="n"/>
      <c r="W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5">
        <f>IF(COUNTA(A136:G136)&lt;7,"",COUNTIFS('原子事实记录'!$C$2:$C$2001,$D136,'原子事实记录'!$E$2:$E$2001,$A136,'原子事实记录'!$F$2:$F$2001,$B136,'原子事实记录'!$G$2:$G$2001,$C136,'原子事实记录'!$I$2:$I$2001,$E136,'原子事实记录'!$J$2:$J$2001,$F136,'原子事实记录'!$Q$2:$Q$2001,"是",'原子事实记录'!$R$2:$R$2001,"TP"))</f>
        <v/>
      </c>
      <c r="I136" s="5">
        <f>IF(COUNTA(A136:G136)&lt;7,"",COUNTIFS('原子事实记录'!$C$2:$C$2001,$D136,'原子事实记录'!$E$2:$E$2001,$A136,'原子事实记录'!$F$2:$F$2001,$B136,'原子事实记录'!$G$2:$G$2001,$C136,'原子事实记录'!$I$2:$I$2001,$E136,'原子事实记录'!$J$2:$J$2001,$F136,'原子事实记录'!$Q$2:$Q$2001,"是",'原子事实记录'!$R$2:$R$2001,"FP"))</f>
        <v/>
      </c>
      <c r="J136" s="5">
        <f>IF(COUNTA(A136:G136)&lt;7,"",COUNTIFS('原子事实记录'!$C$2:$C$2001,$D136,'原子事实记录'!$E$2:$E$2001,$A136,'原子事实记录'!$F$2:$F$2001,$B136,'原子事实记录'!$G$2:$G$2001,$C136,'原子事实记录'!$I$2:$I$2001,$E136,'原子事实记录'!$J$2:$J$2001,$F136,'原子事实记录'!$Q$2:$Q$2001,"是",'原子事实记录'!$R$2:$R$2001,"FN"))</f>
        <v/>
      </c>
      <c r="K136" s="5">
        <f>IF(COUNTA(A136:G136)&lt;7,"",COUNTIFS('原子事实记录'!$C$2:$C$2001,$D136,'原子事实记录'!$E$2:$E$2001,$A136,'原子事实记录'!$F$2:$F$2001,$B136,'原子事实记录'!$G$2:$G$2001,$C136,'原子事实记录'!$I$2:$I$2001,$E136,'原子事实记录'!$J$2:$J$2001,$F136,'原子事实记录'!$Q$2:$Q$2001,"是",'原子事实记录'!$R$2:$R$2001,"TN"))</f>
        <v/>
      </c>
      <c r="L136" s="5">
        <f>IF(COUNTA(A136:G136)&lt;7,"",COUNTIFS('原子事实记录'!$C$2:$C$2001,$D136,'原子事实记录'!$E$2:$E$2001,$A136,'原子事实记录'!$F$2:$F$2001,$B136,'原子事实记录'!$G$2:$G$2001,$C136,'原子事实记录'!$I$2:$I$2001,$E136,'原子事实记录'!$J$2:$J$2001,$F136,'原子事实记录'!$Q$2:$Q$2001,"是",'原子事实记录'!$R$2:$R$2001,"未知"))</f>
        <v/>
      </c>
      <c r="M136" s="3" t="n"/>
      <c r="N136" s="3" t="n"/>
      <c r="O136" s="5">
        <f>IF(OR(G136="",M136="",N136=""),"",M136+IF(G136="肯定主张正确率",H136,IF(G136="否定主张正确率",K136,IF(G136="灵敏度",H136,K136))))</f>
        <v/>
      </c>
      <c r="P136" s="5">
        <f>IF(OR(G136="",M136="",N136=""),"",N136+IF(G136="肯定主张正确率",I136,IF(G136="否定主张正确率",J136,IF(G136="灵敏度",J136,I136))))</f>
        <v/>
      </c>
      <c r="Q136" s="7">
        <f>IF(OR(O136="",P136=""),"",O136/(O136+P136))</f>
        <v/>
      </c>
      <c r="R136" s="7">
        <f>IF(Q136="","",BETA.INV(0.025,O136,P136))</f>
        <v/>
      </c>
      <c r="S136" s="7">
        <f>IF(Q136="","",BETA.INV(0.975,O136,P136))</f>
        <v/>
      </c>
      <c r="T136" s="5">
        <f>IF(OR(O136="",P136=""),"",O136+P136-M136-N136)</f>
        <v/>
      </c>
      <c r="U136" s="5">
        <f>IF(T136="","先填完整分组",IF(T136&lt;30,"样本太少：仅描述",IF(T136&lt;100,"只作试点候选","可进入独立验证")))</f>
        <v/>
      </c>
      <c r="V136" s="3" t="n"/>
      <c r="W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5">
        <f>IF(COUNTA(A137:G137)&lt;7,"",COUNTIFS('原子事实记录'!$C$2:$C$2001,$D137,'原子事实记录'!$E$2:$E$2001,$A137,'原子事实记录'!$F$2:$F$2001,$B137,'原子事实记录'!$G$2:$G$2001,$C137,'原子事实记录'!$I$2:$I$2001,$E137,'原子事实记录'!$J$2:$J$2001,$F137,'原子事实记录'!$Q$2:$Q$2001,"是",'原子事实记录'!$R$2:$R$2001,"TP"))</f>
        <v/>
      </c>
      <c r="I137" s="5">
        <f>IF(COUNTA(A137:G137)&lt;7,"",COUNTIFS('原子事实记录'!$C$2:$C$2001,$D137,'原子事实记录'!$E$2:$E$2001,$A137,'原子事实记录'!$F$2:$F$2001,$B137,'原子事实记录'!$G$2:$G$2001,$C137,'原子事实记录'!$I$2:$I$2001,$E137,'原子事实记录'!$J$2:$J$2001,$F137,'原子事实记录'!$Q$2:$Q$2001,"是",'原子事实记录'!$R$2:$R$2001,"FP"))</f>
        <v/>
      </c>
      <c r="J137" s="5">
        <f>IF(COUNTA(A137:G137)&lt;7,"",COUNTIFS('原子事实记录'!$C$2:$C$2001,$D137,'原子事实记录'!$E$2:$E$2001,$A137,'原子事实记录'!$F$2:$F$2001,$B137,'原子事实记录'!$G$2:$G$2001,$C137,'原子事实记录'!$I$2:$I$2001,$E137,'原子事实记录'!$J$2:$J$2001,$F137,'原子事实记录'!$Q$2:$Q$2001,"是",'原子事实记录'!$R$2:$R$2001,"FN"))</f>
        <v/>
      </c>
      <c r="K137" s="5">
        <f>IF(COUNTA(A137:G137)&lt;7,"",COUNTIFS('原子事实记录'!$C$2:$C$2001,$D137,'原子事实记录'!$E$2:$E$2001,$A137,'原子事实记录'!$F$2:$F$2001,$B137,'原子事实记录'!$G$2:$G$2001,$C137,'原子事实记录'!$I$2:$I$2001,$E137,'原子事实记录'!$J$2:$J$2001,$F137,'原子事实记录'!$Q$2:$Q$2001,"是",'原子事实记录'!$R$2:$R$2001,"TN"))</f>
        <v/>
      </c>
      <c r="L137" s="5">
        <f>IF(COUNTA(A137:G137)&lt;7,"",COUNTIFS('原子事实记录'!$C$2:$C$2001,$D137,'原子事实记录'!$E$2:$E$2001,$A137,'原子事实记录'!$F$2:$F$2001,$B137,'原子事实记录'!$G$2:$G$2001,$C137,'原子事实记录'!$I$2:$I$2001,$E137,'原子事实记录'!$J$2:$J$2001,$F137,'原子事实记录'!$Q$2:$Q$2001,"是",'原子事实记录'!$R$2:$R$2001,"未知"))</f>
        <v/>
      </c>
      <c r="M137" s="3" t="n"/>
      <c r="N137" s="3" t="n"/>
      <c r="O137" s="5">
        <f>IF(OR(G137="",M137="",N137=""),"",M137+IF(G137="肯定主张正确率",H137,IF(G137="否定主张正确率",K137,IF(G137="灵敏度",H137,K137))))</f>
        <v/>
      </c>
      <c r="P137" s="5">
        <f>IF(OR(G137="",M137="",N137=""),"",N137+IF(G137="肯定主张正确率",I137,IF(G137="否定主张正确率",J137,IF(G137="灵敏度",J137,I137))))</f>
        <v/>
      </c>
      <c r="Q137" s="7">
        <f>IF(OR(O137="",P137=""),"",O137/(O137+P137))</f>
        <v/>
      </c>
      <c r="R137" s="7">
        <f>IF(Q137="","",BETA.INV(0.025,O137,P137))</f>
        <v/>
      </c>
      <c r="S137" s="7">
        <f>IF(Q137="","",BETA.INV(0.975,O137,P137))</f>
        <v/>
      </c>
      <c r="T137" s="5">
        <f>IF(OR(O137="",P137=""),"",O137+P137-M137-N137)</f>
        <v/>
      </c>
      <c r="U137" s="5">
        <f>IF(T137="","先填完整分组",IF(T137&lt;30,"样本太少：仅描述",IF(T137&lt;100,"只作试点候选","可进入独立验证")))</f>
        <v/>
      </c>
      <c r="V137" s="3" t="n"/>
      <c r="W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5">
        <f>IF(COUNTA(A138:G138)&lt;7,"",COUNTIFS('原子事实记录'!$C$2:$C$2001,$D138,'原子事实记录'!$E$2:$E$2001,$A138,'原子事实记录'!$F$2:$F$2001,$B138,'原子事实记录'!$G$2:$G$2001,$C138,'原子事实记录'!$I$2:$I$2001,$E138,'原子事实记录'!$J$2:$J$2001,$F138,'原子事实记录'!$Q$2:$Q$2001,"是",'原子事实记录'!$R$2:$R$2001,"TP"))</f>
        <v/>
      </c>
      <c r="I138" s="5">
        <f>IF(COUNTA(A138:G138)&lt;7,"",COUNTIFS('原子事实记录'!$C$2:$C$2001,$D138,'原子事实记录'!$E$2:$E$2001,$A138,'原子事实记录'!$F$2:$F$2001,$B138,'原子事实记录'!$G$2:$G$2001,$C138,'原子事实记录'!$I$2:$I$2001,$E138,'原子事实记录'!$J$2:$J$2001,$F138,'原子事实记录'!$Q$2:$Q$2001,"是",'原子事实记录'!$R$2:$R$2001,"FP"))</f>
        <v/>
      </c>
      <c r="J138" s="5">
        <f>IF(COUNTA(A138:G138)&lt;7,"",COUNTIFS('原子事实记录'!$C$2:$C$2001,$D138,'原子事实记录'!$E$2:$E$2001,$A138,'原子事实记录'!$F$2:$F$2001,$B138,'原子事实记录'!$G$2:$G$2001,$C138,'原子事实记录'!$I$2:$I$2001,$E138,'原子事实记录'!$J$2:$J$2001,$F138,'原子事实记录'!$Q$2:$Q$2001,"是",'原子事实记录'!$R$2:$R$2001,"FN"))</f>
        <v/>
      </c>
      <c r="K138" s="5">
        <f>IF(COUNTA(A138:G138)&lt;7,"",COUNTIFS('原子事实记录'!$C$2:$C$2001,$D138,'原子事实记录'!$E$2:$E$2001,$A138,'原子事实记录'!$F$2:$F$2001,$B138,'原子事实记录'!$G$2:$G$2001,$C138,'原子事实记录'!$I$2:$I$2001,$E138,'原子事实记录'!$J$2:$J$2001,$F138,'原子事实记录'!$Q$2:$Q$2001,"是",'原子事实记录'!$R$2:$R$2001,"TN"))</f>
        <v/>
      </c>
      <c r="L138" s="5">
        <f>IF(COUNTA(A138:G138)&lt;7,"",COUNTIFS('原子事实记录'!$C$2:$C$2001,$D138,'原子事实记录'!$E$2:$E$2001,$A138,'原子事实记录'!$F$2:$F$2001,$B138,'原子事实记录'!$G$2:$G$2001,$C138,'原子事实记录'!$I$2:$I$2001,$E138,'原子事实记录'!$J$2:$J$2001,$F138,'原子事实记录'!$Q$2:$Q$2001,"是",'原子事实记录'!$R$2:$R$2001,"未知"))</f>
        <v/>
      </c>
      <c r="M138" s="3" t="n"/>
      <c r="N138" s="3" t="n"/>
      <c r="O138" s="5">
        <f>IF(OR(G138="",M138="",N138=""),"",M138+IF(G138="肯定主张正确率",H138,IF(G138="否定主张正确率",K138,IF(G138="灵敏度",H138,K138))))</f>
        <v/>
      </c>
      <c r="P138" s="5">
        <f>IF(OR(G138="",M138="",N138=""),"",N138+IF(G138="肯定主张正确率",I138,IF(G138="否定主张正确率",J138,IF(G138="灵敏度",J138,I138))))</f>
        <v/>
      </c>
      <c r="Q138" s="7">
        <f>IF(OR(O138="",P138=""),"",O138/(O138+P138))</f>
        <v/>
      </c>
      <c r="R138" s="7">
        <f>IF(Q138="","",BETA.INV(0.025,O138,P138))</f>
        <v/>
      </c>
      <c r="S138" s="7">
        <f>IF(Q138="","",BETA.INV(0.975,O138,P138))</f>
        <v/>
      </c>
      <c r="T138" s="5">
        <f>IF(OR(O138="",P138=""),"",O138+P138-M138-N138)</f>
        <v/>
      </c>
      <c r="U138" s="5">
        <f>IF(T138="","先填完整分组",IF(T138&lt;30,"样本太少：仅描述",IF(T138&lt;100,"只作试点候选","可进入独立验证")))</f>
        <v/>
      </c>
      <c r="V138" s="3" t="n"/>
      <c r="W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5">
        <f>IF(COUNTA(A139:G139)&lt;7,"",COUNTIFS('原子事实记录'!$C$2:$C$2001,$D139,'原子事实记录'!$E$2:$E$2001,$A139,'原子事实记录'!$F$2:$F$2001,$B139,'原子事实记录'!$G$2:$G$2001,$C139,'原子事实记录'!$I$2:$I$2001,$E139,'原子事实记录'!$J$2:$J$2001,$F139,'原子事实记录'!$Q$2:$Q$2001,"是",'原子事实记录'!$R$2:$R$2001,"TP"))</f>
        <v/>
      </c>
      <c r="I139" s="5">
        <f>IF(COUNTA(A139:G139)&lt;7,"",COUNTIFS('原子事实记录'!$C$2:$C$2001,$D139,'原子事实记录'!$E$2:$E$2001,$A139,'原子事实记录'!$F$2:$F$2001,$B139,'原子事实记录'!$G$2:$G$2001,$C139,'原子事实记录'!$I$2:$I$2001,$E139,'原子事实记录'!$J$2:$J$2001,$F139,'原子事实记录'!$Q$2:$Q$2001,"是",'原子事实记录'!$R$2:$R$2001,"FP"))</f>
        <v/>
      </c>
      <c r="J139" s="5">
        <f>IF(COUNTA(A139:G139)&lt;7,"",COUNTIFS('原子事实记录'!$C$2:$C$2001,$D139,'原子事实记录'!$E$2:$E$2001,$A139,'原子事实记录'!$F$2:$F$2001,$B139,'原子事实记录'!$G$2:$G$2001,$C139,'原子事实记录'!$I$2:$I$2001,$E139,'原子事实记录'!$J$2:$J$2001,$F139,'原子事实记录'!$Q$2:$Q$2001,"是",'原子事实记录'!$R$2:$R$2001,"FN"))</f>
        <v/>
      </c>
      <c r="K139" s="5">
        <f>IF(COUNTA(A139:G139)&lt;7,"",COUNTIFS('原子事实记录'!$C$2:$C$2001,$D139,'原子事实记录'!$E$2:$E$2001,$A139,'原子事实记录'!$F$2:$F$2001,$B139,'原子事实记录'!$G$2:$G$2001,$C139,'原子事实记录'!$I$2:$I$2001,$E139,'原子事实记录'!$J$2:$J$2001,$F139,'原子事实记录'!$Q$2:$Q$2001,"是",'原子事实记录'!$R$2:$R$2001,"TN"))</f>
        <v/>
      </c>
      <c r="L139" s="5">
        <f>IF(COUNTA(A139:G139)&lt;7,"",COUNTIFS('原子事实记录'!$C$2:$C$2001,$D139,'原子事实记录'!$E$2:$E$2001,$A139,'原子事实记录'!$F$2:$F$2001,$B139,'原子事实记录'!$G$2:$G$2001,$C139,'原子事实记录'!$I$2:$I$2001,$E139,'原子事实记录'!$J$2:$J$2001,$F139,'原子事实记录'!$Q$2:$Q$2001,"是",'原子事实记录'!$R$2:$R$2001,"未知"))</f>
        <v/>
      </c>
      <c r="M139" s="3" t="n"/>
      <c r="N139" s="3" t="n"/>
      <c r="O139" s="5">
        <f>IF(OR(G139="",M139="",N139=""),"",M139+IF(G139="肯定主张正确率",H139,IF(G139="否定主张正确率",K139,IF(G139="灵敏度",H139,K139))))</f>
        <v/>
      </c>
      <c r="P139" s="5">
        <f>IF(OR(G139="",M139="",N139=""),"",N139+IF(G139="肯定主张正确率",I139,IF(G139="否定主张正确率",J139,IF(G139="灵敏度",J139,I139))))</f>
        <v/>
      </c>
      <c r="Q139" s="7">
        <f>IF(OR(O139="",P139=""),"",O139/(O139+P139))</f>
        <v/>
      </c>
      <c r="R139" s="7">
        <f>IF(Q139="","",BETA.INV(0.025,O139,P139))</f>
        <v/>
      </c>
      <c r="S139" s="7">
        <f>IF(Q139="","",BETA.INV(0.975,O139,P139))</f>
        <v/>
      </c>
      <c r="T139" s="5">
        <f>IF(OR(O139="",P139=""),"",O139+P139-M139-N139)</f>
        <v/>
      </c>
      <c r="U139" s="5">
        <f>IF(T139="","先填完整分组",IF(T139&lt;30,"样本太少：仅描述",IF(T139&lt;100,"只作试点候选","可进入独立验证")))</f>
        <v/>
      </c>
      <c r="V139" s="3" t="n"/>
      <c r="W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5">
        <f>IF(COUNTA(A140:G140)&lt;7,"",COUNTIFS('原子事实记录'!$C$2:$C$2001,$D140,'原子事实记录'!$E$2:$E$2001,$A140,'原子事实记录'!$F$2:$F$2001,$B140,'原子事实记录'!$G$2:$G$2001,$C140,'原子事实记录'!$I$2:$I$2001,$E140,'原子事实记录'!$J$2:$J$2001,$F140,'原子事实记录'!$Q$2:$Q$2001,"是",'原子事实记录'!$R$2:$R$2001,"TP"))</f>
        <v/>
      </c>
      <c r="I140" s="5">
        <f>IF(COUNTA(A140:G140)&lt;7,"",COUNTIFS('原子事实记录'!$C$2:$C$2001,$D140,'原子事实记录'!$E$2:$E$2001,$A140,'原子事实记录'!$F$2:$F$2001,$B140,'原子事实记录'!$G$2:$G$2001,$C140,'原子事实记录'!$I$2:$I$2001,$E140,'原子事实记录'!$J$2:$J$2001,$F140,'原子事实记录'!$Q$2:$Q$2001,"是",'原子事实记录'!$R$2:$R$2001,"FP"))</f>
        <v/>
      </c>
      <c r="J140" s="5">
        <f>IF(COUNTA(A140:G140)&lt;7,"",COUNTIFS('原子事实记录'!$C$2:$C$2001,$D140,'原子事实记录'!$E$2:$E$2001,$A140,'原子事实记录'!$F$2:$F$2001,$B140,'原子事实记录'!$G$2:$G$2001,$C140,'原子事实记录'!$I$2:$I$2001,$E140,'原子事实记录'!$J$2:$J$2001,$F140,'原子事实记录'!$Q$2:$Q$2001,"是",'原子事实记录'!$R$2:$R$2001,"FN"))</f>
        <v/>
      </c>
      <c r="K140" s="5">
        <f>IF(COUNTA(A140:G140)&lt;7,"",COUNTIFS('原子事实记录'!$C$2:$C$2001,$D140,'原子事实记录'!$E$2:$E$2001,$A140,'原子事实记录'!$F$2:$F$2001,$B140,'原子事实记录'!$G$2:$G$2001,$C140,'原子事实记录'!$I$2:$I$2001,$E140,'原子事实记录'!$J$2:$J$2001,$F140,'原子事实记录'!$Q$2:$Q$2001,"是",'原子事实记录'!$R$2:$R$2001,"TN"))</f>
        <v/>
      </c>
      <c r="L140" s="5">
        <f>IF(COUNTA(A140:G140)&lt;7,"",COUNTIFS('原子事实记录'!$C$2:$C$2001,$D140,'原子事实记录'!$E$2:$E$2001,$A140,'原子事实记录'!$F$2:$F$2001,$B140,'原子事实记录'!$G$2:$G$2001,$C140,'原子事实记录'!$I$2:$I$2001,$E140,'原子事实记录'!$J$2:$J$2001,$F140,'原子事实记录'!$Q$2:$Q$2001,"是",'原子事实记录'!$R$2:$R$2001,"未知"))</f>
        <v/>
      </c>
      <c r="M140" s="3" t="n"/>
      <c r="N140" s="3" t="n"/>
      <c r="O140" s="5">
        <f>IF(OR(G140="",M140="",N140=""),"",M140+IF(G140="肯定主张正确率",H140,IF(G140="否定主张正确率",K140,IF(G140="灵敏度",H140,K140))))</f>
        <v/>
      </c>
      <c r="P140" s="5">
        <f>IF(OR(G140="",M140="",N140=""),"",N140+IF(G140="肯定主张正确率",I140,IF(G140="否定主张正确率",J140,IF(G140="灵敏度",J140,I140))))</f>
        <v/>
      </c>
      <c r="Q140" s="7">
        <f>IF(OR(O140="",P140=""),"",O140/(O140+P140))</f>
        <v/>
      </c>
      <c r="R140" s="7">
        <f>IF(Q140="","",BETA.INV(0.025,O140,P140))</f>
        <v/>
      </c>
      <c r="S140" s="7">
        <f>IF(Q140="","",BETA.INV(0.975,O140,P140))</f>
        <v/>
      </c>
      <c r="T140" s="5">
        <f>IF(OR(O140="",P140=""),"",O140+P140-M140-N140)</f>
        <v/>
      </c>
      <c r="U140" s="5">
        <f>IF(T140="","先填完整分组",IF(T140&lt;30,"样本太少：仅描述",IF(T140&lt;100,"只作试点候选","可进入独立验证")))</f>
        <v/>
      </c>
      <c r="V140" s="3" t="n"/>
      <c r="W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5">
        <f>IF(COUNTA(A141:G141)&lt;7,"",COUNTIFS('原子事实记录'!$C$2:$C$2001,$D141,'原子事实记录'!$E$2:$E$2001,$A141,'原子事实记录'!$F$2:$F$2001,$B141,'原子事实记录'!$G$2:$G$2001,$C141,'原子事实记录'!$I$2:$I$2001,$E141,'原子事实记录'!$J$2:$J$2001,$F141,'原子事实记录'!$Q$2:$Q$2001,"是",'原子事实记录'!$R$2:$R$2001,"TP"))</f>
        <v/>
      </c>
      <c r="I141" s="5">
        <f>IF(COUNTA(A141:G141)&lt;7,"",COUNTIFS('原子事实记录'!$C$2:$C$2001,$D141,'原子事实记录'!$E$2:$E$2001,$A141,'原子事实记录'!$F$2:$F$2001,$B141,'原子事实记录'!$G$2:$G$2001,$C141,'原子事实记录'!$I$2:$I$2001,$E141,'原子事实记录'!$J$2:$J$2001,$F141,'原子事实记录'!$Q$2:$Q$2001,"是",'原子事实记录'!$R$2:$R$2001,"FP"))</f>
        <v/>
      </c>
      <c r="J141" s="5">
        <f>IF(COUNTA(A141:G141)&lt;7,"",COUNTIFS('原子事实记录'!$C$2:$C$2001,$D141,'原子事实记录'!$E$2:$E$2001,$A141,'原子事实记录'!$F$2:$F$2001,$B141,'原子事实记录'!$G$2:$G$2001,$C141,'原子事实记录'!$I$2:$I$2001,$E141,'原子事实记录'!$J$2:$J$2001,$F141,'原子事实记录'!$Q$2:$Q$2001,"是",'原子事实记录'!$R$2:$R$2001,"FN"))</f>
        <v/>
      </c>
      <c r="K141" s="5">
        <f>IF(COUNTA(A141:G141)&lt;7,"",COUNTIFS('原子事实记录'!$C$2:$C$2001,$D141,'原子事实记录'!$E$2:$E$2001,$A141,'原子事实记录'!$F$2:$F$2001,$B141,'原子事实记录'!$G$2:$G$2001,$C141,'原子事实记录'!$I$2:$I$2001,$E141,'原子事实记录'!$J$2:$J$2001,$F141,'原子事实记录'!$Q$2:$Q$2001,"是",'原子事实记录'!$R$2:$R$2001,"TN"))</f>
        <v/>
      </c>
      <c r="L141" s="5">
        <f>IF(COUNTA(A141:G141)&lt;7,"",COUNTIFS('原子事实记录'!$C$2:$C$2001,$D141,'原子事实记录'!$E$2:$E$2001,$A141,'原子事实记录'!$F$2:$F$2001,$B141,'原子事实记录'!$G$2:$G$2001,$C141,'原子事实记录'!$I$2:$I$2001,$E141,'原子事实记录'!$J$2:$J$2001,$F141,'原子事实记录'!$Q$2:$Q$2001,"是",'原子事实记录'!$R$2:$R$2001,"未知"))</f>
        <v/>
      </c>
      <c r="M141" s="3" t="n"/>
      <c r="N141" s="3" t="n"/>
      <c r="O141" s="5">
        <f>IF(OR(G141="",M141="",N141=""),"",M141+IF(G141="肯定主张正确率",H141,IF(G141="否定主张正确率",K141,IF(G141="灵敏度",H141,K141))))</f>
        <v/>
      </c>
      <c r="P141" s="5">
        <f>IF(OR(G141="",M141="",N141=""),"",N141+IF(G141="肯定主张正确率",I141,IF(G141="否定主张正确率",J141,IF(G141="灵敏度",J141,I141))))</f>
        <v/>
      </c>
      <c r="Q141" s="7">
        <f>IF(OR(O141="",P141=""),"",O141/(O141+P141))</f>
        <v/>
      </c>
      <c r="R141" s="7">
        <f>IF(Q141="","",BETA.INV(0.025,O141,P141))</f>
        <v/>
      </c>
      <c r="S141" s="7">
        <f>IF(Q141="","",BETA.INV(0.975,O141,P141))</f>
        <v/>
      </c>
      <c r="T141" s="5">
        <f>IF(OR(O141="",P141=""),"",O141+P141-M141-N141)</f>
        <v/>
      </c>
      <c r="U141" s="5">
        <f>IF(T141="","先填完整分组",IF(T141&lt;30,"样本太少：仅描述",IF(T141&lt;100,"只作试点候选","可进入独立验证")))</f>
        <v/>
      </c>
      <c r="V141" s="3" t="n"/>
      <c r="W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5">
        <f>IF(COUNTA(A142:G142)&lt;7,"",COUNTIFS('原子事实记录'!$C$2:$C$2001,$D142,'原子事实记录'!$E$2:$E$2001,$A142,'原子事实记录'!$F$2:$F$2001,$B142,'原子事实记录'!$G$2:$G$2001,$C142,'原子事实记录'!$I$2:$I$2001,$E142,'原子事实记录'!$J$2:$J$2001,$F142,'原子事实记录'!$Q$2:$Q$2001,"是",'原子事实记录'!$R$2:$R$2001,"TP"))</f>
        <v/>
      </c>
      <c r="I142" s="5">
        <f>IF(COUNTA(A142:G142)&lt;7,"",COUNTIFS('原子事实记录'!$C$2:$C$2001,$D142,'原子事实记录'!$E$2:$E$2001,$A142,'原子事实记录'!$F$2:$F$2001,$B142,'原子事实记录'!$G$2:$G$2001,$C142,'原子事实记录'!$I$2:$I$2001,$E142,'原子事实记录'!$J$2:$J$2001,$F142,'原子事实记录'!$Q$2:$Q$2001,"是",'原子事实记录'!$R$2:$R$2001,"FP"))</f>
        <v/>
      </c>
      <c r="J142" s="5">
        <f>IF(COUNTA(A142:G142)&lt;7,"",COUNTIFS('原子事实记录'!$C$2:$C$2001,$D142,'原子事实记录'!$E$2:$E$2001,$A142,'原子事实记录'!$F$2:$F$2001,$B142,'原子事实记录'!$G$2:$G$2001,$C142,'原子事实记录'!$I$2:$I$2001,$E142,'原子事实记录'!$J$2:$J$2001,$F142,'原子事实记录'!$Q$2:$Q$2001,"是",'原子事实记录'!$R$2:$R$2001,"FN"))</f>
        <v/>
      </c>
      <c r="K142" s="5">
        <f>IF(COUNTA(A142:G142)&lt;7,"",COUNTIFS('原子事实记录'!$C$2:$C$2001,$D142,'原子事实记录'!$E$2:$E$2001,$A142,'原子事实记录'!$F$2:$F$2001,$B142,'原子事实记录'!$G$2:$G$2001,$C142,'原子事实记录'!$I$2:$I$2001,$E142,'原子事实记录'!$J$2:$J$2001,$F142,'原子事实记录'!$Q$2:$Q$2001,"是",'原子事实记录'!$R$2:$R$2001,"TN"))</f>
        <v/>
      </c>
      <c r="L142" s="5">
        <f>IF(COUNTA(A142:G142)&lt;7,"",COUNTIFS('原子事实记录'!$C$2:$C$2001,$D142,'原子事实记录'!$E$2:$E$2001,$A142,'原子事实记录'!$F$2:$F$2001,$B142,'原子事实记录'!$G$2:$G$2001,$C142,'原子事实记录'!$I$2:$I$2001,$E142,'原子事实记录'!$J$2:$J$2001,$F142,'原子事实记录'!$Q$2:$Q$2001,"是",'原子事实记录'!$R$2:$R$2001,"未知"))</f>
        <v/>
      </c>
      <c r="M142" s="3" t="n"/>
      <c r="N142" s="3" t="n"/>
      <c r="O142" s="5">
        <f>IF(OR(G142="",M142="",N142=""),"",M142+IF(G142="肯定主张正确率",H142,IF(G142="否定主张正确率",K142,IF(G142="灵敏度",H142,K142))))</f>
        <v/>
      </c>
      <c r="P142" s="5">
        <f>IF(OR(G142="",M142="",N142=""),"",N142+IF(G142="肯定主张正确率",I142,IF(G142="否定主张正确率",J142,IF(G142="灵敏度",J142,I142))))</f>
        <v/>
      </c>
      <c r="Q142" s="7">
        <f>IF(OR(O142="",P142=""),"",O142/(O142+P142))</f>
        <v/>
      </c>
      <c r="R142" s="7">
        <f>IF(Q142="","",BETA.INV(0.025,O142,P142))</f>
        <v/>
      </c>
      <c r="S142" s="7">
        <f>IF(Q142="","",BETA.INV(0.975,O142,P142))</f>
        <v/>
      </c>
      <c r="T142" s="5">
        <f>IF(OR(O142="",P142=""),"",O142+P142-M142-N142)</f>
        <v/>
      </c>
      <c r="U142" s="5">
        <f>IF(T142="","先填完整分组",IF(T142&lt;30,"样本太少：仅描述",IF(T142&lt;100,"只作试点候选","可进入独立验证")))</f>
        <v/>
      </c>
      <c r="V142" s="3" t="n"/>
      <c r="W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5">
        <f>IF(COUNTA(A143:G143)&lt;7,"",COUNTIFS('原子事实记录'!$C$2:$C$2001,$D143,'原子事实记录'!$E$2:$E$2001,$A143,'原子事实记录'!$F$2:$F$2001,$B143,'原子事实记录'!$G$2:$G$2001,$C143,'原子事实记录'!$I$2:$I$2001,$E143,'原子事实记录'!$J$2:$J$2001,$F143,'原子事实记录'!$Q$2:$Q$2001,"是",'原子事实记录'!$R$2:$R$2001,"TP"))</f>
        <v/>
      </c>
      <c r="I143" s="5">
        <f>IF(COUNTA(A143:G143)&lt;7,"",COUNTIFS('原子事实记录'!$C$2:$C$2001,$D143,'原子事实记录'!$E$2:$E$2001,$A143,'原子事实记录'!$F$2:$F$2001,$B143,'原子事实记录'!$G$2:$G$2001,$C143,'原子事实记录'!$I$2:$I$2001,$E143,'原子事实记录'!$J$2:$J$2001,$F143,'原子事实记录'!$Q$2:$Q$2001,"是",'原子事实记录'!$R$2:$R$2001,"FP"))</f>
        <v/>
      </c>
      <c r="J143" s="5">
        <f>IF(COUNTA(A143:G143)&lt;7,"",COUNTIFS('原子事实记录'!$C$2:$C$2001,$D143,'原子事实记录'!$E$2:$E$2001,$A143,'原子事实记录'!$F$2:$F$2001,$B143,'原子事实记录'!$G$2:$G$2001,$C143,'原子事实记录'!$I$2:$I$2001,$E143,'原子事实记录'!$J$2:$J$2001,$F143,'原子事实记录'!$Q$2:$Q$2001,"是",'原子事实记录'!$R$2:$R$2001,"FN"))</f>
        <v/>
      </c>
      <c r="K143" s="5">
        <f>IF(COUNTA(A143:G143)&lt;7,"",COUNTIFS('原子事实记录'!$C$2:$C$2001,$D143,'原子事实记录'!$E$2:$E$2001,$A143,'原子事实记录'!$F$2:$F$2001,$B143,'原子事实记录'!$G$2:$G$2001,$C143,'原子事实记录'!$I$2:$I$2001,$E143,'原子事实记录'!$J$2:$J$2001,$F143,'原子事实记录'!$Q$2:$Q$2001,"是",'原子事实记录'!$R$2:$R$2001,"TN"))</f>
        <v/>
      </c>
      <c r="L143" s="5">
        <f>IF(COUNTA(A143:G143)&lt;7,"",COUNTIFS('原子事实记录'!$C$2:$C$2001,$D143,'原子事实记录'!$E$2:$E$2001,$A143,'原子事实记录'!$F$2:$F$2001,$B143,'原子事实记录'!$G$2:$G$2001,$C143,'原子事实记录'!$I$2:$I$2001,$E143,'原子事实记录'!$J$2:$J$2001,$F143,'原子事实记录'!$Q$2:$Q$2001,"是",'原子事实记录'!$R$2:$R$2001,"未知"))</f>
        <v/>
      </c>
      <c r="M143" s="3" t="n"/>
      <c r="N143" s="3" t="n"/>
      <c r="O143" s="5">
        <f>IF(OR(G143="",M143="",N143=""),"",M143+IF(G143="肯定主张正确率",H143,IF(G143="否定主张正确率",K143,IF(G143="灵敏度",H143,K143))))</f>
        <v/>
      </c>
      <c r="P143" s="5">
        <f>IF(OR(G143="",M143="",N143=""),"",N143+IF(G143="肯定主张正确率",I143,IF(G143="否定主张正确率",J143,IF(G143="灵敏度",J143,I143))))</f>
        <v/>
      </c>
      <c r="Q143" s="7">
        <f>IF(OR(O143="",P143=""),"",O143/(O143+P143))</f>
        <v/>
      </c>
      <c r="R143" s="7">
        <f>IF(Q143="","",BETA.INV(0.025,O143,P143))</f>
        <v/>
      </c>
      <c r="S143" s="7">
        <f>IF(Q143="","",BETA.INV(0.975,O143,P143))</f>
        <v/>
      </c>
      <c r="T143" s="5">
        <f>IF(OR(O143="",P143=""),"",O143+P143-M143-N143)</f>
        <v/>
      </c>
      <c r="U143" s="5">
        <f>IF(T143="","先填完整分组",IF(T143&lt;30,"样本太少：仅描述",IF(T143&lt;100,"只作试点候选","可进入独立验证")))</f>
        <v/>
      </c>
      <c r="V143" s="3" t="n"/>
      <c r="W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5">
        <f>IF(COUNTA(A144:G144)&lt;7,"",COUNTIFS('原子事实记录'!$C$2:$C$2001,$D144,'原子事实记录'!$E$2:$E$2001,$A144,'原子事实记录'!$F$2:$F$2001,$B144,'原子事实记录'!$G$2:$G$2001,$C144,'原子事实记录'!$I$2:$I$2001,$E144,'原子事实记录'!$J$2:$J$2001,$F144,'原子事实记录'!$Q$2:$Q$2001,"是",'原子事实记录'!$R$2:$R$2001,"TP"))</f>
        <v/>
      </c>
      <c r="I144" s="5">
        <f>IF(COUNTA(A144:G144)&lt;7,"",COUNTIFS('原子事实记录'!$C$2:$C$2001,$D144,'原子事实记录'!$E$2:$E$2001,$A144,'原子事实记录'!$F$2:$F$2001,$B144,'原子事实记录'!$G$2:$G$2001,$C144,'原子事实记录'!$I$2:$I$2001,$E144,'原子事实记录'!$J$2:$J$2001,$F144,'原子事实记录'!$Q$2:$Q$2001,"是",'原子事实记录'!$R$2:$R$2001,"FP"))</f>
        <v/>
      </c>
      <c r="J144" s="5">
        <f>IF(COUNTA(A144:G144)&lt;7,"",COUNTIFS('原子事实记录'!$C$2:$C$2001,$D144,'原子事实记录'!$E$2:$E$2001,$A144,'原子事实记录'!$F$2:$F$2001,$B144,'原子事实记录'!$G$2:$G$2001,$C144,'原子事实记录'!$I$2:$I$2001,$E144,'原子事实记录'!$J$2:$J$2001,$F144,'原子事实记录'!$Q$2:$Q$2001,"是",'原子事实记录'!$R$2:$R$2001,"FN"))</f>
        <v/>
      </c>
      <c r="K144" s="5">
        <f>IF(COUNTA(A144:G144)&lt;7,"",COUNTIFS('原子事实记录'!$C$2:$C$2001,$D144,'原子事实记录'!$E$2:$E$2001,$A144,'原子事实记录'!$F$2:$F$2001,$B144,'原子事实记录'!$G$2:$G$2001,$C144,'原子事实记录'!$I$2:$I$2001,$E144,'原子事实记录'!$J$2:$J$2001,$F144,'原子事实记录'!$Q$2:$Q$2001,"是",'原子事实记录'!$R$2:$R$2001,"TN"))</f>
        <v/>
      </c>
      <c r="L144" s="5">
        <f>IF(COUNTA(A144:G144)&lt;7,"",COUNTIFS('原子事实记录'!$C$2:$C$2001,$D144,'原子事实记录'!$E$2:$E$2001,$A144,'原子事实记录'!$F$2:$F$2001,$B144,'原子事实记录'!$G$2:$G$2001,$C144,'原子事实记录'!$I$2:$I$2001,$E144,'原子事实记录'!$J$2:$J$2001,$F144,'原子事实记录'!$Q$2:$Q$2001,"是",'原子事实记录'!$R$2:$R$2001,"未知"))</f>
        <v/>
      </c>
      <c r="M144" s="3" t="n"/>
      <c r="N144" s="3" t="n"/>
      <c r="O144" s="5">
        <f>IF(OR(G144="",M144="",N144=""),"",M144+IF(G144="肯定主张正确率",H144,IF(G144="否定主张正确率",K144,IF(G144="灵敏度",H144,K144))))</f>
        <v/>
      </c>
      <c r="P144" s="5">
        <f>IF(OR(G144="",M144="",N144=""),"",N144+IF(G144="肯定主张正确率",I144,IF(G144="否定主张正确率",J144,IF(G144="灵敏度",J144,I144))))</f>
        <v/>
      </c>
      <c r="Q144" s="7">
        <f>IF(OR(O144="",P144=""),"",O144/(O144+P144))</f>
        <v/>
      </c>
      <c r="R144" s="7">
        <f>IF(Q144="","",BETA.INV(0.025,O144,P144))</f>
        <v/>
      </c>
      <c r="S144" s="7">
        <f>IF(Q144="","",BETA.INV(0.975,O144,P144))</f>
        <v/>
      </c>
      <c r="T144" s="5">
        <f>IF(OR(O144="",P144=""),"",O144+P144-M144-N144)</f>
        <v/>
      </c>
      <c r="U144" s="5">
        <f>IF(T144="","先填完整分组",IF(T144&lt;30,"样本太少：仅描述",IF(T144&lt;100,"只作试点候选","可进入独立验证")))</f>
        <v/>
      </c>
      <c r="V144" s="3" t="n"/>
      <c r="W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5">
        <f>IF(COUNTA(A145:G145)&lt;7,"",COUNTIFS('原子事实记录'!$C$2:$C$2001,$D145,'原子事实记录'!$E$2:$E$2001,$A145,'原子事实记录'!$F$2:$F$2001,$B145,'原子事实记录'!$G$2:$G$2001,$C145,'原子事实记录'!$I$2:$I$2001,$E145,'原子事实记录'!$J$2:$J$2001,$F145,'原子事实记录'!$Q$2:$Q$2001,"是",'原子事实记录'!$R$2:$R$2001,"TP"))</f>
        <v/>
      </c>
      <c r="I145" s="5">
        <f>IF(COUNTA(A145:G145)&lt;7,"",COUNTIFS('原子事实记录'!$C$2:$C$2001,$D145,'原子事实记录'!$E$2:$E$2001,$A145,'原子事实记录'!$F$2:$F$2001,$B145,'原子事实记录'!$G$2:$G$2001,$C145,'原子事实记录'!$I$2:$I$2001,$E145,'原子事实记录'!$J$2:$J$2001,$F145,'原子事实记录'!$Q$2:$Q$2001,"是",'原子事实记录'!$R$2:$R$2001,"FP"))</f>
        <v/>
      </c>
      <c r="J145" s="5">
        <f>IF(COUNTA(A145:G145)&lt;7,"",COUNTIFS('原子事实记录'!$C$2:$C$2001,$D145,'原子事实记录'!$E$2:$E$2001,$A145,'原子事实记录'!$F$2:$F$2001,$B145,'原子事实记录'!$G$2:$G$2001,$C145,'原子事实记录'!$I$2:$I$2001,$E145,'原子事实记录'!$J$2:$J$2001,$F145,'原子事实记录'!$Q$2:$Q$2001,"是",'原子事实记录'!$R$2:$R$2001,"FN"))</f>
        <v/>
      </c>
      <c r="K145" s="5">
        <f>IF(COUNTA(A145:G145)&lt;7,"",COUNTIFS('原子事实记录'!$C$2:$C$2001,$D145,'原子事实记录'!$E$2:$E$2001,$A145,'原子事实记录'!$F$2:$F$2001,$B145,'原子事实记录'!$G$2:$G$2001,$C145,'原子事实记录'!$I$2:$I$2001,$E145,'原子事实记录'!$J$2:$J$2001,$F145,'原子事实记录'!$Q$2:$Q$2001,"是",'原子事实记录'!$R$2:$R$2001,"TN"))</f>
        <v/>
      </c>
      <c r="L145" s="5">
        <f>IF(COUNTA(A145:G145)&lt;7,"",COUNTIFS('原子事实记录'!$C$2:$C$2001,$D145,'原子事实记录'!$E$2:$E$2001,$A145,'原子事实记录'!$F$2:$F$2001,$B145,'原子事实记录'!$G$2:$G$2001,$C145,'原子事实记录'!$I$2:$I$2001,$E145,'原子事实记录'!$J$2:$J$2001,$F145,'原子事实记录'!$Q$2:$Q$2001,"是",'原子事实记录'!$R$2:$R$2001,"未知"))</f>
        <v/>
      </c>
      <c r="M145" s="3" t="n"/>
      <c r="N145" s="3" t="n"/>
      <c r="O145" s="5">
        <f>IF(OR(G145="",M145="",N145=""),"",M145+IF(G145="肯定主张正确率",H145,IF(G145="否定主张正确率",K145,IF(G145="灵敏度",H145,K145))))</f>
        <v/>
      </c>
      <c r="P145" s="5">
        <f>IF(OR(G145="",M145="",N145=""),"",N145+IF(G145="肯定主张正确率",I145,IF(G145="否定主张正确率",J145,IF(G145="灵敏度",J145,I145))))</f>
        <v/>
      </c>
      <c r="Q145" s="7">
        <f>IF(OR(O145="",P145=""),"",O145/(O145+P145))</f>
        <v/>
      </c>
      <c r="R145" s="7">
        <f>IF(Q145="","",BETA.INV(0.025,O145,P145))</f>
        <v/>
      </c>
      <c r="S145" s="7">
        <f>IF(Q145="","",BETA.INV(0.975,O145,P145))</f>
        <v/>
      </c>
      <c r="T145" s="5">
        <f>IF(OR(O145="",P145=""),"",O145+P145-M145-N145)</f>
        <v/>
      </c>
      <c r="U145" s="5">
        <f>IF(T145="","先填完整分组",IF(T145&lt;30,"样本太少：仅描述",IF(T145&lt;100,"只作试点候选","可进入独立验证")))</f>
        <v/>
      </c>
      <c r="V145" s="3" t="n"/>
      <c r="W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5">
        <f>IF(COUNTA(A146:G146)&lt;7,"",COUNTIFS('原子事实记录'!$C$2:$C$2001,$D146,'原子事实记录'!$E$2:$E$2001,$A146,'原子事实记录'!$F$2:$F$2001,$B146,'原子事实记录'!$G$2:$G$2001,$C146,'原子事实记录'!$I$2:$I$2001,$E146,'原子事实记录'!$J$2:$J$2001,$F146,'原子事实记录'!$Q$2:$Q$2001,"是",'原子事实记录'!$R$2:$R$2001,"TP"))</f>
        <v/>
      </c>
      <c r="I146" s="5">
        <f>IF(COUNTA(A146:G146)&lt;7,"",COUNTIFS('原子事实记录'!$C$2:$C$2001,$D146,'原子事实记录'!$E$2:$E$2001,$A146,'原子事实记录'!$F$2:$F$2001,$B146,'原子事实记录'!$G$2:$G$2001,$C146,'原子事实记录'!$I$2:$I$2001,$E146,'原子事实记录'!$J$2:$J$2001,$F146,'原子事实记录'!$Q$2:$Q$2001,"是",'原子事实记录'!$R$2:$R$2001,"FP"))</f>
        <v/>
      </c>
      <c r="J146" s="5">
        <f>IF(COUNTA(A146:G146)&lt;7,"",COUNTIFS('原子事实记录'!$C$2:$C$2001,$D146,'原子事实记录'!$E$2:$E$2001,$A146,'原子事实记录'!$F$2:$F$2001,$B146,'原子事实记录'!$G$2:$G$2001,$C146,'原子事实记录'!$I$2:$I$2001,$E146,'原子事实记录'!$J$2:$J$2001,$F146,'原子事实记录'!$Q$2:$Q$2001,"是",'原子事实记录'!$R$2:$R$2001,"FN"))</f>
        <v/>
      </c>
      <c r="K146" s="5">
        <f>IF(COUNTA(A146:G146)&lt;7,"",COUNTIFS('原子事实记录'!$C$2:$C$2001,$D146,'原子事实记录'!$E$2:$E$2001,$A146,'原子事实记录'!$F$2:$F$2001,$B146,'原子事实记录'!$G$2:$G$2001,$C146,'原子事实记录'!$I$2:$I$2001,$E146,'原子事实记录'!$J$2:$J$2001,$F146,'原子事实记录'!$Q$2:$Q$2001,"是",'原子事实记录'!$R$2:$R$2001,"TN"))</f>
        <v/>
      </c>
      <c r="L146" s="5">
        <f>IF(COUNTA(A146:G146)&lt;7,"",COUNTIFS('原子事实记录'!$C$2:$C$2001,$D146,'原子事实记录'!$E$2:$E$2001,$A146,'原子事实记录'!$F$2:$F$2001,$B146,'原子事实记录'!$G$2:$G$2001,$C146,'原子事实记录'!$I$2:$I$2001,$E146,'原子事实记录'!$J$2:$J$2001,$F146,'原子事实记录'!$Q$2:$Q$2001,"是",'原子事实记录'!$R$2:$R$2001,"未知"))</f>
        <v/>
      </c>
      <c r="M146" s="3" t="n"/>
      <c r="N146" s="3" t="n"/>
      <c r="O146" s="5">
        <f>IF(OR(G146="",M146="",N146=""),"",M146+IF(G146="肯定主张正确率",H146,IF(G146="否定主张正确率",K146,IF(G146="灵敏度",H146,K146))))</f>
        <v/>
      </c>
      <c r="P146" s="5">
        <f>IF(OR(G146="",M146="",N146=""),"",N146+IF(G146="肯定主张正确率",I146,IF(G146="否定主张正确率",J146,IF(G146="灵敏度",J146,I146))))</f>
        <v/>
      </c>
      <c r="Q146" s="7">
        <f>IF(OR(O146="",P146=""),"",O146/(O146+P146))</f>
        <v/>
      </c>
      <c r="R146" s="7">
        <f>IF(Q146="","",BETA.INV(0.025,O146,P146))</f>
        <v/>
      </c>
      <c r="S146" s="7">
        <f>IF(Q146="","",BETA.INV(0.975,O146,P146))</f>
        <v/>
      </c>
      <c r="T146" s="5">
        <f>IF(OR(O146="",P146=""),"",O146+P146-M146-N146)</f>
        <v/>
      </c>
      <c r="U146" s="5">
        <f>IF(T146="","先填完整分组",IF(T146&lt;30,"样本太少：仅描述",IF(T146&lt;100,"只作试点候选","可进入独立验证")))</f>
        <v/>
      </c>
      <c r="V146" s="3" t="n"/>
      <c r="W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5">
        <f>IF(COUNTA(A147:G147)&lt;7,"",COUNTIFS('原子事实记录'!$C$2:$C$2001,$D147,'原子事实记录'!$E$2:$E$2001,$A147,'原子事实记录'!$F$2:$F$2001,$B147,'原子事实记录'!$G$2:$G$2001,$C147,'原子事实记录'!$I$2:$I$2001,$E147,'原子事实记录'!$J$2:$J$2001,$F147,'原子事实记录'!$Q$2:$Q$2001,"是",'原子事实记录'!$R$2:$R$2001,"TP"))</f>
        <v/>
      </c>
      <c r="I147" s="5">
        <f>IF(COUNTA(A147:G147)&lt;7,"",COUNTIFS('原子事实记录'!$C$2:$C$2001,$D147,'原子事实记录'!$E$2:$E$2001,$A147,'原子事实记录'!$F$2:$F$2001,$B147,'原子事实记录'!$G$2:$G$2001,$C147,'原子事实记录'!$I$2:$I$2001,$E147,'原子事实记录'!$J$2:$J$2001,$F147,'原子事实记录'!$Q$2:$Q$2001,"是",'原子事实记录'!$R$2:$R$2001,"FP"))</f>
        <v/>
      </c>
      <c r="J147" s="5">
        <f>IF(COUNTA(A147:G147)&lt;7,"",COUNTIFS('原子事实记录'!$C$2:$C$2001,$D147,'原子事实记录'!$E$2:$E$2001,$A147,'原子事实记录'!$F$2:$F$2001,$B147,'原子事实记录'!$G$2:$G$2001,$C147,'原子事实记录'!$I$2:$I$2001,$E147,'原子事实记录'!$J$2:$J$2001,$F147,'原子事实记录'!$Q$2:$Q$2001,"是",'原子事实记录'!$R$2:$R$2001,"FN"))</f>
        <v/>
      </c>
      <c r="K147" s="5">
        <f>IF(COUNTA(A147:G147)&lt;7,"",COUNTIFS('原子事实记录'!$C$2:$C$2001,$D147,'原子事实记录'!$E$2:$E$2001,$A147,'原子事实记录'!$F$2:$F$2001,$B147,'原子事实记录'!$G$2:$G$2001,$C147,'原子事实记录'!$I$2:$I$2001,$E147,'原子事实记录'!$J$2:$J$2001,$F147,'原子事实记录'!$Q$2:$Q$2001,"是",'原子事实记录'!$R$2:$R$2001,"TN"))</f>
        <v/>
      </c>
      <c r="L147" s="5">
        <f>IF(COUNTA(A147:G147)&lt;7,"",COUNTIFS('原子事实记录'!$C$2:$C$2001,$D147,'原子事实记录'!$E$2:$E$2001,$A147,'原子事实记录'!$F$2:$F$2001,$B147,'原子事实记录'!$G$2:$G$2001,$C147,'原子事实记录'!$I$2:$I$2001,$E147,'原子事实记录'!$J$2:$J$2001,$F147,'原子事实记录'!$Q$2:$Q$2001,"是",'原子事实记录'!$R$2:$R$2001,"未知"))</f>
        <v/>
      </c>
      <c r="M147" s="3" t="n"/>
      <c r="N147" s="3" t="n"/>
      <c r="O147" s="5">
        <f>IF(OR(G147="",M147="",N147=""),"",M147+IF(G147="肯定主张正确率",H147,IF(G147="否定主张正确率",K147,IF(G147="灵敏度",H147,K147))))</f>
        <v/>
      </c>
      <c r="P147" s="5">
        <f>IF(OR(G147="",M147="",N147=""),"",N147+IF(G147="肯定主张正确率",I147,IF(G147="否定主张正确率",J147,IF(G147="灵敏度",J147,I147))))</f>
        <v/>
      </c>
      <c r="Q147" s="7">
        <f>IF(OR(O147="",P147=""),"",O147/(O147+P147))</f>
        <v/>
      </c>
      <c r="R147" s="7">
        <f>IF(Q147="","",BETA.INV(0.025,O147,P147))</f>
        <v/>
      </c>
      <c r="S147" s="7">
        <f>IF(Q147="","",BETA.INV(0.975,O147,P147))</f>
        <v/>
      </c>
      <c r="T147" s="5">
        <f>IF(OR(O147="",P147=""),"",O147+P147-M147-N147)</f>
        <v/>
      </c>
      <c r="U147" s="5">
        <f>IF(T147="","先填完整分组",IF(T147&lt;30,"样本太少：仅描述",IF(T147&lt;100,"只作试点候选","可进入独立验证")))</f>
        <v/>
      </c>
      <c r="V147" s="3" t="n"/>
      <c r="W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5">
        <f>IF(COUNTA(A148:G148)&lt;7,"",COUNTIFS('原子事实记录'!$C$2:$C$2001,$D148,'原子事实记录'!$E$2:$E$2001,$A148,'原子事实记录'!$F$2:$F$2001,$B148,'原子事实记录'!$G$2:$G$2001,$C148,'原子事实记录'!$I$2:$I$2001,$E148,'原子事实记录'!$J$2:$J$2001,$F148,'原子事实记录'!$Q$2:$Q$2001,"是",'原子事实记录'!$R$2:$R$2001,"TP"))</f>
        <v/>
      </c>
      <c r="I148" s="5">
        <f>IF(COUNTA(A148:G148)&lt;7,"",COUNTIFS('原子事实记录'!$C$2:$C$2001,$D148,'原子事实记录'!$E$2:$E$2001,$A148,'原子事实记录'!$F$2:$F$2001,$B148,'原子事实记录'!$G$2:$G$2001,$C148,'原子事实记录'!$I$2:$I$2001,$E148,'原子事实记录'!$J$2:$J$2001,$F148,'原子事实记录'!$Q$2:$Q$2001,"是",'原子事实记录'!$R$2:$R$2001,"FP"))</f>
        <v/>
      </c>
      <c r="J148" s="5">
        <f>IF(COUNTA(A148:G148)&lt;7,"",COUNTIFS('原子事实记录'!$C$2:$C$2001,$D148,'原子事实记录'!$E$2:$E$2001,$A148,'原子事实记录'!$F$2:$F$2001,$B148,'原子事实记录'!$G$2:$G$2001,$C148,'原子事实记录'!$I$2:$I$2001,$E148,'原子事实记录'!$J$2:$J$2001,$F148,'原子事实记录'!$Q$2:$Q$2001,"是",'原子事实记录'!$R$2:$R$2001,"FN"))</f>
        <v/>
      </c>
      <c r="K148" s="5">
        <f>IF(COUNTA(A148:G148)&lt;7,"",COUNTIFS('原子事实记录'!$C$2:$C$2001,$D148,'原子事实记录'!$E$2:$E$2001,$A148,'原子事实记录'!$F$2:$F$2001,$B148,'原子事实记录'!$G$2:$G$2001,$C148,'原子事实记录'!$I$2:$I$2001,$E148,'原子事实记录'!$J$2:$J$2001,$F148,'原子事实记录'!$Q$2:$Q$2001,"是",'原子事实记录'!$R$2:$R$2001,"TN"))</f>
        <v/>
      </c>
      <c r="L148" s="5">
        <f>IF(COUNTA(A148:G148)&lt;7,"",COUNTIFS('原子事实记录'!$C$2:$C$2001,$D148,'原子事实记录'!$E$2:$E$2001,$A148,'原子事实记录'!$F$2:$F$2001,$B148,'原子事实记录'!$G$2:$G$2001,$C148,'原子事实记录'!$I$2:$I$2001,$E148,'原子事实记录'!$J$2:$J$2001,$F148,'原子事实记录'!$Q$2:$Q$2001,"是",'原子事实记录'!$R$2:$R$2001,"未知"))</f>
        <v/>
      </c>
      <c r="M148" s="3" t="n"/>
      <c r="N148" s="3" t="n"/>
      <c r="O148" s="5">
        <f>IF(OR(G148="",M148="",N148=""),"",M148+IF(G148="肯定主张正确率",H148,IF(G148="否定主张正确率",K148,IF(G148="灵敏度",H148,K148))))</f>
        <v/>
      </c>
      <c r="P148" s="5">
        <f>IF(OR(G148="",M148="",N148=""),"",N148+IF(G148="肯定主张正确率",I148,IF(G148="否定主张正确率",J148,IF(G148="灵敏度",J148,I148))))</f>
        <v/>
      </c>
      <c r="Q148" s="7">
        <f>IF(OR(O148="",P148=""),"",O148/(O148+P148))</f>
        <v/>
      </c>
      <c r="R148" s="7">
        <f>IF(Q148="","",BETA.INV(0.025,O148,P148))</f>
        <v/>
      </c>
      <c r="S148" s="7">
        <f>IF(Q148="","",BETA.INV(0.975,O148,P148))</f>
        <v/>
      </c>
      <c r="T148" s="5">
        <f>IF(OR(O148="",P148=""),"",O148+P148-M148-N148)</f>
        <v/>
      </c>
      <c r="U148" s="5">
        <f>IF(T148="","先填完整分组",IF(T148&lt;30,"样本太少：仅描述",IF(T148&lt;100,"只作试点候选","可进入独立验证")))</f>
        <v/>
      </c>
      <c r="V148" s="3" t="n"/>
      <c r="W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5">
        <f>IF(COUNTA(A149:G149)&lt;7,"",COUNTIFS('原子事实记录'!$C$2:$C$2001,$D149,'原子事实记录'!$E$2:$E$2001,$A149,'原子事实记录'!$F$2:$F$2001,$B149,'原子事实记录'!$G$2:$G$2001,$C149,'原子事实记录'!$I$2:$I$2001,$E149,'原子事实记录'!$J$2:$J$2001,$F149,'原子事实记录'!$Q$2:$Q$2001,"是",'原子事实记录'!$R$2:$R$2001,"TP"))</f>
        <v/>
      </c>
      <c r="I149" s="5">
        <f>IF(COUNTA(A149:G149)&lt;7,"",COUNTIFS('原子事实记录'!$C$2:$C$2001,$D149,'原子事实记录'!$E$2:$E$2001,$A149,'原子事实记录'!$F$2:$F$2001,$B149,'原子事实记录'!$G$2:$G$2001,$C149,'原子事实记录'!$I$2:$I$2001,$E149,'原子事实记录'!$J$2:$J$2001,$F149,'原子事实记录'!$Q$2:$Q$2001,"是",'原子事实记录'!$R$2:$R$2001,"FP"))</f>
        <v/>
      </c>
      <c r="J149" s="5">
        <f>IF(COUNTA(A149:G149)&lt;7,"",COUNTIFS('原子事实记录'!$C$2:$C$2001,$D149,'原子事实记录'!$E$2:$E$2001,$A149,'原子事实记录'!$F$2:$F$2001,$B149,'原子事实记录'!$G$2:$G$2001,$C149,'原子事实记录'!$I$2:$I$2001,$E149,'原子事实记录'!$J$2:$J$2001,$F149,'原子事实记录'!$Q$2:$Q$2001,"是",'原子事实记录'!$R$2:$R$2001,"FN"))</f>
        <v/>
      </c>
      <c r="K149" s="5">
        <f>IF(COUNTA(A149:G149)&lt;7,"",COUNTIFS('原子事实记录'!$C$2:$C$2001,$D149,'原子事实记录'!$E$2:$E$2001,$A149,'原子事实记录'!$F$2:$F$2001,$B149,'原子事实记录'!$G$2:$G$2001,$C149,'原子事实记录'!$I$2:$I$2001,$E149,'原子事实记录'!$J$2:$J$2001,$F149,'原子事实记录'!$Q$2:$Q$2001,"是",'原子事实记录'!$R$2:$R$2001,"TN"))</f>
        <v/>
      </c>
      <c r="L149" s="5">
        <f>IF(COUNTA(A149:G149)&lt;7,"",COUNTIFS('原子事实记录'!$C$2:$C$2001,$D149,'原子事实记录'!$E$2:$E$2001,$A149,'原子事实记录'!$F$2:$F$2001,$B149,'原子事实记录'!$G$2:$G$2001,$C149,'原子事实记录'!$I$2:$I$2001,$E149,'原子事实记录'!$J$2:$J$2001,$F149,'原子事实记录'!$Q$2:$Q$2001,"是",'原子事实记录'!$R$2:$R$2001,"未知"))</f>
        <v/>
      </c>
      <c r="M149" s="3" t="n"/>
      <c r="N149" s="3" t="n"/>
      <c r="O149" s="5">
        <f>IF(OR(G149="",M149="",N149=""),"",M149+IF(G149="肯定主张正确率",H149,IF(G149="否定主张正确率",K149,IF(G149="灵敏度",H149,K149))))</f>
        <v/>
      </c>
      <c r="P149" s="5">
        <f>IF(OR(G149="",M149="",N149=""),"",N149+IF(G149="肯定主张正确率",I149,IF(G149="否定主张正确率",J149,IF(G149="灵敏度",J149,I149))))</f>
        <v/>
      </c>
      <c r="Q149" s="7">
        <f>IF(OR(O149="",P149=""),"",O149/(O149+P149))</f>
        <v/>
      </c>
      <c r="R149" s="7">
        <f>IF(Q149="","",BETA.INV(0.025,O149,P149))</f>
        <v/>
      </c>
      <c r="S149" s="7">
        <f>IF(Q149="","",BETA.INV(0.975,O149,P149))</f>
        <v/>
      </c>
      <c r="T149" s="5">
        <f>IF(OR(O149="",P149=""),"",O149+P149-M149-N149)</f>
        <v/>
      </c>
      <c r="U149" s="5">
        <f>IF(T149="","先填完整分组",IF(T149&lt;30,"样本太少：仅描述",IF(T149&lt;100,"只作试点候选","可进入独立验证")))</f>
        <v/>
      </c>
      <c r="V149" s="3" t="n"/>
      <c r="W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5">
        <f>IF(COUNTA(A150:G150)&lt;7,"",COUNTIFS('原子事实记录'!$C$2:$C$2001,$D150,'原子事实记录'!$E$2:$E$2001,$A150,'原子事实记录'!$F$2:$F$2001,$B150,'原子事实记录'!$G$2:$G$2001,$C150,'原子事实记录'!$I$2:$I$2001,$E150,'原子事实记录'!$J$2:$J$2001,$F150,'原子事实记录'!$Q$2:$Q$2001,"是",'原子事实记录'!$R$2:$R$2001,"TP"))</f>
        <v/>
      </c>
      <c r="I150" s="5">
        <f>IF(COUNTA(A150:G150)&lt;7,"",COUNTIFS('原子事实记录'!$C$2:$C$2001,$D150,'原子事实记录'!$E$2:$E$2001,$A150,'原子事实记录'!$F$2:$F$2001,$B150,'原子事实记录'!$G$2:$G$2001,$C150,'原子事实记录'!$I$2:$I$2001,$E150,'原子事实记录'!$J$2:$J$2001,$F150,'原子事实记录'!$Q$2:$Q$2001,"是",'原子事实记录'!$R$2:$R$2001,"FP"))</f>
        <v/>
      </c>
      <c r="J150" s="5">
        <f>IF(COUNTA(A150:G150)&lt;7,"",COUNTIFS('原子事实记录'!$C$2:$C$2001,$D150,'原子事实记录'!$E$2:$E$2001,$A150,'原子事实记录'!$F$2:$F$2001,$B150,'原子事实记录'!$G$2:$G$2001,$C150,'原子事实记录'!$I$2:$I$2001,$E150,'原子事实记录'!$J$2:$J$2001,$F150,'原子事实记录'!$Q$2:$Q$2001,"是",'原子事实记录'!$R$2:$R$2001,"FN"))</f>
        <v/>
      </c>
      <c r="K150" s="5">
        <f>IF(COUNTA(A150:G150)&lt;7,"",COUNTIFS('原子事实记录'!$C$2:$C$2001,$D150,'原子事实记录'!$E$2:$E$2001,$A150,'原子事实记录'!$F$2:$F$2001,$B150,'原子事实记录'!$G$2:$G$2001,$C150,'原子事实记录'!$I$2:$I$2001,$E150,'原子事实记录'!$J$2:$J$2001,$F150,'原子事实记录'!$Q$2:$Q$2001,"是",'原子事实记录'!$R$2:$R$2001,"TN"))</f>
        <v/>
      </c>
      <c r="L150" s="5">
        <f>IF(COUNTA(A150:G150)&lt;7,"",COUNTIFS('原子事实记录'!$C$2:$C$2001,$D150,'原子事实记录'!$E$2:$E$2001,$A150,'原子事实记录'!$F$2:$F$2001,$B150,'原子事实记录'!$G$2:$G$2001,$C150,'原子事实记录'!$I$2:$I$2001,$E150,'原子事实记录'!$J$2:$J$2001,$F150,'原子事实记录'!$Q$2:$Q$2001,"是",'原子事实记录'!$R$2:$R$2001,"未知"))</f>
        <v/>
      </c>
      <c r="M150" s="3" t="n"/>
      <c r="N150" s="3" t="n"/>
      <c r="O150" s="5">
        <f>IF(OR(G150="",M150="",N150=""),"",M150+IF(G150="肯定主张正确率",H150,IF(G150="否定主张正确率",K150,IF(G150="灵敏度",H150,K150))))</f>
        <v/>
      </c>
      <c r="P150" s="5">
        <f>IF(OR(G150="",M150="",N150=""),"",N150+IF(G150="肯定主张正确率",I150,IF(G150="否定主张正确率",J150,IF(G150="灵敏度",J150,I150))))</f>
        <v/>
      </c>
      <c r="Q150" s="7">
        <f>IF(OR(O150="",P150=""),"",O150/(O150+P150))</f>
        <v/>
      </c>
      <c r="R150" s="7">
        <f>IF(Q150="","",BETA.INV(0.025,O150,P150))</f>
        <v/>
      </c>
      <c r="S150" s="7">
        <f>IF(Q150="","",BETA.INV(0.975,O150,P150))</f>
        <v/>
      </c>
      <c r="T150" s="5">
        <f>IF(OR(O150="",P150=""),"",O150+P150-M150-N150)</f>
        <v/>
      </c>
      <c r="U150" s="5">
        <f>IF(T150="","先填完整分组",IF(T150&lt;30,"样本太少：仅描述",IF(T150&lt;100,"只作试点候选","可进入独立验证")))</f>
        <v/>
      </c>
      <c r="V150" s="3" t="n"/>
      <c r="W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5">
        <f>IF(COUNTA(A151:G151)&lt;7,"",COUNTIFS('原子事实记录'!$C$2:$C$2001,$D151,'原子事实记录'!$E$2:$E$2001,$A151,'原子事实记录'!$F$2:$F$2001,$B151,'原子事实记录'!$G$2:$G$2001,$C151,'原子事实记录'!$I$2:$I$2001,$E151,'原子事实记录'!$J$2:$J$2001,$F151,'原子事实记录'!$Q$2:$Q$2001,"是",'原子事实记录'!$R$2:$R$2001,"TP"))</f>
        <v/>
      </c>
      <c r="I151" s="5">
        <f>IF(COUNTA(A151:G151)&lt;7,"",COUNTIFS('原子事实记录'!$C$2:$C$2001,$D151,'原子事实记录'!$E$2:$E$2001,$A151,'原子事实记录'!$F$2:$F$2001,$B151,'原子事实记录'!$G$2:$G$2001,$C151,'原子事实记录'!$I$2:$I$2001,$E151,'原子事实记录'!$J$2:$J$2001,$F151,'原子事实记录'!$Q$2:$Q$2001,"是",'原子事实记录'!$R$2:$R$2001,"FP"))</f>
        <v/>
      </c>
      <c r="J151" s="5">
        <f>IF(COUNTA(A151:G151)&lt;7,"",COUNTIFS('原子事实记录'!$C$2:$C$2001,$D151,'原子事实记录'!$E$2:$E$2001,$A151,'原子事实记录'!$F$2:$F$2001,$B151,'原子事实记录'!$G$2:$G$2001,$C151,'原子事实记录'!$I$2:$I$2001,$E151,'原子事实记录'!$J$2:$J$2001,$F151,'原子事实记录'!$Q$2:$Q$2001,"是",'原子事实记录'!$R$2:$R$2001,"FN"))</f>
        <v/>
      </c>
      <c r="K151" s="5">
        <f>IF(COUNTA(A151:G151)&lt;7,"",COUNTIFS('原子事实记录'!$C$2:$C$2001,$D151,'原子事实记录'!$E$2:$E$2001,$A151,'原子事实记录'!$F$2:$F$2001,$B151,'原子事实记录'!$G$2:$G$2001,$C151,'原子事实记录'!$I$2:$I$2001,$E151,'原子事实记录'!$J$2:$J$2001,$F151,'原子事实记录'!$Q$2:$Q$2001,"是",'原子事实记录'!$R$2:$R$2001,"TN"))</f>
        <v/>
      </c>
      <c r="L151" s="5">
        <f>IF(COUNTA(A151:G151)&lt;7,"",COUNTIFS('原子事实记录'!$C$2:$C$2001,$D151,'原子事实记录'!$E$2:$E$2001,$A151,'原子事实记录'!$F$2:$F$2001,$B151,'原子事实记录'!$G$2:$G$2001,$C151,'原子事实记录'!$I$2:$I$2001,$E151,'原子事实记录'!$J$2:$J$2001,$F151,'原子事实记录'!$Q$2:$Q$2001,"是",'原子事实记录'!$R$2:$R$2001,"未知"))</f>
        <v/>
      </c>
      <c r="M151" s="3" t="n"/>
      <c r="N151" s="3" t="n"/>
      <c r="O151" s="5">
        <f>IF(OR(G151="",M151="",N151=""),"",M151+IF(G151="肯定主张正确率",H151,IF(G151="否定主张正确率",K151,IF(G151="灵敏度",H151,K151))))</f>
        <v/>
      </c>
      <c r="P151" s="5">
        <f>IF(OR(G151="",M151="",N151=""),"",N151+IF(G151="肯定主张正确率",I151,IF(G151="否定主张正确率",J151,IF(G151="灵敏度",J151,I151))))</f>
        <v/>
      </c>
      <c r="Q151" s="7">
        <f>IF(OR(O151="",P151=""),"",O151/(O151+P151))</f>
        <v/>
      </c>
      <c r="R151" s="7">
        <f>IF(Q151="","",BETA.INV(0.025,O151,P151))</f>
        <v/>
      </c>
      <c r="S151" s="7">
        <f>IF(Q151="","",BETA.INV(0.975,O151,P151))</f>
        <v/>
      </c>
      <c r="T151" s="5">
        <f>IF(OR(O151="",P151=""),"",O151+P151-M151-N151)</f>
        <v/>
      </c>
      <c r="U151" s="5">
        <f>IF(T151="","先填完整分组",IF(T151&lt;30,"样本太少：仅描述",IF(T151&lt;100,"只作试点候选","可进入独立验证")))</f>
        <v/>
      </c>
      <c r="V151" s="3" t="n"/>
      <c r="W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5">
        <f>IF(COUNTA(A152:G152)&lt;7,"",COUNTIFS('原子事实记录'!$C$2:$C$2001,$D152,'原子事实记录'!$E$2:$E$2001,$A152,'原子事实记录'!$F$2:$F$2001,$B152,'原子事实记录'!$G$2:$G$2001,$C152,'原子事实记录'!$I$2:$I$2001,$E152,'原子事实记录'!$J$2:$J$2001,$F152,'原子事实记录'!$Q$2:$Q$2001,"是",'原子事实记录'!$R$2:$R$2001,"TP"))</f>
        <v/>
      </c>
      <c r="I152" s="5">
        <f>IF(COUNTA(A152:G152)&lt;7,"",COUNTIFS('原子事实记录'!$C$2:$C$2001,$D152,'原子事实记录'!$E$2:$E$2001,$A152,'原子事实记录'!$F$2:$F$2001,$B152,'原子事实记录'!$G$2:$G$2001,$C152,'原子事实记录'!$I$2:$I$2001,$E152,'原子事实记录'!$J$2:$J$2001,$F152,'原子事实记录'!$Q$2:$Q$2001,"是",'原子事实记录'!$R$2:$R$2001,"FP"))</f>
        <v/>
      </c>
      <c r="J152" s="5">
        <f>IF(COUNTA(A152:G152)&lt;7,"",COUNTIFS('原子事实记录'!$C$2:$C$2001,$D152,'原子事实记录'!$E$2:$E$2001,$A152,'原子事实记录'!$F$2:$F$2001,$B152,'原子事实记录'!$G$2:$G$2001,$C152,'原子事实记录'!$I$2:$I$2001,$E152,'原子事实记录'!$J$2:$J$2001,$F152,'原子事实记录'!$Q$2:$Q$2001,"是",'原子事实记录'!$R$2:$R$2001,"FN"))</f>
        <v/>
      </c>
      <c r="K152" s="5">
        <f>IF(COUNTA(A152:G152)&lt;7,"",COUNTIFS('原子事实记录'!$C$2:$C$2001,$D152,'原子事实记录'!$E$2:$E$2001,$A152,'原子事实记录'!$F$2:$F$2001,$B152,'原子事实记录'!$G$2:$G$2001,$C152,'原子事实记录'!$I$2:$I$2001,$E152,'原子事实记录'!$J$2:$J$2001,$F152,'原子事实记录'!$Q$2:$Q$2001,"是",'原子事实记录'!$R$2:$R$2001,"TN"))</f>
        <v/>
      </c>
      <c r="L152" s="5">
        <f>IF(COUNTA(A152:G152)&lt;7,"",COUNTIFS('原子事实记录'!$C$2:$C$2001,$D152,'原子事实记录'!$E$2:$E$2001,$A152,'原子事实记录'!$F$2:$F$2001,$B152,'原子事实记录'!$G$2:$G$2001,$C152,'原子事实记录'!$I$2:$I$2001,$E152,'原子事实记录'!$J$2:$J$2001,$F152,'原子事实记录'!$Q$2:$Q$2001,"是",'原子事实记录'!$R$2:$R$2001,"未知"))</f>
        <v/>
      </c>
      <c r="M152" s="3" t="n"/>
      <c r="N152" s="3" t="n"/>
      <c r="O152" s="5">
        <f>IF(OR(G152="",M152="",N152=""),"",M152+IF(G152="肯定主张正确率",H152,IF(G152="否定主张正确率",K152,IF(G152="灵敏度",H152,K152))))</f>
        <v/>
      </c>
      <c r="P152" s="5">
        <f>IF(OR(G152="",M152="",N152=""),"",N152+IF(G152="肯定主张正确率",I152,IF(G152="否定主张正确率",J152,IF(G152="灵敏度",J152,I152))))</f>
        <v/>
      </c>
      <c r="Q152" s="7">
        <f>IF(OR(O152="",P152=""),"",O152/(O152+P152))</f>
        <v/>
      </c>
      <c r="R152" s="7">
        <f>IF(Q152="","",BETA.INV(0.025,O152,P152))</f>
        <v/>
      </c>
      <c r="S152" s="7">
        <f>IF(Q152="","",BETA.INV(0.975,O152,P152))</f>
        <v/>
      </c>
      <c r="T152" s="5">
        <f>IF(OR(O152="",P152=""),"",O152+P152-M152-N152)</f>
        <v/>
      </c>
      <c r="U152" s="5">
        <f>IF(T152="","先填完整分组",IF(T152&lt;30,"样本太少：仅描述",IF(T152&lt;100,"只作试点候选","可进入独立验证")))</f>
        <v/>
      </c>
      <c r="V152" s="3" t="n"/>
      <c r="W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5">
        <f>IF(COUNTA(A153:G153)&lt;7,"",COUNTIFS('原子事实记录'!$C$2:$C$2001,$D153,'原子事实记录'!$E$2:$E$2001,$A153,'原子事实记录'!$F$2:$F$2001,$B153,'原子事实记录'!$G$2:$G$2001,$C153,'原子事实记录'!$I$2:$I$2001,$E153,'原子事实记录'!$J$2:$J$2001,$F153,'原子事实记录'!$Q$2:$Q$2001,"是",'原子事实记录'!$R$2:$R$2001,"TP"))</f>
        <v/>
      </c>
      <c r="I153" s="5">
        <f>IF(COUNTA(A153:G153)&lt;7,"",COUNTIFS('原子事实记录'!$C$2:$C$2001,$D153,'原子事实记录'!$E$2:$E$2001,$A153,'原子事实记录'!$F$2:$F$2001,$B153,'原子事实记录'!$G$2:$G$2001,$C153,'原子事实记录'!$I$2:$I$2001,$E153,'原子事实记录'!$J$2:$J$2001,$F153,'原子事实记录'!$Q$2:$Q$2001,"是",'原子事实记录'!$R$2:$R$2001,"FP"))</f>
        <v/>
      </c>
      <c r="J153" s="5">
        <f>IF(COUNTA(A153:G153)&lt;7,"",COUNTIFS('原子事实记录'!$C$2:$C$2001,$D153,'原子事实记录'!$E$2:$E$2001,$A153,'原子事实记录'!$F$2:$F$2001,$B153,'原子事实记录'!$G$2:$G$2001,$C153,'原子事实记录'!$I$2:$I$2001,$E153,'原子事实记录'!$J$2:$J$2001,$F153,'原子事实记录'!$Q$2:$Q$2001,"是",'原子事实记录'!$R$2:$R$2001,"FN"))</f>
        <v/>
      </c>
      <c r="K153" s="5">
        <f>IF(COUNTA(A153:G153)&lt;7,"",COUNTIFS('原子事实记录'!$C$2:$C$2001,$D153,'原子事实记录'!$E$2:$E$2001,$A153,'原子事实记录'!$F$2:$F$2001,$B153,'原子事实记录'!$G$2:$G$2001,$C153,'原子事实记录'!$I$2:$I$2001,$E153,'原子事实记录'!$J$2:$J$2001,$F153,'原子事实记录'!$Q$2:$Q$2001,"是",'原子事实记录'!$R$2:$R$2001,"TN"))</f>
        <v/>
      </c>
      <c r="L153" s="5">
        <f>IF(COUNTA(A153:G153)&lt;7,"",COUNTIFS('原子事实记录'!$C$2:$C$2001,$D153,'原子事实记录'!$E$2:$E$2001,$A153,'原子事实记录'!$F$2:$F$2001,$B153,'原子事实记录'!$G$2:$G$2001,$C153,'原子事实记录'!$I$2:$I$2001,$E153,'原子事实记录'!$J$2:$J$2001,$F153,'原子事实记录'!$Q$2:$Q$2001,"是",'原子事实记录'!$R$2:$R$2001,"未知"))</f>
        <v/>
      </c>
      <c r="M153" s="3" t="n"/>
      <c r="N153" s="3" t="n"/>
      <c r="O153" s="5">
        <f>IF(OR(G153="",M153="",N153=""),"",M153+IF(G153="肯定主张正确率",H153,IF(G153="否定主张正确率",K153,IF(G153="灵敏度",H153,K153))))</f>
        <v/>
      </c>
      <c r="P153" s="5">
        <f>IF(OR(G153="",M153="",N153=""),"",N153+IF(G153="肯定主张正确率",I153,IF(G153="否定主张正确率",J153,IF(G153="灵敏度",J153,I153))))</f>
        <v/>
      </c>
      <c r="Q153" s="7">
        <f>IF(OR(O153="",P153=""),"",O153/(O153+P153))</f>
        <v/>
      </c>
      <c r="R153" s="7">
        <f>IF(Q153="","",BETA.INV(0.025,O153,P153))</f>
        <v/>
      </c>
      <c r="S153" s="7">
        <f>IF(Q153="","",BETA.INV(0.975,O153,P153))</f>
        <v/>
      </c>
      <c r="T153" s="5">
        <f>IF(OR(O153="",P153=""),"",O153+P153-M153-N153)</f>
        <v/>
      </c>
      <c r="U153" s="5">
        <f>IF(T153="","先填完整分组",IF(T153&lt;30,"样本太少：仅描述",IF(T153&lt;100,"只作试点候选","可进入独立验证")))</f>
        <v/>
      </c>
      <c r="V153" s="3" t="n"/>
      <c r="W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5">
        <f>IF(COUNTA(A154:G154)&lt;7,"",COUNTIFS('原子事实记录'!$C$2:$C$2001,$D154,'原子事实记录'!$E$2:$E$2001,$A154,'原子事实记录'!$F$2:$F$2001,$B154,'原子事实记录'!$G$2:$G$2001,$C154,'原子事实记录'!$I$2:$I$2001,$E154,'原子事实记录'!$J$2:$J$2001,$F154,'原子事实记录'!$Q$2:$Q$2001,"是",'原子事实记录'!$R$2:$R$2001,"TP"))</f>
        <v/>
      </c>
      <c r="I154" s="5">
        <f>IF(COUNTA(A154:G154)&lt;7,"",COUNTIFS('原子事实记录'!$C$2:$C$2001,$D154,'原子事实记录'!$E$2:$E$2001,$A154,'原子事实记录'!$F$2:$F$2001,$B154,'原子事实记录'!$G$2:$G$2001,$C154,'原子事实记录'!$I$2:$I$2001,$E154,'原子事实记录'!$J$2:$J$2001,$F154,'原子事实记录'!$Q$2:$Q$2001,"是",'原子事实记录'!$R$2:$R$2001,"FP"))</f>
        <v/>
      </c>
      <c r="J154" s="5">
        <f>IF(COUNTA(A154:G154)&lt;7,"",COUNTIFS('原子事实记录'!$C$2:$C$2001,$D154,'原子事实记录'!$E$2:$E$2001,$A154,'原子事实记录'!$F$2:$F$2001,$B154,'原子事实记录'!$G$2:$G$2001,$C154,'原子事实记录'!$I$2:$I$2001,$E154,'原子事实记录'!$J$2:$J$2001,$F154,'原子事实记录'!$Q$2:$Q$2001,"是",'原子事实记录'!$R$2:$R$2001,"FN"))</f>
        <v/>
      </c>
      <c r="K154" s="5">
        <f>IF(COUNTA(A154:G154)&lt;7,"",COUNTIFS('原子事实记录'!$C$2:$C$2001,$D154,'原子事实记录'!$E$2:$E$2001,$A154,'原子事实记录'!$F$2:$F$2001,$B154,'原子事实记录'!$G$2:$G$2001,$C154,'原子事实记录'!$I$2:$I$2001,$E154,'原子事实记录'!$J$2:$J$2001,$F154,'原子事实记录'!$Q$2:$Q$2001,"是",'原子事实记录'!$R$2:$R$2001,"TN"))</f>
        <v/>
      </c>
      <c r="L154" s="5">
        <f>IF(COUNTA(A154:G154)&lt;7,"",COUNTIFS('原子事实记录'!$C$2:$C$2001,$D154,'原子事实记录'!$E$2:$E$2001,$A154,'原子事实记录'!$F$2:$F$2001,$B154,'原子事实记录'!$G$2:$G$2001,$C154,'原子事实记录'!$I$2:$I$2001,$E154,'原子事实记录'!$J$2:$J$2001,$F154,'原子事实记录'!$Q$2:$Q$2001,"是",'原子事实记录'!$R$2:$R$2001,"未知"))</f>
        <v/>
      </c>
      <c r="M154" s="3" t="n"/>
      <c r="N154" s="3" t="n"/>
      <c r="O154" s="5">
        <f>IF(OR(G154="",M154="",N154=""),"",M154+IF(G154="肯定主张正确率",H154,IF(G154="否定主张正确率",K154,IF(G154="灵敏度",H154,K154))))</f>
        <v/>
      </c>
      <c r="P154" s="5">
        <f>IF(OR(G154="",M154="",N154=""),"",N154+IF(G154="肯定主张正确率",I154,IF(G154="否定主张正确率",J154,IF(G154="灵敏度",J154,I154))))</f>
        <v/>
      </c>
      <c r="Q154" s="7">
        <f>IF(OR(O154="",P154=""),"",O154/(O154+P154))</f>
        <v/>
      </c>
      <c r="R154" s="7">
        <f>IF(Q154="","",BETA.INV(0.025,O154,P154))</f>
        <v/>
      </c>
      <c r="S154" s="7">
        <f>IF(Q154="","",BETA.INV(0.975,O154,P154))</f>
        <v/>
      </c>
      <c r="T154" s="5">
        <f>IF(OR(O154="",P154=""),"",O154+P154-M154-N154)</f>
        <v/>
      </c>
      <c r="U154" s="5">
        <f>IF(T154="","先填完整分组",IF(T154&lt;30,"样本太少：仅描述",IF(T154&lt;100,"只作试点候选","可进入独立验证")))</f>
        <v/>
      </c>
      <c r="V154" s="3" t="n"/>
      <c r="W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5">
        <f>IF(COUNTA(A155:G155)&lt;7,"",COUNTIFS('原子事实记录'!$C$2:$C$2001,$D155,'原子事实记录'!$E$2:$E$2001,$A155,'原子事实记录'!$F$2:$F$2001,$B155,'原子事实记录'!$G$2:$G$2001,$C155,'原子事实记录'!$I$2:$I$2001,$E155,'原子事实记录'!$J$2:$J$2001,$F155,'原子事实记录'!$Q$2:$Q$2001,"是",'原子事实记录'!$R$2:$R$2001,"TP"))</f>
        <v/>
      </c>
      <c r="I155" s="5">
        <f>IF(COUNTA(A155:G155)&lt;7,"",COUNTIFS('原子事实记录'!$C$2:$C$2001,$D155,'原子事实记录'!$E$2:$E$2001,$A155,'原子事实记录'!$F$2:$F$2001,$B155,'原子事实记录'!$G$2:$G$2001,$C155,'原子事实记录'!$I$2:$I$2001,$E155,'原子事实记录'!$J$2:$J$2001,$F155,'原子事实记录'!$Q$2:$Q$2001,"是",'原子事实记录'!$R$2:$R$2001,"FP"))</f>
        <v/>
      </c>
      <c r="J155" s="5">
        <f>IF(COUNTA(A155:G155)&lt;7,"",COUNTIFS('原子事实记录'!$C$2:$C$2001,$D155,'原子事实记录'!$E$2:$E$2001,$A155,'原子事实记录'!$F$2:$F$2001,$B155,'原子事实记录'!$G$2:$G$2001,$C155,'原子事实记录'!$I$2:$I$2001,$E155,'原子事实记录'!$J$2:$J$2001,$F155,'原子事实记录'!$Q$2:$Q$2001,"是",'原子事实记录'!$R$2:$R$2001,"FN"))</f>
        <v/>
      </c>
      <c r="K155" s="5">
        <f>IF(COUNTA(A155:G155)&lt;7,"",COUNTIFS('原子事实记录'!$C$2:$C$2001,$D155,'原子事实记录'!$E$2:$E$2001,$A155,'原子事实记录'!$F$2:$F$2001,$B155,'原子事实记录'!$G$2:$G$2001,$C155,'原子事实记录'!$I$2:$I$2001,$E155,'原子事实记录'!$J$2:$J$2001,$F155,'原子事实记录'!$Q$2:$Q$2001,"是",'原子事实记录'!$R$2:$R$2001,"TN"))</f>
        <v/>
      </c>
      <c r="L155" s="5">
        <f>IF(COUNTA(A155:G155)&lt;7,"",COUNTIFS('原子事实记录'!$C$2:$C$2001,$D155,'原子事实记录'!$E$2:$E$2001,$A155,'原子事实记录'!$F$2:$F$2001,$B155,'原子事实记录'!$G$2:$G$2001,$C155,'原子事实记录'!$I$2:$I$2001,$E155,'原子事实记录'!$J$2:$J$2001,$F155,'原子事实记录'!$Q$2:$Q$2001,"是",'原子事实记录'!$R$2:$R$2001,"未知"))</f>
        <v/>
      </c>
      <c r="M155" s="3" t="n"/>
      <c r="N155" s="3" t="n"/>
      <c r="O155" s="5">
        <f>IF(OR(G155="",M155="",N155=""),"",M155+IF(G155="肯定主张正确率",H155,IF(G155="否定主张正确率",K155,IF(G155="灵敏度",H155,K155))))</f>
        <v/>
      </c>
      <c r="P155" s="5">
        <f>IF(OR(G155="",M155="",N155=""),"",N155+IF(G155="肯定主张正确率",I155,IF(G155="否定主张正确率",J155,IF(G155="灵敏度",J155,I155))))</f>
        <v/>
      </c>
      <c r="Q155" s="7">
        <f>IF(OR(O155="",P155=""),"",O155/(O155+P155))</f>
        <v/>
      </c>
      <c r="R155" s="7">
        <f>IF(Q155="","",BETA.INV(0.025,O155,P155))</f>
        <v/>
      </c>
      <c r="S155" s="7">
        <f>IF(Q155="","",BETA.INV(0.975,O155,P155))</f>
        <v/>
      </c>
      <c r="T155" s="5">
        <f>IF(OR(O155="",P155=""),"",O155+P155-M155-N155)</f>
        <v/>
      </c>
      <c r="U155" s="5">
        <f>IF(T155="","先填完整分组",IF(T155&lt;30,"样本太少：仅描述",IF(T155&lt;100,"只作试点候选","可进入独立验证")))</f>
        <v/>
      </c>
      <c r="V155" s="3" t="n"/>
      <c r="W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5">
        <f>IF(COUNTA(A156:G156)&lt;7,"",COUNTIFS('原子事实记录'!$C$2:$C$2001,$D156,'原子事实记录'!$E$2:$E$2001,$A156,'原子事实记录'!$F$2:$F$2001,$B156,'原子事实记录'!$G$2:$G$2001,$C156,'原子事实记录'!$I$2:$I$2001,$E156,'原子事实记录'!$J$2:$J$2001,$F156,'原子事实记录'!$Q$2:$Q$2001,"是",'原子事实记录'!$R$2:$R$2001,"TP"))</f>
        <v/>
      </c>
      <c r="I156" s="5">
        <f>IF(COUNTA(A156:G156)&lt;7,"",COUNTIFS('原子事实记录'!$C$2:$C$2001,$D156,'原子事实记录'!$E$2:$E$2001,$A156,'原子事实记录'!$F$2:$F$2001,$B156,'原子事实记录'!$G$2:$G$2001,$C156,'原子事实记录'!$I$2:$I$2001,$E156,'原子事实记录'!$J$2:$J$2001,$F156,'原子事实记录'!$Q$2:$Q$2001,"是",'原子事实记录'!$R$2:$R$2001,"FP"))</f>
        <v/>
      </c>
      <c r="J156" s="5">
        <f>IF(COUNTA(A156:G156)&lt;7,"",COUNTIFS('原子事实记录'!$C$2:$C$2001,$D156,'原子事实记录'!$E$2:$E$2001,$A156,'原子事实记录'!$F$2:$F$2001,$B156,'原子事实记录'!$G$2:$G$2001,$C156,'原子事实记录'!$I$2:$I$2001,$E156,'原子事实记录'!$J$2:$J$2001,$F156,'原子事实记录'!$Q$2:$Q$2001,"是",'原子事实记录'!$R$2:$R$2001,"FN"))</f>
        <v/>
      </c>
      <c r="K156" s="5">
        <f>IF(COUNTA(A156:G156)&lt;7,"",COUNTIFS('原子事实记录'!$C$2:$C$2001,$D156,'原子事实记录'!$E$2:$E$2001,$A156,'原子事实记录'!$F$2:$F$2001,$B156,'原子事实记录'!$G$2:$G$2001,$C156,'原子事实记录'!$I$2:$I$2001,$E156,'原子事实记录'!$J$2:$J$2001,$F156,'原子事实记录'!$Q$2:$Q$2001,"是",'原子事实记录'!$R$2:$R$2001,"TN"))</f>
        <v/>
      </c>
      <c r="L156" s="5">
        <f>IF(COUNTA(A156:G156)&lt;7,"",COUNTIFS('原子事实记录'!$C$2:$C$2001,$D156,'原子事实记录'!$E$2:$E$2001,$A156,'原子事实记录'!$F$2:$F$2001,$B156,'原子事实记录'!$G$2:$G$2001,$C156,'原子事实记录'!$I$2:$I$2001,$E156,'原子事实记录'!$J$2:$J$2001,$F156,'原子事实记录'!$Q$2:$Q$2001,"是",'原子事实记录'!$R$2:$R$2001,"未知"))</f>
        <v/>
      </c>
      <c r="M156" s="3" t="n"/>
      <c r="N156" s="3" t="n"/>
      <c r="O156" s="5">
        <f>IF(OR(G156="",M156="",N156=""),"",M156+IF(G156="肯定主张正确率",H156,IF(G156="否定主张正确率",K156,IF(G156="灵敏度",H156,K156))))</f>
        <v/>
      </c>
      <c r="P156" s="5">
        <f>IF(OR(G156="",M156="",N156=""),"",N156+IF(G156="肯定主张正确率",I156,IF(G156="否定主张正确率",J156,IF(G156="灵敏度",J156,I156))))</f>
        <v/>
      </c>
      <c r="Q156" s="7">
        <f>IF(OR(O156="",P156=""),"",O156/(O156+P156))</f>
        <v/>
      </c>
      <c r="R156" s="7">
        <f>IF(Q156="","",BETA.INV(0.025,O156,P156))</f>
        <v/>
      </c>
      <c r="S156" s="7">
        <f>IF(Q156="","",BETA.INV(0.975,O156,P156))</f>
        <v/>
      </c>
      <c r="T156" s="5">
        <f>IF(OR(O156="",P156=""),"",O156+P156-M156-N156)</f>
        <v/>
      </c>
      <c r="U156" s="5">
        <f>IF(T156="","先填完整分组",IF(T156&lt;30,"样本太少：仅描述",IF(T156&lt;100,"只作试点候选","可进入独立验证")))</f>
        <v/>
      </c>
      <c r="V156" s="3" t="n"/>
      <c r="W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5">
        <f>IF(COUNTA(A157:G157)&lt;7,"",COUNTIFS('原子事实记录'!$C$2:$C$2001,$D157,'原子事实记录'!$E$2:$E$2001,$A157,'原子事实记录'!$F$2:$F$2001,$B157,'原子事实记录'!$G$2:$G$2001,$C157,'原子事实记录'!$I$2:$I$2001,$E157,'原子事实记录'!$J$2:$J$2001,$F157,'原子事实记录'!$Q$2:$Q$2001,"是",'原子事实记录'!$R$2:$R$2001,"TP"))</f>
        <v/>
      </c>
      <c r="I157" s="5">
        <f>IF(COUNTA(A157:G157)&lt;7,"",COUNTIFS('原子事实记录'!$C$2:$C$2001,$D157,'原子事实记录'!$E$2:$E$2001,$A157,'原子事实记录'!$F$2:$F$2001,$B157,'原子事实记录'!$G$2:$G$2001,$C157,'原子事实记录'!$I$2:$I$2001,$E157,'原子事实记录'!$J$2:$J$2001,$F157,'原子事实记录'!$Q$2:$Q$2001,"是",'原子事实记录'!$R$2:$R$2001,"FP"))</f>
        <v/>
      </c>
      <c r="J157" s="5">
        <f>IF(COUNTA(A157:G157)&lt;7,"",COUNTIFS('原子事实记录'!$C$2:$C$2001,$D157,'原子事实记录'!$E$2:$E$2001,$A157,'原子事实记录'!$F$2:$F$2001,$B157,'原子事实记录'!$G$2:$G$2001,$C157,'原子事实记录'!$I$2:$I$2001,$E157,'原子事实记录'!$J$2:$J$2001,$F157,'原子事实记录'!$Q$2:$Q$2001,"是",'原子事实记录'!$R$2:$R$2001,"FN"))</f>
        <v/>
      </c>
      <c r="K157" s="5">
        <f>IF(COUNTA(A157:G157)&lt;7,"",COUNTIFS('原子事实记录'!$C$2:$C$2001,$D157,'原子事实记录'!$E$2:$E$2001,$A157,'原子事实记录'!$F$2:$F$2001,$B157,'原子事实记录'!$G$2:$G$2001,$C157,'原子事实记录'!$I$2:$I$2001,$E157,'原子事实记录'!$J$2:$J$2001,$F157,'原子事实记录'!$Q$2:$Q$2001,"是",'原子事实记录'!$R$2:$R$2001,"TN"))</f>
        <v/>
      </c>
      <c r="L157" s="5">
        <f>IF(COUNTA(A157:G157)&lt;7,"",COUNTIFS('原子事实记录'!$C$2:$C$2001,$D157,'原子事实记录'!$E$2:$E$2001,$A157,'原子事实记录'!$F$2:$F$2001,$B157,'原子事实记录'!$G$2:$G$2001,$C157,'原子事实记录'!$I$2:$I$2001,$E157,'原子事实记录'!$J$2:$J$2001,$F157,'原子事实记录'!$Q$2:$Q$2001,"是",'原子事实记录'!$R$2:$R$2001,"未知"))</f>
        <v/>
      </c>
      <c r="M157" s="3" t="n"/>
      <c r="N157" s="3" t="n"/>
      <c r="O157" s="5">
        <f>IF(OR(G157="",M157="",N157=""),"",M157+IF(G157="肯定主张正确率",H157,IF(G157="否定主张正确率",K157,IF(G157="灵敏度",H157,K157))))</f>
        <v/>
      </c>
      <c r="P157" s="5">
        <f>IF(OR(G157="",M157="",N157=""),"",N157+IF(G157="肯定主张正确率",I157,IF(G157="否定主张正确率",J157,IF(G157="灵敏度",J157,I157))))</f>
        <v/>
      </c>
      <c r="Q157" s="7">
        <f>IF(OR(O157="",P157=""),"",O157/(O157+P157))</f>
        <v/>
      </c>
      <c r="R157" s="7">
        <f>IF(Q157="","",BETA.INV(0.025,O157,P157))</f>
        <v/>
      </c>
      <c r="S157" s="7">
        <f>IF(Q157="","",BETA.INV(0.975,O157,P157))</f>
        <v/>
      </c>
      <c r="T157" s="5">
        <f>IF(OR(O157="",P157=""),"",O157+P157-M157-N157)</f>
        <v/>
      </c>
      <c r="U157" s="5">
        <f>IF(T157="","先填完整分组",IF(T157&lt;30,"样本太少：仅描述",IF(T157&lt;100,"只作试点候选","可进入独立验证")))</f>
        <v/>
      </c>
      <c r="V157" s="3" t="n"/>
      <c r="W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5">
        <f>IF(COUNTA(A158:G158)&lt;7,"",COUNTIFS('原子事实记录'!$C$2:$C$2001,$D158,'原子事实记录'!$E$2:$E$2001,$A158,'原子事实记录'!$F$2:$F$2001,$B158,'原子事实记录'!$G$2:$G$2001,$C158,'原子事实记录'!$I$2:$I$2001,$E158,'原子事实记录'!$J$2:$J$2001,$F158,'原子事实记录'!$Q$2:$Q$2001,"是",'原子事实记录'!$R$2:$R$2001,"TP"))</f>
        <v/>
      </c>
      <c r="I158" s="5">
        <f>IF(COUNTA(A158:G158)&lt;7,"",COUNTIFS('原子事实记录'!$C$2:$C$2001,$D158,'原子事实记录'!$E$2:$E$2001,$A158,'原子事实记录'!$F$2:$F$2001,$B158,'原子事实记录'!$G$2:$G$2001,$C158,'原子事实记录'!$I$2:$I$2001,$E158,'原子事实记录'!$J$2:$J$2001,$F158,'原子事实记录'!$Q$2:$Q$2001,"是",'原子事实记录'!$R$2:$R$2001,"FP"))</f>
        <v/>
      </c>
      <c r="J158" s="5">
        <f>IF(COUNTA(A158:G158)&lt;7,"",COUNTIFS('原子事实记录'!$C$2:$C$2001,$D158,'原子事实记录'!$E$2:$E$2001,$A158,'原子事实记录'!$F$2:$F$2001,$B158,'原子事实记录'!$G$2:$G$2001,$C158,'原子事实记录'!$I$2:$I$2001,$E158,'原子事实记录'!$J$2:$J$2001,$F158,'原子事实记录'!$Q$2:$Q$2001,"是",'原子事实记录'!$R$2:$R$2001,"FN"))</f>
        <v/>
      </c>
      <c r="K158" s="5">
        <f>IF(COUNTA(A158:G158)&lt;7,"",COUNTIFS('原子事实记录'!$C$2:$C$2001,$D158,'原子事实记录'!$E$2:$E$2001,$A158,'原子事实记录'!$F$2:$F$2001,$B158,'原子事实记录'!$G$2:$G$2001,$C158,'原子事实记录'!$I$2:$I$2001,$E158,'原子事实记录'!$J$2:$J$2001,$F158,'原子事实记录'!$Q$2:$Q$2001,"是",'原子事实记录'!$R$2:$R$2001,"TN"))</f>
        <v/>
      </c>
      <c r="L158" s="5">
        <f>IF(COUNTA(A158:G158)&lt;7,"",COUNTIFS('原子事实记录'!$C$2:$C$2001,$D158,'原子事实记录'!$E$2:$E$2001,$A158,'原子事实记录'!$F$2:$F$2001,$B158,'原子事实记录'!$G$2:$G$2001,$C158,'原子事实记录'!$I$2:$I$2001,$E158,'原子事实记录'!$J$2:$J$2001,$F158,'原子事实记录'!$Q$2:$Q$2001,"是",'原子事实记录'!$R$2:$R$2001,"未知"))</f>
        <v/>
      </c>
      <c r="M158" s="3" t="n"/>
      <c r="N158" s="3" t="n"/>
      <c r="O158" s="5">
        <f>IF(OR(G158="",M158="",N158=""),"",M158+IF(G158="肯定主张正确率",H158,IF(G158="否定主张正确率",K158,IF(G158="灵敏度",H158,K158))))</f>
        <v/>
      </c>
      <c r="P158" s="5">
        <f>IF(OR(G158="",M158="",N158=""),"",N158+IF(G158="肯定主张正确率",I158,IF(G158="否定主张正确率",J158,IF(G158="灵敏度",J158,I158))))</f>
        <v/>
      </c>
      <c r="Q158" s="7">
        <f>IF(OR(O158="",P158=""),"",O158/(O158+P158))</f>
        <v/>
      </c>
      <c r="R158" s="7">
        <f>IF(Q158="","",BETA.INV(0.025,O158,P158))</f>
        <v/>
      </c>
      <c r="S158" s="7">
        <f>IF(Q158="","",BETA.INV(0.975,O158,P158))</f>
        <v/>
      </c>
      <c r="T158" s="5">
        <f>IF(OR(O158="",P158=""),"",O158+P158-M158-N158)</f>
        <v/>
      </c>
      <c r="U158" s="5">
        <f>IF(T158="","先填完整分组",IF(T158&lt;30,"样本太少：仅描述",IF(T158&lt;100,"只作试点候选","可进入独立验证")))</f>
        <v/>
      </c>
      <c r="V158" s="3" t="n"/>
      <c r="W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5">
        <f>IF(COUNTA(A159:G159)&lt;7,"",COUNTIFS('原子事实记录'!$C$2:$C$2001,$D159,'原子事实记录'!$E$2:$E$2001,$A159,'原子事实记录'!$F$2:$F$2001,$B159,'原子事实记录'!$G$2:$G$2001,$C159,'原子事实记录'!$I$2:$I$2001,$E159,'原子事实记录'!$J$2:$J$2001,$F159,'原子事实记录'!$Q$2:$Q$2001,"是",'原子事实记录'!$R$2:$R$2001,"TP"))</f>
        <v/>
      </c>
      <c r="I159" s="5">
        <f>IF(COUNTA(A159:G159)&lt;7,"",COUNTIFS('原子事实记录'!$C$2:$C$2001,$D159,'原子事实记录'!$E$2:$E$2001,$A159,'原子事实记录'!$F$2:$F$2001,$B159,'原子事实记录'!$G$2:$G$2001,$C159,'原子事实记录'!$I$2:$I$2001,$E159,'原子事实记录'!$J$2:$J$2001,$F159,'原子事实记录'!$Q$2:$Q$2001,"是",'原子事实记录'!$R$2:$R$2001,"FP"))</f>
        <v/>
      </c>
      <c r="J159" s="5">
        <f>IF(COUNTA(A159:G159)&lt;7,"",COUNTIFS('原子事实记录'!$C$2:$C$2001,$D159,'原子事实记录'!$E$2:$E$2001,$A159,'原子事实记录'!$F$2:$F$2001,$B159,'原子事实记录'!$G$2:$G$2001,$C159,'原子事实记录'!$I$2:$I$2001,$E159,'原子事实记录'!$J$2:$J$2001,$F159,'原子事实记录'!$Q$2:$Q$2001,"是",'原子事实记录'!$R$2:$R$2001,"FN"))</f>
        <v/>
      </c>
      <c r="K159" s="5">
        <f>IF(COUNTA(A159:G159)&lt;7,"",COUNTIFS('原子事实记录'!$C$2:$C$2001,$D159,'原子事实记录'!$E$2:$E$2001,$A159,'原子事实记录'!$F$2:$F$2001,$B159,'原子事实记录'!$G$2:$G$2001,$C159,'原子事实记录'!$I$2:$I$2001,$E159,'原子事实记录'!$J$2:$J$2001,$F159,'原子事实记录'!$Q$2:$Q$2001,"是",'原子事实记录'!$R$2:$R$2001,"TN"))</f>
        <v/>
      </c>
      <c r="L159" s="5">
        <f>IF(COUNTA(A159:G159)&lt;7,"",COUNTIFS('原子事实记录'!$C$2:$C$2001,$D159,'原子事实记录'!$E$2:$E$2001,$A159,'原子事实记录'!$F$2:$F$2001,$B159,'原子事实记录'!$G$2:$G$2001,$C159,'原子事实记录'!$I$2:$I$2001,$E159,'原子事实记录'!$J$2:$J$2001,$F159,'原子事实记录'!$Q$2:$Q$2001,"是",'原子事实记录'!$R$2:$R$2001,"未知"))</f>
        <v/>
      </c>
      <c r="M159" s="3" t="n"/>
      <c r="N159" s="3" t="n"/>
      <c r="O159" s="5">
        <f>IF(OR(G159="",M159="",N159=""),"",M159+IF(G159="肯定主张正确率",H159,IF(G159="否定主张正确率",K159,IF(G159="灵敏度",H159,K159))))</f>
        <v/>
      </c>
      <c r="P159" s="5">
        <f>IF(OR(G159="",M159="",N159=""),"",N159+IF(G159="肯定主张正确率",I159,IF(G159="否定主张正确率",J159,IF(G159="灵敏度",J159,I159))))</f>
        <v/>
      </c>
      <c r="Q159" s="7">
        <f>IF(OR(O159="",P159=""),"",O159/(O159+P159))</f>
        <v/>
      </c>
      <c r="R159" s="7">
        <f>IF(Q159="","",BETA.INV(0.025,O159,P159))</f>
        <v/>
      </c>
      <c r="S159" s="7">
        <f>IF(Q159="","",BETA.INV(0.975,O159,P159))</f>
        <v/>
      </c>
      <c r="T159" s="5">
        <f>IF(OR(O159="",P159=""),"",O159+P159-M159-N159)</f>
        <v/>
      </c>
      <c r="U159" s="5">
        <f>IF(T159="","先填完整分组",IF(T159&lt;30,"样本太少：仅描述",IF(T159&lt;100,"只作试点候选","可进入独立验证")))</f>
        <v/>
      </c>
      <c r="V159" s="3" t="n"/>
      <c r="W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5">
        <f>IF(COUNTA(A160:G160)&lt;7,"",COUNTIFS('原子事实记录'!$C$2:$C$2001,$D160,'原子事实记录'!$E$2:$E$2001,$A160,'原子事实记录'!$F$2:$F$2001,$B160,'原子事实记录'!$G$2:$G$2001,$C160,'原子事实记录'!$I$2:$I$2001,$E160,'原子事实记录'!$J$2:$J$2001,$F160,'原子事实记录'!$Q$2:$Q$2001,"是",'原子事实记录'!$R$2:$R$2001,"TP"))</f>
        <v/>
      </c>
      <c r="I160" s="5">
        <f>IF(COUNTA(A160:G160)&lt;7,"",COUNTIFS('原子事实记录'!$C$2:$C$2001,$D160,'原子事实记录'!$E$2:$E$2001,$A160,'原子事实记录'!$F$2:$F$2001,$B160,'原子事实记录'!$G$2:$G$2001,$C160,'原子事实记录'!$I$2:$I$2001,$E160,'原子事实记录'!$J$2:$J$2001,$F160,'原子事实记录'!$Q$2:$Q$2001,"是",'原子事实记录'!$R$2:$R$2001,"FP"))</f>
        <v/>
      </c>
      <c r="J160" s="5">
        <f>IF(COUNTA(A160:G160)&lt;7,"",COUNTIFS('原子事实记录'!$C$2:$C$2001,$D160,'原子事实记录'!$E$2:$E$2001,$A160,'原子事实记录'!$F$2:$F$2001,$B160,'原子事实记录'!$G$2:$G$2001,$C160,'原子事实记录'!$I$2:$I$2001,$E160,'原子事实记录'!$J$2:$J$2001,$F160,'原子事实记录'!$Q$2:$Q$2001,"是",'原子事实记录'!$R$2:$R$2001,"FN"))</f>
        <v/>
      </c>
      <c r="K160" s="5">
        <f>IF(COUNTA(A160:G160)&lt;7,"",COUNTIFS('原子事实记录'!$C$2:$C$2001,$D160,'原子事实记录'!$E$2:$E$2001,$A160,'原子事实记录'!$F$2:$F$2001,$B160,'原子事实记录'!$G$2:$G$2001,$C160,'原子事实记录'!$I$2:$I$2001,$E160,'原子事实记录'!$J$2:$J$2001,$F160,'原子事实记录'!$Q$2:$Q$2001,"是",'原子事实记录'!$R$2:$R$2001,"TN"))</f>
        <v/>
      </c>
      <c r="L160" s="5">
        <f>IF(COUNTA(A160:G160)&lt;7,"",COUNTIFS('原子事实记录'!$C$2:$C$2001,$D160,'原子事实记录'!$E$2:$E$2001,$A160,'原子事实记录'!$F$2:$F$2001,$B160,'原子事实记录'!$G$2:$G$2001,$C160,'原子事实记录'!$I$2:$I$2001,$E160,'原子事实记录'!$J$2:$J$2001,$F160,'原子事实记录'!$Q$2:$Q$2001,"是",'原子事实记录'!$R$2:$R$2001,"未知"))</f>
        <v/>
      </c>
      <c r="M160" s="3" t="n"/>
      <c r="N160" s="3" t="n"/>
      <c r="O160" s="5">
        <f>IF(OR(G160="",M160="",N160=""),"",M160+IF(G160="肯定主张正确率",H160,IF(G160="否定主张正确率",K160,IF(G160="灵敏度",H160,K160))))</f>
        <v/>
      </c>
      <c r="P160" s="5">
        <f>IF(OR(G160="",M160="",N160=""),"",N160+IF(G160="肯定主张正确率",I160,IF(G160="否定主张正确率",J160,IF(G160="灵敏度",J160,I160))))</f>
        <v/>
      </c>
      <c r="Q160" s="7">
        <f>IF(OR(O160="",P160=""),"",O160/(O160+P160))</f>
        <v/>
      </c>
      <c r="R160" s="7">
        <f>IF(Q160="","",BETA.INV(0.025,O160,P160))</f>
        <v/>
      </c>
      <c r="S160" s="7">
        <f>IF(Q160="","",BETA.INV(0.975,O160,P160))</f>
        <v/>
      </c>
      <c r="T160" s="5">
        <f>IF(OR(O160="",P160=""),"",O160+P160-M160-N160)</f>
        <v/>
      </c>
      <c r="U160" s="5">
        <f>IF(T160="","先填完整分组",IF(T160&lt;30,"样本太少：仅描述",IF(T160&lt;100,"只作试点候选","可进入独立验证")))</f>
        <v/>
      </c>
      <c r="V160" s="3" t="n"/>
      <c r="W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5">
        <f>IF(COUNTA(A161:G161)&lt;7,"",COUNTIFS('原子事实记录'!$C$2:$C$2001,$D161,'原子事实记录'!$E$2:$E$2001,$A161,'原子事实记录'!$F$2:$F$2001,$B161,'原子事实记录'!$G$2:$G$2001,$C161,'原子事实记录'!$I$2:$I$2001,$E161,'原子事实记录'!$J$2:$J$2001,$F161,'原子事实记录'!$Q$2:$Q$2001,"是",'原子事实记录'!$R$2:$R$2001,"TP"))</f>
        <v/>
      </c>
      <c r="I161" s="5">
        <f>IF(COUNTA(A161:G161)&lt;7,"",COUNTIFS('原子事实记录'!$C$2:$C$2001,$D161,'原子事实记录'!$E$2:$E$2001,$A161,'原子事实记录'!$F$2:$F$2001,$B161,'原子事实记录'!$G$2:$G$2001,$C161,'原子事实记录'!$I$2:$I$2001,$E161,'原子事实记录'!$J$2:$J$2001,$F161,'原子事实记录'!$Q$2:$Q$2001,"是",'原子事实记录'!$R$2:$R$2001,"FP"))</f>
        <v/>
      </c>
      <c r="J161" s="5">
        <f>IF(COUNTA(A161:G161)&lt;7,"",COUNTIFS('原子事实记录'!$C$2:$C$2001,$D161,'原子事实记录'!$E$2:$E$2001,$A161,'原子事实记录'!$F$2:$F$2001,$B161,'原子事实记录'!$G$2:$G$2001,$C161,'原子事实记录'!$I$2:$I$2001,$E161,'原子事实记录'!$J$2:$J$2001,$F161,'原子事实记录'!$Q$2:$Q$2001,"是",'原子事实记录'!$R$2:$R$2001,"FN"))</f>
        <v/>
      </c>
      <c r="K161" s="5">
        <f>IF(COUNTA(A161:G161)&lt;7,"",COUNTIFS('原子事实记录'!$C$2:$C$2001,$D161,'原子事实记录'!$E$2:$E$2001,$A161,'原子事实记录'!$F$2:$F$2001,$B161,'原子事实记录'!$G$2:$G$2001,$C161,'原子事实记录'!$I$2:$I$2001,$E161,'原子事实记录'!$J$2:$J$2001,$F161,'原子事实记录'!$Q$2:$Q$2001,"是",'原子事实记录'!$R$2:$R$2001,"TN"))</f>
        <v/>
      </c>
      <c r="L161" s="5">
        <f>IF(COUNTA(A161:G161)&lt;7,"",COUNTIFS('原子事实记录'!$C$2:$C$2001,$D161,'原子事实记录'!$E$2:$E$2001,$A161,'原子事实记录'!$F$2:$F$2001,$B161,'原子事实记录'!$G$2:$G$2001,$C161,'原子事实记录'!$I$2:$I$2001,$E161,'原子事实记录'!$J$2:$J$2001,$F161,'原子事实记录'!$Q$2:$Q$2001,"是",'原子事实记录'!$R$2:$R$2001,"未知"))</f>
        <v/>
      </c>
      <c r="M161" s="3" t="n"/>
      <c r="N161" s="3" t="n"/>
      <c r="O161" s="5">
        <f>IF(OR(G161="",M161="",N161=""),"",M161+IF(G161="肯定主张正确率",H161,IF(G161="否定主张正确率",K161,IF(G161="灵敏度",H161,K161))))</f>
        <v/>
      </c>
      <c r="P161" s="5">
        <f>IF(OR(G161="",M161="",N161=""),"",N161+IF(G161="肯定主张正确率",I161,IF(G161="否定主张正确率",J161,IF(G161="灵敏度",J161,I161))))</f>
        <v/>
      </c>
      <c r="Q161" s="7">
        <f>IF(OR(O161="",P161=""),"",O161/(O161+P161))</f>
        <v/>
      </c>
      <c r="R161" s="7">
        <f>IF(Q161="","",BETA.INV(0.025,O161,P161))</f>
        <v/>
      </c>
      <c r="S161" s="7">
        <f>IF(Q161="","",BETA.INV(0.975,O161,P161))</f>
        <v/>
      </c>
      <c r="T161" s="5">
        <f>IF(OR(O161="",P161=""),"",O161+P161-M161-N161)</f>
        <v/>
      </c>
      <c r="U161" s="5">
        <f>IF(T161="","先填完整分组",IF(T161&lt;30,"样本太少：仅描述",IF(T161&lt;100,"只作试点候选","可进入独立验证")))</f>
        <v/>
      </c>
      <c r="V161" s="3" t="n"/>
      <c r="W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5">
        <f>IF(COUNTA(A162:G162)&lt;7,"",COUNTIFS('原子事实记录'!$C$2:$C$2001,$D162,'原子事实记录'!$E$2:$E$2001,$A162,'原子事实记录'!$F$2:$F$2001,$B162,'原子事实记录'!$G$2:$G$2001,$C162,'原子事实记录'!$I$2:$I$2001,$E162,'原子事实记录'!$J$2:$J$2001,$F162,'原子事实记录'!$Q$2:$Q$2001,"是",'原子事实记录'!$R$2:$R$2001,"TP"))</f>
        <v/>
      </c>
      <c r="I162" s="5">
        <f>IF(COUNTA(A162:G162)&lt;7,"",COUNTIFS('原子事实记录'!$C$2:$C$2001,$D162,'原子事实记录'!$E$2:$E$2001,$A162,'原子事实记录'!$F$2:$F$2001,$B162,'原子事实记录'!$G$2:$G$2001,$C162,'原子事实记录'!$I$2:$I$2001,$E162,'原子事实记录'!$J$2:$J$2001,$F162,'原子事实记录'!$Q$2:$Q$2001,"是",'原子事实记录'!$R$2:$R$2001,"FP"))</f>
        <v/>
      </c>
      <c r="J162" s="5">
        <f>IF(COUNTA(A162:G162)&lt;7,"",COUNTIFS('原子事实记录'!$C$2:$C$2001,$D162,'原子事实记录'!$E$2:$E$2001,$A162,'原子事实记录'!$F$2:$F$2001,$B162,'原子事实记录'!$G$2:$G$2001,$C162,'原子事实记录'!$I$2:$I$2001,$E162,'原子事实记录'!$J$2:$J$2001,$F162,'原子事实记录'!$Q$2:$Q$2001,"是",'原子事实记录'!$R$2:$R$2001,"FN"))</f>
        <v/>
      </c>
      <c r="K162" s="5">
        <f>IF(COUNTA(A162:G162)&lt;7,"",COUNTIFS('原子事实记录'!$C$2:$C$2001,$D162,'原子事实记录'!$E$2:$E$2001,$A162,'原子事实记录'!$F$2:$F$2001,$B162,'原子事实记录'!$G$2:$G$2001,$C162,'原子事实记录'!$I$2:$I$2001,$E162,'原子事实记录'!$J$2:$J$2001,$F162,'原子事实记录'!$Q$2:$Q$2001,"是",'原子事实记录'!$R$2:$R$2001,"TN"))</f>
        <v/>
      </c>
      <c r="L162" s="5">
        <f>IF(COUNTA(A162:G162)&lt;7,"",COUNTIFS('原子事实记录'!$C$2:$C$2001,$D162,'原子事实记录'!$E$2:$E$2001,$A162,'原子事实记录'!$F$2:$F$2001,$B162,'原子事实记录'!$G$2:$G$2001,$C162,'原子事实记录'!$I$2:$I$2001,$E162,'原子事实记录'!$J$2:$J$2001,$F162,'原子事实记录'!$Q$2:$Q$2001,"是",'原子事实记录'!$R$2:$R$2001,"未知"))</f>
        <v/>
      </c>
      <c r="M162" s="3" t="n"/>
      <c r="N162" s="3" t="n"/>
      <c r="O162" s="5">
        <f>IF(OR(G162="",M162="",N162=""),"",M162+IF(G162="肯定主张正确率",H162,IF(G162="否定主张正确率",K162,IF(G162="灵敏度",H162,K162))))</f>
        <v/>
      </c>
      <c r="P162" s="5">
        <f>IF(OR(G162="",M162="",N162=""),"",N162+IF(G162="肯定主张正确率",I162,IF(G162="否定主张正确率",J162,IF(G162="灵敏度",J162,I162))))</f>
        <v/>
      </c>
      <c r="Q162" s="7">
        <f>IF(OR(O162="",P162=""),"",O162/(O162+P162))</f>
        <v/>
      </c>
      <c r="R162" s="7">
        <f>IF(Q162="","",BETA.INV(0.025,O162,P162))</f>
        <v/>
      </c>
      <c r="S162" s="7">
        <f>IF(Q162="","",BETA.INV(0.975,O162,P162))</f>
        <v/>
      </c>
      <c r="T162" s="5">
        <f>IF(OR(O162="",P162=""),"",O162+P162-M162-N162)</f>
        <v/>
      </c>
      <c r="U162" s="5">
        <f>IF(T162="","先填完整分组",IF(T162&lt;30,"样本太少：仅描述",IF(T162&lt;100,"只作试点候选","可进入独立验证")))</f>
        <v/>
      </c>
      <c r="V162" s="3" t="n"/>
      <c r="W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5">
        <f>IF(COUNTA(A163:G163)&lt;7,"",COUNTIFS('原子事实记录'!$C$2:$C$2001,$D163,'原子事实记录'!$E$2:$E$2001,$A163,'原子事实记录'!$F$2:$F$2001,$B163,'原子事实记录'!$G$2:$G$2001,$C163,'原子事实记录'!$I$2:$I$2001,$E163,'原子事实记录'!$J$2:$J$2001,$F163,'原子事实记录'!$Q$2:$Q$2001,"是",'原子事实记录'!$R$2:$R$2001,"TP"))</f>
        <v/>
      </c>
      <c r="I163" s="5">
        <f>IF(COUNTA(A163:G163)&lt;7,"",COUNTIFS('原子事实记录'!$C$2:$C$2001,$D163,'原子事实记录'!$E$2:$E$2001,$A163,'原子事实记录'!$F$2:$F$2001,$B163,'原子事实记录'!$G$2:$G$2001,$C163,'原子事实记录'!$I$2:$I$2001,$E163,'原子事实记录'!$J$2:$J$2001,$F163,'原子事实记录'!$Q$2:$Q$2001,"是",'原子事实记录'!$R$2:$R$2001,"FP"))</f>
        <v/>
      </c>
      <c r="J163" s="5">
        <f>IF(COUNTA(A163:G163)&lt;7,"",COUNTIFS('原子事实记录'!$C$2:$C$2001,$D163,'原子事实记录'!$E$2:$E$2001,$A163,'原子事实记录'!$F$2:$F$2001,$B163,'原子事实记录'!$G$2:$G$2001,$C163,'原子事实记录'!$I$2:$I$2001,$E163,'原子事实记录'!$J$2:$J$2001,$F163,'原子事实记录'!$Q$2:$Q$2001,"是",'原子事实记录'!$R$2:$R$2001,"FN"))</f>
        <v/>
      </c>
      <c r="K163" s="5">
        <f>IF(COUNTA(A163:G163)&lt;7,"",COUNTIFS('原子事实记录'!$C$2:$C$2001,$D163,'原子事实记录'!$E$2:$E$2001,$A163,'原子事实记录'!$F$2:$F$2001,$B163,'原子事实记录'!$G$2:$G$2001,$C163,'原子事实记录'!$I$2:$I$2001,$E163,'原子事实记录'!$J$2:$J$2001,$F163,'原子事实记录'!$Q$2:$Q$2001,"是",'原子事实记录'!$R$2:$R$2001,"TN"))</f>
        <v/>
      </c>
      <c r="L163" s="5">
        <f>IF(COUNTA(A163:G163)&lt;7,"",COUNTIFS('原子事实记录'!$C$2:$C$2001,$D163,'原子事实记录'!$E$2:$E$2001,$A163,'原子事实记录'!$F$2:$F$2001,$B163,'原子事实记录'!$G$2:$G$2001,$C163,'原子事实记录'!$I$2:$I$2001,$E163,'原子事实记录'!$J$2:$J$2001,$F163,'原子事实记录'!$Q$2:$Q$2001,"是",'原子事实记录'!$R$2:$R$2001,"未知"))</f>
        <v/>
      </c>
      <c r="M163" s="3" t="n"/>
      <c r="N163" s="3" t="n"/>
      <c r="O163" s="5">
        <f>IF(OR(G163="",M163="",N163=""),"",M163+IF(G163="肯定主张正确率",H163,IF(G163="否定主张正确率",K163,IF(G163="灵敏度",H163,K163))))</f>
        <v/>
      </c>
      <c r="P163" s="5">
        <f>IF(OR(G163="",M163="",N163=""),"",N163+IF(G163="肯定主张正确率",I163,IF(G163="否定主张正确率",J163,IF(G163="灵敏度",J163,I163))))</f>
        <v/>
      </c>
      <c r="Q163" s="7">
        <f>IF(OR(O163="",P163=""),"",O163/(O163+P163))</f>
        <v/>
      </c>
      <c r="R163" s="7">
        <f>IF(Q163="","",BETA.INV(0.025,O163,P163))</f>
        <v/>
      </c>
      <c r="S163" s="7">
        <f>IF(Q163="","",BETA.INV(0.975,O163,P163))</f>
        <v/>
      </c>
      <c r="T163" s="5">
        <f>IF(OR(O163="",P163=""),"",O163+P163-M163-N163)</f>
        <v/>
      </c>
      <c r="U163" s="5">
        <f>IF(T163="","先填完整分组",IF(T163&lt;30,"样本太少：仅描述",IF(T163&lt;100,"只作试点候选","可进入独立验证")))</f>
        <v/>
      </c>
      <c r="V163" s="3" t="n"/>
      <c r="W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5">
        <f>IF(COUNTA(A164:G164)&lt;7,"",COUNTIFS('原子事实记录'!$C$2:$C$2001,$D164,'原子事实记录'!$E$2:$E$2001,$A164,'原子事实记录'!$F$2:$F$2001,$B164,'原子事实记录'!$G$2:$G$2001,$C164,'原子事实记录'!$I$2:$I$2001,$E164,'原子事实记录'!$J$2:$J$2001,$F164,'原子事实记录'!$Q$2:$Q$2001,"是",'原子事实记录'!$R$2:$R$2001,"TP"))</f>
        <v/>
      </c>
      <c r="I164" s="5">
        <f>IF(COUNTA(A164:G164)&lt;7,"",COUNTIFS('原子事实记录'!$C$2:$C$2001,$D164,'原子事实记录'!$E$2:$E$2001,$A164,'原子事实记录'!$F$2:$F$2001,$B164,'原子事实记录'!$G$2:$G$2001,$C164,'原子事实记录'!$I$2:$I$2001,$E164,'原子事实记录'!$J$2:$J$2001,$F164,'原子事实记录'!$Q$2:$Q$2001,"是",'原子事实记录'!$R$2:$R$2001,"FP"))</f>
        <v/>
      </c>
      <c r="J164" s="5">
        <f>IF(COUNTA(A164:G164)&lt;7,"",COUNTIFS('原子事实记录'!$C$2:$C$2001,$D164,'原子事实记录'!$E$2:$E$2001,$A164,'原子事实记录'!$F$2:$F$2001,$B164,'原子事实记录'!$G$2:$G$2001,$C164,'原子事实记录'!$I$2:$I$2001,$E164,'原子事实记录'!$J$2:$J$2001,$F164,'原子事实记录'!$Q$2:$Q$2001,"是",'原子事实记录'!$R$2:$R$2001,"FN"))</f>
        <v/>
      </c>
      <c r="K164" s="5">
        <f>IF(COUNTA(A164:G164)&lt;7,"",COUNTIFS('原子事实记录'!$C$2:$C$2001,$D164,'原子事实记录'!$E$2:$E$2001,$A164,'原子事实记录'!$F$2:$F$2001,$B164,'原子事实记录'!$G$2:$G$2001,$C164,'原子事实记录'!$I$2:$I$2001,$E164,'原子事实记录'!$J$2:$J$2001,$F164,'原子事实记录'!$Q$2:$Q$2001,"是",'原子事实记录'!$R$2:$R$2001,"TN"))</f>
        <v/>
      </c>
      <c r="L164" s="5">
        <f>IF(COUNTA(A164:G164)&lt;7,"",COUNTIFS('原子事实记录'!$C$2:$C$2001,$D164,'原子事实记录'!$E$2:$E$2001,$A164,'原子事实记录'!$F$2:$F$2001,$B164,'原子事实记录'!$G$2:$G$2001,$C164,'原子事实记录'!$I$2:$I$2001,$E164,'原子事实记录'!$J$2:$J$2001,$F164,'原子事实记录'!$Q$2:$Q$2001,"是",'原子事实记录'!$R$2:$R$2001,"未知"))</f>
        <v/>
      </c>
      <c r="M164" s="3" t="n"/>
      <c r="N164" s="3" t="n"/>
      <c r="O164" s="5">
        <f>IF(OR(G164="",M164="",N164=""),"",M164+IF(G164="肯定主张正确率",H164,IF(G164="否定主张正确率",K164,IF(G164="灵敏度",H164,K164))))</f>
        <v/>
      </c>
      <c r="P164" s="5">
        <f>IF(OR(G164="",M164="",N164=""),"",N164+IF(G164="肯定主张正确率",I164,IF(G164="否定主张正确率",J164,IF(G164="灵敏度",J164,I164))))</f>
        <v/>
      </c>
      <c r="Q164" s="7">
        <f>IF(OR(O164="",P164=""),"",O164/(O164+P164))</f>
        <v/>
      </c>
      <c r="R164" s="7">
        <f>IF(Q164="","",BETA.INV(0.025,O164,P164))</f>
        <v/>
      </c>
      <c r="S164" s="7">
        <f>IF(Q164="","",BETA.INV(0.975,O164,P164))</f>
        <v/>
      </c>
      <c r="T164" s="5">
        <f>IF(OR(O164="",P164=""),"",O164+P164-M164-N164)</f>
        <v/>
      </c>
      <c r="U164" s="5">
        <f>IF(T164="","先填完整分组",IF(T164&lt;30,"样本太少：仅描述",IF(T164&lt;100,"只作试点候选","可进入独立验证")))</f>
        <v/>
      </c>
      <c r="V164" s="3" t="n"/>
      <c r="W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5">
        <f>IF(COUNTA(A165:G165)&lt;7,"",COUNTIFS('原子事实记录'!$C$2:$C$2001,$D165,'原子事实记录'!$E$2:$E$2001,$A165,'原子事实记录'!$F$2:$F$2001,$B165,'原子事实记录'!$G$2:$G$2001,$C165,'原子事实记录'!$I$2:$I$2001,$E165,'原子事实记录'!$J$2:$J$2001,$F165,'原子事实记录'!$Q$2:$Q$2001,"是",'原子事实记录'!$R$2:$R$2001,"TP"))</f>
        <v/>
      </c>
      <c r="I165" s="5">
        <f>IF(COUNTA(A165:G165)&lt;7,"",COUNTIFS('原子事实记录'!$C$2:$C$2001,$D165,'原子事实记录'!$E$2:$E$2001,$A165,'原子事实记录'!$F$2:$F$2001,$B165,'原子事实记录'!$G$2:$G$2001,$C165,'原子事实记录'!$I$2:$I$2001,$E165,'原子事实记录'!$J$2:$J$2001,$F165,'原子事实记录'!$Q$2:$Q$2001,"是",'原子事实记录'!$R$2:$R$2001,"FP"))</f>
        <v/>
      </c>
      <c r="J165" s="5">
        <f>IF(COUNTA(A165:G165)&lt;7,"",COUNTIFS('原子事实记录'!$C$2:$C$2001,$D165,'原子事实记录'!$E$2:$E$2001,$A165,'原子事实记录'!$F$2:$F$2001,$B165,'原子事实记录'!$G$2:$G$2001,$C165,'原子事实记录'!$I$2:$I$2001,$E165,'原子事实记录'!$J$2:$J$2001,$F165,'原子事实记录'!$Q$2:$Q$2001,"是",'原子事实记录'!$R$2:$R$2001,"FN"))</f>
        <v/>
      </c>
      <c r="K165" s="5">
        <f>IF(COUNTA(A165:G165)&lt;7,"",COUNTIFS('原子事实记录'!$C$2:$C$2001,$D165,'原子事实记录'!$E$2:$E$2001,$A165,'原子事实记录'!$F$2:$F$2001,$B165,'原子事实记录'!$G$2:$G$2001,$C165,'原子事实记录'!$I$2:$I$2001,$E165,'原子事实记录'!$J$2:$J$2001,$F165,'原子事实记录'!$Q$2:$Q$2001,"是",'原子事实记录'!$R$2:$R$2001,"TN"))</f>
        <v/>
      </c>
      <c r="L165" s="5">
        <f>IF(COUNTA(A165:G165)&lt;7,"",COUNTIFS('原子事实记录'!$C$2:$C$2001,$D165,'原子事实记录'!$E$2:$E$2001,$A165,'原子事实记录'!$F$2:$F$2001,$B165,'原子事实记录'!$G$2:$G$2001,$C165,'原子事实记录'!$I$2:$I$2001,$E165,'原子事实记录'!$J$2:$J$2001,$F165,'原子事实记录'!$Q$2:$Q$2001,"是",'原子事实记录'!$R$2:$R$2001,"未知"))</f>
        <v/>
      </c>
      <c r="M165" s="3" t="n"/>
      <c r="N165" s="3" t="n"/>
      <c r="O165" s="5">
        <f>IF(OR(G165="",M165="",N165=""),"",M165+IF(G165="肯定主张正确率",H165,IF(G165="否定主张正确率",K165,IF(G165="灵敏度",H165,K165))))</f>
        <v/>
      </c>
      <c r="P165" s="5">
        <f>IF(OR(G165="",M165="",N165=""),"",N165+IF(G165="肯定主张正确率",I165,IF(G165="否定主张正确率",J165,IF(G165="灵敏度",J165,I165))))</f>
        <v/>
      </c>
      <c r="Q165" s="7">
        <f>IF(OR(O165="",P165=""),"",O165/(O165+P165))</f>
        <v/>
      </c>
      <c r="R165" s="7">
        <f>IF(Q165="","",BETA.INV(0.025,O165,P165))</f>
        <v/>
      </c>
      <c r="S165" s="7">
        <f>IF(Q165="","",BETA.INV(0.975,O165,P165))</f>
        <v/>
      </c>
      <c r="T165" s="5">
        <f>IF(OR(O165="",P165=""),"",O165+P165-M165-N165)</f>
        <v/>
      </c>
      <c r="U165" s="5">
        <f>IF(T165="","先填完整分组",IF(T165&lt;30,"样本太少：仅描述",IF(T165&lt;100,"只作试点候选","可进入独立验证")))</f>
        <v/>
      </c>
      <c r="V165" s="3" t="n"/>
      <c r="W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5">
        <f>IF(COUNTA(A166:G166)&lt;7,"",COUNTIFS('原子事实记录'!$C$2:$C$2001,$D166,'原子事实记录'!$E$2:$E$2001,$A166,'原子事实记录'!$F$2:$F$2001,$B166,'原子事实记录'!$G$2:$G$2001,$C166,'原子事实记录'!$I$2:$I$2001,$E166,'原子事实记录'!$J$2:$J$2001,$F166,'原子事实记录'!$Q$2:$Q$2001,"是",'原子事实记录'!$R$2:$R$2001,"TP"))</f>
        <v/>
      </c>
      <c r="I166" s="5">
        <f>IF(COUNTA(A166:G166)&lt;7,"",COUNTIFS('原子事实记录'!$C$2:$C$2001,$D166,'原子事实记录'!$E$2:$E$2001,$A166,'原子事实记录'!$F$2:$F$2001,$B166,'原子事实记录'!$G$2:$G$2001,$C166,'原子事实记录'!$I$2:$I$2001,$E166,'原子事实记录'!$J$2:$J$2001,$F166,'原子事实记录'!$Q$2:$Q$2001,"是",'原子事实记录'!$R$2:$R$2001,"FP"))</f>
        <v/>
      </c>
      <c r="J166" s="5">
        <f>IF(COUNTA(A166:G166)&lt;7,"",COUNTIFS('原子事实记录'!$C$2:$C$2001,$D166,'原子事实记录'!$E$2:$E$2001,$A166,'原子事实记录'!$F$2:$F$2001,$B166,'原子事实记录'!$G$2:$G$2001,$C166,'原子事实记录'!$I$2:$I$2001,$E166,'原子事实记录'!$J$2:$J$2001,$F166,'原子事实记录'!$Q$2:$Q$2001,"是",'原子事实记录'!$R$2:$R$2001,"FN"))</f>
        <v/>
      </c>
      <c r="K166" s="5">
        <f>IF(COUNTA(A166:G166)&lt;7,"",COUNTIFS('原子事实记录'!$C$2:$C$2001,$D166,'原子事实记录'!$E$2:$E$2001,$A166,'原子事实记录'!$F$2:$F$2001,$B166,'原子事实记录'!$G$2:$G$2001,$C166,'原子事实记录'!$I$2:$I$2001,$E166,'原子事实记录'!$J$2:$J$2001,$F166,'原子事实记录'!$Q$2:$Q$2001,"是",'原子事实记录'!$R$2:$R$2001,"TN"))</f>
        <v/>
      </c>
      <c r="L166" s="5">
        <f>IF(COUNTA(A166:G166)&lt;7,"",COUNTIFS('原子事实记录'!$C$2:$C$2001,$D166,'原子事实记录'!$E$2:$E$2001,$A166,'原子事实记录'!$F$2:$F$2001,$B166,'原子事实记录'!$G$2:$G$2001,$C166,'原子事实记录'!$I$2:$I$2001,$E166,'原子事实记录'!$J$2:$J$2001,$F166,'原子事实记录'!$Q$2:$Q$2001,"是",'原子事实记录'!$R$2:$R$2001,"未知"))</f>
        <v/>
      </c>
      <c r="M166" s="3" t="n"/>
      <c r="N166" s="3" t="n"/>
      <c r="O166" s="5">
        <f>IF(OR(G166="",M166="",N166=""),"",M166+IF(G166="肯定主张正确率",H166,IF(G166="否定主张正确率",K166,IF(G166="灵敏度",H166,K166))))</f>
        <v/>
      </c>
      <c r="P166" s="5">
        <f>IF(OR(G166="",M166="",N166=""),"",N166+IF(G166="肯定主张正确率",I166,IF(G166="否定主张正确率",J166,IF(G166="灵敏度",J166,I166))))</f>
        <v/>
      </c>
      <c r="Q166" s="7">
        <f>IF(OR(O166="",P166=""),"",O166/(O166+P166))</f>
        <v/>
      </c>
      <c r="R166" s="7">
        <f>IF(Q166="","",BETA.INV(0.025,O166,P166))</f>
        <v/>
      </c>
      <c r="S166" s="7">
        <f>IF(Q166="","",BETA.INV(0.975,O166,P166))</f>
        <v/>
      </c>
      <c r="T166" s="5">
        <f>IF(OR(O166="",P166=""),"",O166+P166-M166-N166)</f>
        <v/>
      </c>
      <c r="U166" s="5">
        <f>IF(T166="","先填完整分组",IF(T166&lt;30,"样本太少：仅描述",IF(T166&lt;100,"只作试点候选","可进入独立验证")))</f>
        <v/>
      </c>
      <c r="V166" s="3" t="n"/>
      <c r="W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5">
        <f>IF(COUNTA(A167:G167)&lt;7,"",COUNTIFS('原子事实记录'!$C$2:$C$2001,$D167,'原子事实记录'!$E$2:$E$2001,$A167,'原子事实记录'!$F$2:$F$2001,$B167,'原子事实记录'!$G$2:$G$2001,$C167,'原子事实记录'!$I$2:$I$2001,$E167,'原子事实记录'!$J$2:$J$2001,$F167,'原子事实记录'!$Q$2:$Q$2001,"是",'原子事实记录'!$R$2:$R$2001,"TP"))</f>
        <v/>
      </c>
      <c r="I167" s="5">
        <f>IF(COUNTA(A167:G167)&lt;7,"",COUNTIFS('原子事实记录'!$C$2:$C$2001,$D167,'原子事实记录'!$E$2:$E$2001,$A167,'原子事实记录'!$F$2:$F$2001,$B167,'原子事实记录'!$G$2:$G$2001,$C167,'原子事实记录'!$I$2:$I$2001,$E167,'原子事实记录'!$J$2:$J$2001,$F167,'原子事实记录'!$Q$2:$Q$2001,"是",'原子事实记录'!$R$2:$R$2001,"FP"))</f>
        <v/>
      </c>
      <c r="J167" s="5">
        <f>IF(COUNTA(A167:G167)&lt;7,"",COUNTIFS('原子事实记录'!$C$2:$C$2001,$D167,'原子事实记录'!$E$2:$E$2001,$A167,'原子事实记录'!$F$2:$F$2001,$B167,'原子事实记录'!$G$2:$G$2001,$C167,'原子事实记录'!$I$2:$I$2001,$E167,'原子事实记录'!$J$2:$J$2001,$F167,'原子事实记录'!$Q$2:$Q$2001,"是",'原子事实记录'!$R$2:$R$2001,"FN"))</f>
        <v/>
      </c>
      <c r="K167" s="5">
        <f>IF(COUNTA(A167:G167)&lt;7,"",COUNTIFS('原子事实记录'!$C$2:$C$2001,$D167,'原子事实记录'!$E$2:$E$2001,$A167,'原子事实记录'!$F$2:$F$2001,$B167,'原子事实记录'!$G$2:$G$2001,$C167,'原子事实记录'!$I$2:$I$2001,$E167,'原子事实记录'!$J$2:$J$2001,$F167,'原子事实记录'!$Q$2:$Q$2001,"是",'原子事实记录'!$R$2:$R$2001,"TN"))</f>
        <v/>
      </c>
      <c r="L167" s="5">
        <f>IF(COUNTA(A167:G167)&lt;7,"",COUNTIFS('原子事实记录'!$C$2:$C$2001,$D167,'原子事实记录'!$E$2:$E$2001,$A167,'原子事实记录'!$F$2:$F$2001,$B167,'原子事实记录'!$G$2:$G$2001,$C167,'原子事实记录'!$I$2:$I$2001,$E167,'原子事实记录'!$J$2:$J$2001,$F167,'原子事实记录'!$Q$2:$Q$2001,"是",'原子事实记录'!$R$2:$R$2001,"未知"))</f>
        <v/>
      </c>
      <c r="M167" s="3" t="n"/>
      <c r="N167" s="3" t="n"/>
      <c r="O167" s="5">
        <f>IF(OR(G167="",M167="",N167=""),"",M167+IF(G167="肯定主张正确率",H167,IF(G167="否定主张正确率",K167,IF(G167="灵敏度",H167,K167))))</f>
        <v/>
      </c>
      <c r="P167" s="5">
        <f>IF(OR(G167="",M167="",N167=""),"",N167+IF(G167="肯定主张正确率",I167,IF(G167="否定主张正确率",J167,IF(G167="灵敏度",J167,I167))))</f>
        <v/>
      </c>
      <c r="Q167" s="7">
        <f>IF(OR(O167="",P167=""),"",O167/(O167+P167))</f>
        <v/>
      </c>
      <c r="R167" s="7">
        <f>IF(Q167="","",BETA.INV(0.025,O167,P167))</f>
        <v/>
      </c>
      <c r="S167" s="7">
        <f>IF(Q167="","",BETA.INV(0.975,O167,P167))</f>
        <v/>
      </c>
      <c r="T167" s="5">
        <f>IF(OR(O167="",P167=""),"",O167+P167-M167-N167)</f>
        <v/>
      </c>
      <c r="U167" s="5">
        <f>IF(T167="","先填完整分组",IF(T167&lt;30,"样本太少：仅描述",IF(T167&lt;100,"只作试点候选","可进入独立验证")))</f>
        <v/>
      </c>
      <c r="V167" s="3" t="n"/>
      <c r="W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5">
        <f>IF(COUNTA(A168:G168)&lt;7,"",COUNTIFS('原子事实记录'!$C$2:$C$2001,$D168,'原子事实记录'!$E$2:$E$2001,$A168,'原子事实记录'!$F$2:$F$2001,$B168,'原子事实记录'!$G$2:$G$2001,$C168,'原子事实记录'!$I$2:$I$2001,$E168,'原子事实记录'!$J$2:$J$2001,$F168,'原子事实记录'!$Q$2:$Q$2001,"是",'原子事实记录'!$R$2:$R$2001,"TP"))</f>
        <v/>
      </c>
      <c r="I168" s="5">
        <f>IF(COUNTA(A168:G168)&lt;7,"",COUNTIFS('原子事实记录'!$C$2:$C$2001,$D168,'原子事实记录'!$E$2:$E$2001,$A168,'原子事实记录'!$F$2:$F$2001,$B168,'原子事实记录'!$G$2:$G$2001,$C168,'原子事实记录'!$I$2:$I$2001,$E168,'原子事实记录'!$J$2:$J$2001,$F168,'原子事实记录'!$Q$2:$Q$2001,"是",'原子事实记录'!$R$2:$R$2001,"FP"))</f>
        <v/>
      </c>
      <c r="J168" s="5">
        <f>IF(COUNTA(A168:G168)&lt;7,"",COUNTIFS('原子事实记录'!$C$2:$C$2001,$D168,'原子事实记录'!$E$2:$E$2001,$A168,'原子事实记录'!$F$2:$F$2001,$B168,'原子事实记录'!$G$2:$G$2001,$C168,'原子事实记录'!$I$2:$I$2001,$E168,'原子事实记录'!$J$2:$J$2001,$F168,'原子事实记录'!$Q$2:$Q$2001,"是",'原子事实记录'!$R$2:$R$2001,"FN"))</f>
        <v/>
      </c>
      <c r="K168" s="5">
        <f>IF(COUNTA(A168:G168)&lt;7,"",COUNTIFS('原子事实记录'!$C$2:$C$2001,$D168,'原子事实记录'!$E$2:$E$2001,$A168,'原子事实记录'!$F$2:$F$2001,$B168,'原子事实记录'!$G$2:$G$2001,$C168,'原子事实记录'!$I$2:$I$2001,$E168,'原子事实记录'!$J$2:$J$2001,$F168,'原子事实记录'!$Q$2:$Q$2001,"是",'原子事实记录'!$R$2:$R$2001,"TN"))</f>
        <v/>
      </c>
      <c r="L168" s="5">
        <f>IF(COUNTA(A168:G168)&lt;7,"",COUNTIFS('原子事实记录'!$C$2:$C$2001,$D168,'原子事实记录'!$E$2:$E$2001,$A168,'原子事实记录'!$F$2:$F$2001,$B168,'原子事实记录'!$G$2:$G$2001,$C168,'原子事实记录'!$I$2:$I$2001,$E168,'原子事实记录'!$J$2:$J$2001,$F168,'原子事实记录'!$Q$2:$Q$2001,"是",'原子事实记录'!$R$2:$R$2001,"未知"))</f>
        <v/>
      </c>
      <c r="M168" s="3" t="n"/>
      <c r="N168" s="3" t="n"/>
      <c r="O168" s="5">
        <f>IF(OR(G168="",M168="",N168=""),"",M168+IF(G168="肯定主张正确率",H168,IF(G168="否定主张正确率",K168,IF(G168="灵敏度",H168,K168))))</f>
        <v/>
      </c>
      <c r="P168" s="5">
        <f>IF(OR(G168="",M168="",N168=""),"",N168+IF(G168="肯定主张正确率",I168,IF(G168="否定主张正确率",J168,IF(G168="灵敏度",J168,I168))))</f>
        <v/>
      </c>
      <c r="Q168" s="7">
        <f>IF(OR(O168="",P168=""),"",O168/(O168+P168))</f>
        <v/>
      </c>
      <c r="R168" s="7">
        <f>IF(Q168="","",BETA.INV(0.025,O168,P168))</f>
        <v/>
      </c>
      <c r="S168" s="7">
        <f>IF(Q168="","",BETA.INV(0.975,O168,P168))</f>
        <v/>
      </c>
      <c r="T168" s="5">
        <f>IF(OR(O168="",P168=""),"",O168+P168-M168-N168)</f>
        <v/>
      </c>
      <c r="U168" s="5">
        <f>IF(T168="","先填完整分组",IF(T168&lt;30,"样本太少：仅描述",IF(T168&lt;100,"只作试点候选","可进入独立验证")))</f>
        <v/>
      </c>
      <c r="V168" s="3" t="n"/>
      <c r="W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5">
        <f>IF(COUNTA(A169:G169)&lt;7,"",COUNTIFS('原子事实记录'!$C$2:$C$2001,$D169,'原子事实记录'!$E$2:$E$2001,$A169,'原子事实记录'!$F$2:$F$2001,$B169,'原子事实记录'!$G$2:$G$2001,$C169,'原子事实记录'!$I$2:$I$2001,$E169,'原子事实记录'!$J$2:$J$2001,$F169,'原子事实记录'!$Q$2:$Q$2001,"是",'原子事实记录'!$R$2:$R$2001,"TP"))</f>
        <v/>
      </c>
      <c r="I169" s="5">
        <f>IF(COUNTA(A169:G169)&lt;7,"",COUNTIFS('原子事实记录'!$C$2:$C$2001,$D169,'原子事实记录'!$E$2:$E$2001,$A169,'原子事实记录'!$F$2:$F$2001,$B169,'原子事实记录'!$G$2:$G$2001,$C169,'原子事实记录'!$I$2:$I$2001,$E169,'原子事实记录'!$J$2:$J$2001,$F169,'原子事实记录'!$Q$2:$Q$2001,"是",'原子事实记录'!$R$2:$R$2001,"FP"))</f>
        <v/>
      </c>
      <c r="J169" s="5">
        <f>IF(COUNTA(A169:G169)&lt;7,"",COUNTIFS('原子事实记录'!$C$2:$C$2001,$D169,'原子事实记录'!$E$2:$E$2001,$A169,'原子事实记录'!$F$2:$F$2001,$B169,'原子事实记录'!$G$2:$G$2001,$C169,'原子事实记录'!$I$2:$I$2001,$E169,'原子事实记录'!$J$2:$J$2001,$F169,'原子事实记录'!$Q$2:$Q$2001,"是",'原子事实记录'!$R$2:$R$2001,"FN"))</f>
        <v/>
      </c>
      <c r="K169" s="5">
        <f>IF(COUNTA(A169:G169)&lt;7,"",COUNTIFS('原子事实记录'!$C$2:$C$2001,$D169,'原子事实记录'!$E$2:$E$2001,$A169,'原子事实记录'!$F$2:$F$2001,$B169,'原子事实记录'!$G$2:$G$2001,$C169,'原子事实记录'!$I$2:$I$2001,$E169,'原子事实记录'!$J$2:$J$2001,$F169,'原子事实记录'!$Q$2:$Q$2001,"是",'原子事实记录'!$R$2:$R$2001,"TN"))</f>
        <v/>
      </c>
      <c r="L169" s="5">
        <f>IF(COUNTA(A169:G169)&lt;7,"",COUNTIFS('原子事实记录'!$C$2:$C$2001,$D169,'原子事实记录'!$E$2:$E$2001,$A169,'原子事实记录'!$F$2:$F$2001,$B169,'原子事实记录'!$G$2:$G$2001,$C169,'原子事实记录'!$I$2:$I$2001,$E169,'原子事实记录'!$J$2:$J$2001,$F169,'原子事实记录'!$Q$2:$Q$2001,"是",'原子事实记录'!$R$2:$R$2001,"未知"))</f>
        <v/>
      </c>
      <c r="M169" s="3" t="n"/>
      <c r="N169" s="3" t="n"/>
      <c r="O169" s="5">
        <f>IF(OR(G169="",M169="",N169=""),"",M169+IF(G169="肯定主张正确率",H169,IF(G169="否定主张正确率",K169,IF(G169="灵敏度",H169,K169))))</f>
        <v/>
      </c>
      <c r="P169" s="5">
        <f>IF(OR(G169="",M169="",N169=""),"",N169+IF(G169="肯定主张正确率",I169,IF(G169="否定主张正确率",J169,IF(G169="灵敏度",J169,I169))))</f>
        <v/>
      </c>
      <c r="Q169" s="7">
        <f>IF(OR(O169="",P169=""),"",O169/(O169+P169))</f>
        <v/>
      </c>
      <c r="R169" s="7">
        <f>IF(Q169="","",BETA.INV(0.025,O169,P169))</f>
        <v/>
      </c>
      <c r="S169" s="7">
        <f>IF(Q169="","",BETA.INV(0.975,O169,P169))</f>
        <v/>
      </c>
      <c r="T169" s="5">
        <f>IF(OR(O169="",P169=""),"",O169+P169-M169-N169)</f>
        <v/>
      </c>
      <c r="U169" s="5">
        <f>IF(T169="","先填完整分组",IF(T169&lt;30,"样本太少：仅描述",IF(T169&lt;100,"只作试点候选","可进入独立验证")))</f>
        <v/>
      </c>
      <c r="V169" s="3" t="n"/>
      <c r="W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5">
        <f>IF(COUNTA(A170:G170)&lt;7,"",COUNTIFS('原子事实记录'!$C$2:$C$2001,$D170,'原子事实记录'!$E$2:$E$2001,$A170,'原子事实记录'!$F$2:$F$2001,$B170,'原子事实记录'!$G$2:$G$2001,$C170,'原子事实记录'!$I$2:$I$2001,$E170,'原子事实记录'!$J$2:$J$2001,$F170,'原子事实记录'!$Q$2:$Q$2001,"是",'原子事实记录'!$R$2:$R$2001,"TP"))</f>
        <v/>
      </c>
      <c r="I170" s="5">
        <f>IF(COUNTA(A170:G170)&lt;7,"",COUNTIFS('原子事实记录'!$C$2:$C$2001,$D170,'原子事实记录'!$E$2:$E$2001,$A170,'原子事实记录'!$F$2:$F$2001,$B170,'原子事实记录'!$G$2:$G$2001,$C170,'原子事实记录'!$I$2:$I$2001,$E170,'原子事实记录'!$J$2:$J$2001,$F170,'原子事实记录'!$Q$2:$Q$2001,"是",'原子事实记录'!$R$2:$R$2001,"FP"))</f>
        <v/>
      </c>
      <c r="J170" s="5">
        <f>IF(COUNTA(A170:G170)&lt;7,"",COUNTIFS('原子事实记录'!$C$2:$C$2001,$D170,'原子事实记录'!$E$2:$E$2001,$A170,'原子事实记录'!$F$2:$F$2001,$B170,'原子事实记录'!$G$2:$G$2001,$C170,'原子事实记录'!$I$2:$I$2001,$E170,'原子事实记录'!$J$2:$J$2001,$F170,'原子事实记录'!$Q$2:$Q$2001,"是",'原子事实记录'!$R$2:$R$2001,"FN"))</f>
        <v/>
      </c>
      <c r="K170" s="5">
        <f>IF(COUNTA(A170:G170)&lt;7,"",COUNTIFS('原子事实记录'!$C$2:$C$2001,$D170,'原子事实记录'!$E$2:$E$2001,$A170,'原子事实记录'!$F$2:$F$2001,$B170,'原子事实记录'!$G$2:$G$2001,$C170,'原子事实记录'!$I$2:$I$2001,$E170,'原子事实记录'!$J$2:$J$2001,$F170,'原子事实记录'!$Q$2:$Q$2001,"是",'原子事实记录'!$R$2:$R$2001,"TN"))</f>
        <v/>
      </c>
      <c r="L170" s="5">
        <f>IF(COUNTA(A170:G170)&lt;7,"",COUNTIFS('原子事实记录'!$C$2:$C$2001,$D170,'原子事实记录'!$E$2:$E$2001,$A170,'原子事实记录'!$F$2:$F$2001,$B170,'原子事实记录'!$G$2:$G$2001,$C170,'原子事实记录'!$I$2:$I$2001,$E170,'原子事实记录'!$J$2:$J$2001,$F170,'原子事实记录'!$Q$2:$Q$2001,"是",'原子事实记录'!$R$2:$R$2001,"未知"))</f>
        <v/>
      </c>
      <c r="M170" s="3" t="n"/>
      <c r="N170" s="3" t="n"/>
      <c r="O170" s="5">
        <f>IF(OR(G170="",M170="",N170=""),"",M170+IF(G170="肯定主张正确率",H170,IF(G170="否定主张正确率",K170,IF(G170="灵敏度",H170,K170))))</f>
        <v/>
      </c>
      <c r="P170" s="5">
        <f>IF(OR(G170="",M170="",N170=""),"",N170+IF(G170="肯定主张正确率",I170,IF(G170="否定主张正确率",J170,IF(G170="灵敏度",J170,I170))))</f>
        <v/>
      </c>
      <c r="Q170" s="7">
        <f>IF(OR(O170="",P170=""),"",O170/(O170+P170))</f>
        <v/>
      </c>
      <c r="R170" s="7">
        <f>IF(Q170="","",BETA.INV(0.025,O170,P170))</f>
        <v/>
      </c>
      <c r="S170" s="7">
        <f>IF(Q170="","",BETA.INV(0.975,O170,P170))</f>
        <v/>
      </c>
      <c r="T170" s="5">
        <f>IF(OR(O170="",P170=""),"",O170+P170-M170-N170)</f>
        <v/>
      </c>
      <c r="U170" s="5">
        <f>IF(T170="","先填完整分组",IF(T170&lt;30,"样本太少：仅描述",IF(T170&lt;100,"只作试点候选","可进入独立验证")))</f>
        <v/>
      </c>
      <c r="V170" s="3" t="n"/>
      <c r="W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5">
        <f>IF(COUNTA(A171:G171)&lt;7,"",COUNTIFS('原子事实记录'!$C$2:$C$2001,$D171,'原子事实记录'!$E$2:$E$2001,$A171,'原子事实记录'!$F$2:$F$2001,$B171,'原子事实记录'!$G$2:$G$2001,$C171,'原子事实记录'!$I$2:$I$2001,$E171,'原子事实记录'!$J$2:$J$2001,$F171,'原子事实记录'!$Q$2:$Q$2001,"是",'原子事实记录'!$R$2:$R$2001,"TP"))</f>
        <v/>
      </c>
      <c r="I171" s="5">
        <f>IF(COUNTA(A171:G171)&lt;7,"",COUNTIFS('原子事实记录'!$C$2:$C$2001,$D171,'原子事实记录'!$E$2:$E$2001,$A171,'原子事实记录'!$F$2:$F$2001,$B171,'原子事实记录'!$G$2:$G$2001,$C171,'原子事实记录'!$I$2:$I$2001,$E171,'原子事实记录'!$J$2:$J$2001,$F171,'原子事实记录'!$Q$2:$Q$2001,"是",'原子事实记录'!$R$2:$R$2001,"FP"))</f>
        <v/>
      </c>
      <c r="J171" s="5">
        <f>IF(COUNTA(A171:G171)&lt;7,"",COUNTIFS('原子事实记录'!$C$2:$C$2001,$D171,'原子事实记录'!$E$2:$E$2001,$A171,'原子事实记录'!$F$2:$F$2001,$B171,'原子事实记录'!$G$2:$G$2001,$C171,'原子事实记录'!$I$2:$I$2001,$E171,'原子事实记录'!$J$2:$J$2001,$F171,'原子事实记录'!$Q$2:$Q$2001,"是",'原子事实记录'!$R$2:$R$2001,"FN"))</f>
        <v/>
      </c>
      <c r="K171" s="5">
        <f>IF(COUNTA(A171:G171)&lt;7,"",COUNTIFS('原子事实记录'!$C$2:$C$2001,$D171,'原子事实记录'!$E$2:$E$2001,$A171,'原子事实记录'!$F$2:$F$2001,$B171,'原子事实记录'!$G$2:$G$2001,$C171,'原子事实记录'!$I$2:$I$2001,$E171,'原子事实记录'!$J$2:$J$2001,$F171,'原子事实记录'!$Q$2:$Q$2001,"是",'原子事实记录'!$R$2:$R$2001,"TN"))</f>
        <v/>
      </c>
      <c r="L171" s="5">
        <f>IF(COUNTA(A171:G171)&lt;7,"",COUNTIFS('原子事实记录'!$C$2:$C$2001,$D171,'原子事实记录'!$E$2:$E$2001,$A171,'原子事实记录'!$F$2:$F$2001,$B171,'原子事实记录'!$G$2:$G$2001,$C171,'原子事实记录'!$I$2:$I$2001,$E171,'原子事实记录'!$J$2:$J$2001,$F171,'原子事实记录'!$Q$2:$Q$2001,"是",'原子事实记录'!$R$2:$R$2001,"未知"))</f>
        <v/>
      </c>
      <c r="M171" s="3" t="n"/>
      <c r="N171" s="3" t="n"/>
      <c r="O171" s="5">
        <f>IF(OR(G171="",M171="",N171=""),"",M171+IF(G171="肯定主张正确率",H171,IF(G171="否定主张正确率",K171,IF(G171="灵敏度",H171,K171))))</f>
        <v/>
      </c>
      <c r="P171" s="5">
        <f>IF(OR(G171="",M171="",N171=""),"",N171+IF(G171="肯定主张正确率",I171,IF(G171="否定主张正确率",J171,IF(G171="灵敏度",J171,I171))))</f>
        <v/>
      </c>
      <c r="Q171" s="7">
        <f>IF(OR(O171="",P171=""),"",O171/(O171+P171))</f>
        <v/>
      </c>
      <c r="R171" s="7">
        <f>IF(Q171="","",BETA.INV(0.025,O171,P171))</f>
        <v/>
      </c>
      <c r="S171" s="7">
        <f>IF(Q171="","",BETA.INV(0.975,O171,P171))</f>
        <v/>
      </c>
      <c r="T171" s="5">
        <f>IF(OR(O171="",P171=""),"",O171+P171-M171-N171)</f>
        <v/>
      </c>
      <c r="U171" s="5">
        <f>IF(T171="","先填完整分组",IF(T171&lt;30,"样本太少：仅描述",IF(T171&lt;100,"只作试点候选","可进入独立验证")))</f>
        <v/>
      </c>
      <c r="V171" s="3" t="n"/>
      <c r="W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5">
        <f>IF(COUNTA(A172:G172)&lt;7,"",COUNTIFS('原子事实记录'!$C$2:$C$2001,$D172,'原子事实记录'!$E$2:$E$2001,$A172,'原子事实记录'!$F$2:$F$2001,$B172,'原子事实记录'!$G$2:$G$2001,$C172,'原子事实记录'!$I$2:$I$2001,$E172,'原子事实记录'!$J$2:$J$2001,$F172,'原子事实记录'!$Q$2:$Q$2001,"是",'原子事实记录'!$R$2:$R$2001,"TP"))</f>
        <v/>
      </c>
      <c r="I172" s="5">
        <f>IF(COUNTA(A172:G172)&lt;7,"",COUNTIFS('原子事实记录'!$C$2:$C$2001,$D172,'原子事实记录'!$E$2:$E$2001,$A172,'原子事实记录'!$F$2:$F$2001,$B172,'原子事实记录'!$G$2:$G$2001,$C172,'原子事实记录'!$I$2:$I$2001,$E172,'原子事实记录'!$J$2:$J$2001,$F172,'原子事实记录'!$Q$2:$Q$2001,"是",'原子事实记录'!$R$2:$R$2001,"FP"))</f>
        <v/>
      </c>
      <c r="J172" s="5">
        <f>IF(COUNTA(A172:G172)&lt;7,"",COUNTIFS('原子事实记录'!$C$2:$C$2001,$D172,'原子事实记录'!$E$2:$E$2001,$A172,'原子事实记录'!$F$2:$F$2001,$B172,'原子事实记录'!$G$2:$G$2001,$C172,'原子事实记录'!$I$2:$I$2001,$E172,'原子事实记录'!$J$2:$J$2001,$F172,'原子事实记录'!$Q$2:$Q$2001,"是",'原子事实记录'!$R$2:$R$2001,"FN"))</f>
        <v/>
      </c>
      <c r="K172" s="5">
        <f>IF(COUNTA(A172:G172)&lt;7,"",COUNTIFS('原子事实记录'!$C$2:$C$2001,$D172,'原子事实记录'!$E$2:$E$2001,$A172,'原子事实记录'!$F$2:$F$2001,$B172,'原子事实记录'!$G$2:$G$2001,$C172,'原子事实记录'!$I$2:$I$2001,$E172,'原子事实记录'!$J$2:$J$2001,$F172,'原子事实记录'!$Q$2:$Q$2001,"是",'原子事实记录'!$R$2:$R$2001,"TN"))</f>
        <v/>
      </c>
      <c r="L172" s="5">
        <f>IF(COUNTA(A172:G172)&lt;7,"",COUNTIFS('原子事实记录'!$C$2:$C$2001,$D172,'原子事实记录'!$E$2:$E$2001,$A172,'原子事实记录'!$F$2:$F$2001,$B172,'原子事实记录'!$G$2:$G$2001,$C172,'原子事实记录'!$I$2:$I$2001,$E172,'原子事实记录'!$J$2:$J$2001,$F172,'原子事实记录'!$Q$2:$Q$2001,"是",'原子事实记录'!$R$2:$R$2001,"未知"))</f>
        <v/>
      </c>
      <c r="M172" s="3" t="n"/>
      <c r="N172" s="3" t="n"/>
      <c r="O172" s="5">
        <f>IF(OR(G172="",M172="",N172=""),"",M172+IF(G172="肯定主张正确率",H172,IF(G172="否定主张正确率",K172,IF(G172="灵敏度",H172,K172))))</f>
        <v/>
      </c>
      <c r="P172" s="5">
        <f>IF(OR(G172="",M172="",N172=""),"",N172+IF(G172="肯定主张正确率",I172,IF(G172="否定主张正确率",J172,IF(G172="灵敏度",J172,I172))))</f>
        <v/>
      </c>
      <c r="Q172" s="7">
        <f>IF(OR(O172="",P172=""),"",O172/(O172+P172))</f>
        <v/>
      </c>
      <c r="R172" s="7">
        <f>IF(Q172="","",BETA.INV(0.025,O172,P172))</f>
        <v/>
      </c>
      <c r="S172" s="7">
        <f>IF(Q172="","",BETA.INV(0.975,O172,P172))</f>
        <v/>
      </c>
      <c r="T172" s="5">
        <f>IF(OR(O172="",P172=""),"",O172+P172-M172-N172)</f>
        <v/>
      </c>
      <c r="U172" s="5">
        <f>IF(T172="","先填完整分组",IF(T172&lt;30,"样本太少：仅描述",IF(T172&lt;100,"只作试点候选","可进入独立验证")))</f>
        <v/>
      </c>
      <c r="V172" s="3" t="n"/>
      <c r="W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5">
        <f>IF(COUNTA(A173:G173)&lt;7,"",COUNTIFS('原子事实记录'!$C$2:$C$2001,$D173,'原子事实记录'!$E$2:$E$2001,$A173,'原子事实记录'!$F$2:$F$2001,$B173,'原子事实记录'!$G$2:$G$2001,$C173,'原子事实记录'!$I$2:$I$2001,$E173,'原子事实记录'!$J$2:$J$2001,$F173,'原子事实记录'!$Q$2:$Q$2001,"是",'原子事实记录'!$R$2:$R$2001,"TP"))</f>
        <v/>
      </c>
      <c r="I173" s="5">
        <f>IF(COUNTA(A173:G173)&lt;7,"",COUNTIFS('原子事实记录'!$C$2:$C$2001,$D173,'原子事实记录'!$E$2:$E$2001,$A173,'原子事实记录'!$F$2:$F$2001,$B173,'原子事实记录'!$G$2:$G$2001,$C173,'原子事实记录'!$I$2:$I$2001,$E173,'原子事实记录'!$J$2:$J$2001,$F173,'原子事实记录'!$Q$2:$Q$2001,"是",'原子事实记录'!$R$2:$R$2001,"FP"))</f>
        <v/>
      </c>
      <c r="J173" s="5">
        <f>IF(COUNTA(A173:G173)&lt;7,"",COUNTIFS('原子事实记录'!$C$2:$C$2001,$D173,'原子事实记录'!$E$2:$E$2001,$A173,'原子事实记录'!$F$2:$F$2001,$B173,'原子事实记录'!$G$2:$G$2001,$C173,'原子事实记录'!$I$2:$I$2001,$E173,'原子事实记录'!$J$2:$J$2001,$F173,'原子事实记录'!$Q$2:$Q$2001,"是",'原子事实记录'!$R$2:$R$2001,"FN"))</f>
        <v/>
      </c>
      <c r="K173" s="5">
        <f>IF(COUNTA(A173:G173)&lt;7,"",COUNTIFS('原子事实记录'!$C$2:$C$2001,$D173,'原子事实记录'!$E$2:$E$2001,$A173,'原子事实记录'!$F$2:$F$2001,$B173,'原子事实记录'!$G$2:$G$2001,$C173,'原子事实记录'!$I$2:$I$2001,$E173,'原子事实记录'!$J$2:$J$2001,$F173,'原子事实记录'!$Q$2:$Q$2001,"是",'原子事实记录'!$R$2:$R$2001,"TN"))</f>
        <v/>
      </c>
      <c r="L173" s="5">
        <f>IF(COUNTA(A173:G173)&lt;7,"",COUNTIFS('原子事实记录'!$C$2:$C$2001,$D173,'原子事实记录'!$E$2:$E$2001,$A173,'原子事实记录'!$F$2:$F$2001,$B173,'原子事实记录'!$G$2:$G$2001,$C173,'原子事实记录'!$I$2:$I$2001,$E173,'原子事实记录'!$J$2:$J$2001,$F173,'原子事实记录'!$Q$2:$Q$2001,"是",'原子事实记录'!$R$2:$R$2001,"未知"))</f>
        <v/>
      </c>
      <c r="M173" s="3" t="n"/>
      <c r="N173" s="3" t="n"/>
      <c r="O173" s="5">
        <f>IF(OR(G173="",M173="",N173=""),"",M173+IF(G173="肯定主张正确率",H173,IF(G173="否定主张正确率",K173,IF(G173="灵敏度",H173,K173))))</f>
        <v/>
      </c>
      <c r="P173" s="5">
        <f>IF(OR(G173="",M173="",N173=""),"",N173+IF(G173="肯定主张正确率",I173,IF(G173="否定主张正确率",J173,IF(G173="灵敏度",J173,I173))))</f>
        <v/>
      </c>
      <c r="Q173" s="7">
        <f>IF(OR(O173="",P173=""),"",O173/(O173+P173))</f>
        <v/>
      </c>
      <c r="R173" s="7">
        <f>IF(Q173="","",BETA.INV(0.025,O173,P173))</f>
        <v/>
      </c>
      <c r="S173" s="7">
        <f>IF(Q173="","",BETA.INV(0.975,O173,P173))</f>
        <v/>
      </c>
      <c r="T173" s="5">
        <f>IF(OR(O173="",P173=""),"",O173+P173-M173-N173)</f>
        <v/>
      </c>
      <c r="U173" s="5">
        <f>IF(T173="","先填完整分组",IF(T173&lt;30,"样本太少：仅描述",IF(T173&lt;100,"只作试点候选","可进入独立验证")))</f>
        <v/>
      </c>
      <c r="V173" s="3" t="n"/>
      <c r="W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5">
        <f>IF(COUNTA(A174:G174)&lt;7,"",COUNTIFS('原子事实记录'!$C$2:$C$2001,$D174,'原子事实记录'!$E$2:$E$2001,$A174,'原子事实记录'!$F$2:$F$2001,$B174,'原子事实记录'!$G$2:$G$2001,$C174,'原子事实记录'!$I$2:$I$2001,$E174,'原子事实记录'!$J$2:$J$2001,$F174,'原子事实记录'!$Q$2:$Q$2001,"是",'原子事实记录'!$R$2:$R$2001,"TP"))</f>
        <v/>
      </c>
      <c r="I174" s="5">
        <f>IF(COUNTA(A174:G174)&lt;7,"",COUNTIFS('原子事实记录'!$C$2:$C$2001,$D174,'原子事实记录'!$E$2:$E$2001,$A174,'原子事实记录'!$F$2:$F$2001,$B174,'原子事实记录'!$G$2:$G$2001,$C174,'原子事实记录'!$I$2:$I$2001,$E174,'原子事实记录'!$J$2:$J$2001,$F174,'原子事实记录'!$Q$2:$Q$2001,"是",'原子事实记录'!$R$2:$R$2001,"FP"))</f>
        <v/>
      </c>
      <c r="J174" s="5">
        <f>IF(COUNTA(A174:G174)&lt;7,"",COUNTIFS('原子事实记录'!$C$2:$C$2001,$D174,'原子事实记录'!$E$2:$E$2001,$A174,'原子事实记录'!$F$2:$F$2001,$B174,'原子事实记录'!$G$2:$G$2001,$C174,'原子事实记录'!$I$2:$I$2001,$E174,'原子事实记录'!$J$2:$J$2001,$F174,'原子事实记录'!$Q$2:$Q$2001,"是",'原子事实记录'!$R$2:$R$2001,"FN"))</f>
        <v/>
      </c>
      <c r="K174" s="5">
        <f>IF(COUNTA(A174:G174)&lt;7,"",COUNTIFS('原子事实记录'!$C$2:$C$2001,$D174,'原子事实记录'!$E$2:$E$2001,$A174,'原子事实记录'!$F$2:$F$2001,$B174,'原子事实记录'!$G$2:$G$2001,$C174,'原子事实记录'!$I$2:$I$2001,$E174,'原子事实记录'!$J$2:$J$2001,$F174,'原子事实记录'!$Q$2:$Q$2001,"是",'原子事实记录'!$R$2:$R$2001,"TN"))</f>
        <v/>
      </c>
      <c r="L174" s="5">
        <f>IF(COUNTA(A174:G174)&lt;7,"",COUNTIFS('原子事实记录'!$C$2:$C$2001,$D174,'原子事实记录'!$E$2:$E$2001,$A174,'原子事实记录'!$F$2:$F$2001,$B174,'原子事实记录'!$G$2:$G$2001,$C174,'原子事实记录'!$I$2:$I$2001,$E174,'原子事实记录'!$J$2:$J$2001,$F174,'原子事实记录'!$Q$2:$Q$2001,"是",'原子事实记录'!$R$2:$R$2001,"未知"))</f>
        <v/>
      </c>
      <c r="M174" s="3" t="n"/>
      <c r="N174" s="3" t="n"/>
      <c r="O174" s="5">
        <f>IF(OR(G174="",M174="",N174=""),"",M174+IF(G174="肯定主张正确率",H174,IF(G174="否定主张正确率",K174,IF(G174="灵敏度",H174,K174))))</f>
        <v/>
      </c>
      <c r="P174" s="5">
        <f>IF(OR(G174="",M174="",N174=""),"",N174+IF(G174="肯定主张正确率",I174,IF(G174="否定主张正确率",J174,IF(G174="灵敏度",J174,I174))))</f>
        <v/>
      </c>
      <c r="Q174" s="7">
        <f>IF(OR(O174="",P174=""),"",O174/(O174+P174))</f>
        <v/>
      </c>
      <c r="R174" s="7">
        <f>IF(Q174="","",BETA.INV(0.025,O174,P174))</f>
        <v/>
      </c>
      <c r="S174" s="7">
        <f>IF(Q174="","",BETA.INV(0.975,O174,P174))</f>
        <v/>
      </c>
      <c r="T174" s="5">
        <f>IF(OR(O174="",P174=""),"",O174+P174-M174-N174)</f>
        <v/>
      </c>
      <c r="U174" s="5">
        <f>IF(T174="","先填完整分组",IF(T174&lt;30,"样本太少：仅描述",IF(T174&lt;100,"只作试点候选","可进入独立验证")))</f>
        <v/>
      </c>
      <c r="V174" s="3" t="n"/>
      <c r="W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5">
        <f>IF(COUNTA(A175:G175)&lt;7,"",COUNTIFS('原子事实记录'!$C$2:$C$2001,$D175,'原子事实记录'!$E$2:$E$2001,$A175,'原子事实记录'!$F$2:$F$2001,$B175,'原子事实记录'!$G$2:$G$2001,$C175,'原子事实记录'!$I$2:$I$2001,$E175,'原子事实记录'!$J$2:$J$2001,$F175,'原子事实记录'!$Q$2:$Q$2001,"是",'原子事实记录'!$R$2:$R$2001,"TP"))</f>
        <v/>
      </c>
      <c r="I175" s="5">
        <f>IF(COUNTA(A175:G175)&lt;7,"",COUNTIFS('原子事实记录'!$C$2:$C$2001,$D175,'原子事实记录'!$E$2:$E$2001,$A175,'原子事实记录'!$F$2:$F$2001,$B175,'原子事实记录'!$G$2:$G$2001,$C175,'原子事实记录'!$I$2:$I$2001,$E175,'原子事实记录'!$J$2:$J$2001,$F175,'原子事实记录'!$Q$2:$Q$2001,"是",'原子事实记录'!$R$2:$R$2001,"FP"))</f>
        <v/>
      </c>
      <c r="J175" s="5">
        <f>IF(COUNTA(A175:G175)&lt;7,"",COUNTIFS('原子事实记录'!$C$2:$C$2001,$D175,'原子事实记录'!$E$2:$E$2001,$A175,'原子事实记录'!$F$2:$F$2001,$B175,'原子事实记录'!$G$2:$G$2001,$C175,'原子事实记录'!$I$2:$I$2001,$E175,'原子事实记录'!$J$2:$J$2001,$F175,'原子事实记录'!$Q$2:$Q$2001,"是",'原子事实记录'!$R$2:$R$2001,"FN"))</f>
        <v/>
      </c>
      <c r="K175" s="5">
        <f>IF(COUNTA(A175:G175)&lt;7,"",COUNTIFS('原子事实记录'!$C$2:$C$2001,$D175,'原子事实记录'!$E$2:$E$2001,$A175,'原子事实记录'!$F$2:$F$2001,$B175,'原子事实记录'!$G$2:$G$2001,$C175,'原子事实记录'!$I$2:$I$2001,$E175,'原子事实记录'!$J$2:$J$2001,$F175,'原子事实记录'!$Q$2:$Q$2001,"是",'原子事实记录'!$R$2:$R$2001,"TN"))</f>
        <v/>
      </c>
      <c r="L175" s="5">
        <f>IF(COUNTA(A175:G175)&lt;7,"",COUNTIFS('原子事实记录'!$C$2:$C$2001,$D175,'原子事实记录'!$E$2:$E$2001,$A175,'原子事实记录'!$F$2:$F$2001,$B175,'原子事实记录'!$G$2:$G$2001,$C175,'原子事实记录'!$I$2:$I$2001,$E175,'原子事实记录'!$J$2:$J$2001,$F175,'原子事实记录'!$Q$2:$Q$2001,"是",'原子事实记录'!$R$2:$R$2001,"未知"))</f>
        <v/>
      </c>
      <c r="M175" s="3" t="n"/>
      <c r="N175" s="3" t="n"/>
      <c r="O175" s="5">
        <f>IF(OR(G175="",M175="",N175=""),"",M175+IF(G175="肯定主张正确率",H175,IF(G175="否定主张正确率",K175,IF(G175="灵敏度",H175,K175))))</f>
        <v/>
      </c>
      <c r="P175" s="5">
        <f>IF(OR(G175="",M175="",N175=""),"",N175+IF(G175="肯定主张正确率",I175,IF(G175="否定主张正确率",J175,IF(G175="灵敏度",J175,I175))))</f>
        <v/>
      </c>
      <c r="Q175" s="7">
        <f>IF(OR(O175="",P175=""),"",O175/(O175+P175))</f>
        <v/>
      </c>
      <c r="R175" s="7">
        <f>IF(Q175="","",BETA.INV(0.025,O175,P175))</f>
        <v/>
      </c>
      <c r="S175" s="7">
        <f>IF(Q175="","",BETA.INV(0.975,O175,P175))</f>
        <v/>
      </c>
      <c r="T175" s="5">
        <f>IF(OR(O175="",P175=""),"",O175+P175-M175-N175)</f>
        <v/>
      </c>
      <c r="U175" s="5">
        <f>IF(T175="","先填完整分组",IF(T175&lt;30,"样本太少：仅描述",IF(T175&lt;100,"只作试点候选","可进入独立验证")))</f>
        <v/>
      </c>
      <c r="V175" s="3" t="n"/>
      <c r="W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5">
        <f>IF(COUNTA(A176:G176)&lt;7,"",COUNTIFS('原子事实记录'!$C$2:$C$2001,$D176,'原子事实记录'!$E$2:$E$2001,$A176,'原子事实记录'!$F$2:$F$2001,$B176,'原子事实记录'!$G$2:$G$2001,$C176,'原子事实记录'!$I$2:$I$2001,$E176,'原子事实记录'!$J$2:$J$2001,$F176,'原子事实记录'!$Q$2:$Q$2001,"是",'原子事实记录'!$R$2:$R$2001,"TP"))</f>
        <v/>
      </c>
      <c r="I176" s="5">
        <f>IF(COUNTA(A176:G176)&lt;7,"",COUNTIFS('原子事实记录'!$C$2:$C$2001,$D176,'原子事实记录'!$E$2:$E$2001,$A176,'原子事实记录'!$F$2:$F$2001,$B176,'原子事实记录'!$G$2:$G$2001,$C176,'原子事实记录'!$I$2:$I$2001,$E176,'原子事实记录'!$J$2:$J$2001,$F176,'原子事实记录'!$Q$2:$Q$2001,"是",'原子事实记录'!$R$2:$R$2001,"FP"))</f>
        <v/>
      </c>
      <c r="J176" s="5">
        <f>IF(COUNTA(A176:G176)&lt;7,"",COUNTIFS('原子事实记录'!$C$2:$C$2001,$D176,'原子事实记录'!$E$2:$E$2001,$A176,'原子事实记录'!$F$2:$F$2001,$B176,'原子事实记录'!$G$2:$G$2001,$C176,'原子事实记录'!$I$2:$I$2001,$E176,'原子事实记录'!$J$2:$J$2001,$F176,'原子事实记录'!$Q$2:$Q$2001,"是",'原子事实记录'!$R$2:$R$2001,"FN"))</f>
        <v/>
      </c>
      <c r="K176" s="5">
        <f>IF(COUNTA(A176:G176)&lt;7,"",COUNTIFS('原子事实记录'!$C$2:$C$2001,$D176,'原子事实记录'!$E$2:$E$2001,$A176,'原子事实记录'!$F$2:$F$2001,$B176,'原子事实记录'!$G$2:$G$2001,$C176,'原子事实记录'!$I$2:$I$2001,$E176,'原子事实记录'!$J$2:$J$2001,$F176,'原子事实记录'!$Q$2:$Q$2001,"是",'原子事实记录'!$R$2:$R$2001,"TN"))</f>
        <v/>
      </c>
      <c r="L176" s="5">
        <f>IF(COUNTA(A176:G176)&lt;7,"",COUNTIFS('原子事实记录'!$C$2:$C$2001,$D176,'原子事实记录'!$E$2:$E$2001,$A176,'原子事实记录'!$F$2:$F$2001,$B176,'原子事实记录'!$G$2:$G$2001,$C176,'原子事实记录'!$I$2:$I$2001,$E176,'原子事实记录'!$J$2:$J$2001,$F176,'原子事实记录'!$Q$2:$Q$2001,"是",'原子事实记录'!$R$2:$R$2001,"未知"))</f>
        <v/>
      </c>
      <c r="M176" s="3" t="n"/>
      <c r="N176" s="3" t="n"/>
      <c r="O176" s="5">
        <f>IF(OR(G176="",M176="",N176=""),"",M176+IF(G176="肯定主张正确率",H176,IF(G176="否定主张正确率",K176,IF(G176="灵敏度",H176,K176))))</f>
        <v/>
      </c>
      <c r="P176" s="5">
        <f>IF(OR(G176="",M176="",N176=""),"",N176+IF(G176="肯定主张正确率",I176,IF(G176="否定主张正确率",J176,IF(G176="灵敏度",J176,I176))))</f>
        <v/>
      </c>
      <c r="Q176" s="7">
        <f>IF(OR(O176="",P176=""),"",O176/(O176+P176))</f>
        <v/>
      </c>
      <c r="R176" s="7">
        <f>IF(Q176="","",BETA.INV(0.025,O176,P176))</f>
        <v/>
      </c>
      <c r="S176" s="7">
        <f>IF(Q176="","",BETA.INV(0.975,O176,P176))</f>
        <v/>
      </c>
      <c r="T176" s="5">
        <f>IF(OR(O176="",P176=""),"",O176+P176-M176-N176)</f>
        <v/>
      </c>
      <c r="U176" s="5">
        <f>IF(T176="","先填完整分组",IF(T176&lt;30,"样本太少：仅描述",IF(T176&lt;100,"只作试点候选","可进入独立验证")))</f>
        <v/>
      </c>
      <c r="V176" s="3" t="n"/>
      <c r="W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5">
        <f>IF(COUNTA(A177:G177)&lt;7,"",COUNTIFS('原子事实记录'!$C$2:$C$2001,$D177,'原子事实记录'!$E$2:$E$2001,$A177,'原子事实记录'!$F$2:$F$2001,$B177,'原子事实记录'!$G$2:$G$2001,$C177,'原子事实记录'!$I$2:$I$2001,$E177,'原子事实记录'!$J$2:$J$2001,$F177,'原子事实记录'!$Q$2:$Q$2001,"是",'原子事实记录'!$R$2:$R$2001,"TP"))</f>
        <v/>
      </c>
      <c r="I177" s="5">
        <f>IF(COUNTA(A177:G177)&lt;7,"",COUNTIFS('原子事实记录'!$C$2:$C$2001,$D177,'原子事实记录'!$E$2:$E$2001,$A177,'原子事实记录'!$F$2:$F$2001,$B177,'原子事实记录'!$G$2:$G$2001,$C177,'原子事实记录'!$I$2:$I$2001,$E177,'原子事实记录'!$J$2:$J$2001,$F177,'原子事实记录'!$Q$2:$Q$2001,"是",'原子事实记录'!$R$2:$R$2001,"FP"))</f>
        <v/>
      </c>
      <c r="J177" s="5">
        <f>IF(COUNTA(A177:G177)&lt;7,"",COUNTIFS('原子事实记录'!$C$2:$C$2001,$D177,'原子事实记录'!$E$2:$E$2001,$A177,'原子事实记录'!$F$2:$F$2001,$B177,'原子事实记录'!$G$2:$G$2001,$C177,'原子事实记录'!$I$2:$I$2001,$E177,'原子事实记录'!$J$2:$J$2001,$F177,'原子事实记录'!$Q$2:$Q$2001,"是",'原子事实记录'!$R$2:$R$2001,"FN"))</f>
        <v/>
      </c>
      <c r="K177" s="5">
        <f>IF(COUNTA(A177:G177)&lt;7,"",COUNTIFS('原子事实记录'!$C$2:$C$2001,$D177,'原子事实记录'!$E$2:$E$2001,$A177,'原子事实记录'!$F$2:$F$2001,$B177,'原子事实记录'!$G$2:$G$2001,$C177,'原子事实记录'!$I$2:$I$2001,$E177,'原子事实记录'!$J$2:$J$2001,$F177,'原子事实记录'!$Q$2:$Q$2001,"是",'原子事实记录'!$R$2:$R$2001,"TN"))</f>
        <v/>
      </c>
      <c r="L177" s="5">
        <f>IF(COUNTA(A177:G177)&lt;7,"",COUNTIFS('原子事实记录'!$C$2:$C$2001,$D177,'原子事实记录'!$E$2:$E$2001,$A177,'原子事实记录'!$F$2:$F$2001,$B177,'原子事实记录'!$G$2:$G$2001,$C177,'原子事实记录'!$I$2:$I$2001,$E177,'原子事实记录'!$J$2:$J$2001,$F177,'原子事实记录'!$Q$2:$Q$2001,"是",'原子事实记录'!$R$2:$R$2001,"未知"))</f>
        <v/>
      </c>
      <c r="M177" s="3" t="n"/>
      <c r="N177" s="3" t="n"/>
      <c r="O177" s="5">
        <f>IF(OR(G177="",M177="",N177=""),"",M177+IF(G177="肯定主张正确率",H177,IF(G177="否定主张正确率",K177,IF(G177="灵敏度",H177,K177))))</f>
        <v/>
      </c>
      <c r="P177" s="5">
        <f>IF(OR(G177="",M177="",N177=""),"",N177+IF(G177="肯定主张正确率",I177,IF(G177="否定主张正确率",J177,IF(G177="灵敏度",J177,I177))))</f>
        <v/>
      </c>
      <c r="Q177" s="7">
        <f>IF(OR(O177="",P177=""),"",O177/(O177+P177))</f>
        <v/>
      </c>
      <c r="R177" s="7">
        <f>IF(Q177="","",BETA.INV(0.025,O177,P177))</f>
        <v/>
      </c>
      <c r="S177" s="7">
        <f>IF(Q177="","",BETA.INV(0.975,O177,P177))</f>
        <v/>
      </c>
      <c r="T177" s="5">
        <f>IF(OR(O177="",P177=""),"",O177+P177-M177-N177)</f>
        <v/>
      </c>
      <c r="U177" s="5">
        <f>IF(T177="","先填完整分组",IF(T177&lt;30,"样本太少：仅描述",IF(T177&lt;100,"只作试点候选","可进入独立验证")))</f>
        <v/>
      </c>
      <c r="V177" s="3" t="n"/>
      <c r="W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5">
        <f>IF(COUNTA(A178:G178)&lt;7,"",COUNTIFS('原子事实记录'!$C$2:$C$2001,$D178,'原子事实记录'!$E$2:$E$2001,$A178,'原子事实记录'!$F$2:$F$2001,$B178,'原子事实记录'!$G$2:$G$2001,$C178,'原子事实记录'!$I$2:$I$2001,$E178,'原子事实记录'!$J$2:$J$2001,$F178,'原子事实记录'!$Q$2:$Q$2001,"是",'原子事实记录'!$R$2:$R$2001,"TP"))</f>
        <v/>
      </c>
      <c r="I178" s="5">
        <f>IF(COUNTA(A178:G178)&lt;7,"",COUNTIFS('原子事实记录'!$C$2:$C$2001,$D178,'原子事实记录'!$E$2:$E$2001,$A178,'原子事实记录'!$F$2:$F$2001,$B178,'原子事实记录'!$G$2:$G$2001,$C178,'原子事实记录'!$I$2:$I$2001,$E178,'原子事实记录'!$J$2:$J$2001,$F178,'原子事实记录'!$Q$2:$Q$2001,"是",'原子事实记录'!$R$2:$R$2001,"FP"))</f>
        <v/>
      </c>
      <c r="J178" s="5">
        <f>IF(COUNTA(A178:G178)&lt;7,"",COUNTIFS('原子事实记录'!$C$2:$C$2001,$D178,'原子事实记录'!$E$2:$E$2001,$A178,'原子事实记录'!$F$2:$F$2001,$B178,'原子事实记录'!$G$2:$G$2001,$C178,'原子事实记录'!$I$2:$I$2001,$E178,'原子事实记录'!$J$2:$J$2001,$F178,'原子事实记录'!$Q$2:$Q$2001,"是",'原子事实记录'!$R$2:$R$2001,"FN"))</f>
        <v/>
      </c>
      <c r="K178" s="5">
        <f>IF(COUNTA(A178:G178)&lt;7,"",COUNTIFS('原子事实记录'!$C$2:$C$2001,$D178,'原子事实记录'!$E$2:$E$2001,$A178,'原子事实记录'!$F$2:$F$2001,$B178,'原子事实记录'!$G$2:$G$2001,$C178,'原子事实记录'!$I$2:$I$2001,$E178,'原子事实记录'!$J$2:$J$2001,$F178,'原子事实记录'!$Q$2:$Q$2001,"是",'原子事实记录'!$R$2:$R$2001,"TN"))</f>
        <v/>
      </c>
      <c r="L178" s="5">
        <f>IF(COUNTA(A178:G178)&lt;7,"",COUNTIFS('原子事实记录'!$C$2:$C$2001,$D178,'原子事实记录'!$E$2:$E$2001,$A178,'原子事实记录'!$F$2:$F$2001,$B178,'原子事实记录'!$G$2:$G$2001,$C178,'原子事实记录'!$I$2:$I$2001,$E178,'原子事实记录'!$J$2:$J$2001,$F178,'原子事实记录'!$Q$2:$Q$2001,"是",'原子事实记录'!$R$2:$R$2001,"未知"))</f>
        <v/>
      </c>
      <c r="M178" s="3" t="n"/>
      <c r="N178" s="3" t="n"/>
      <c r="O178" s="5">
        <f>IF(OR(G178="",M178="",N178=""),"",M178+IF(G178="肯定主张正确率",H178,IF(G178="否定主张正确率",K178,IF(G178="灵敏度",H178,K178))))</f>
        <v/>
      </c>
      <c r="P178" s="5">
        <f>IF(OR(G178="",M178="",N178=""),"",N178+IF(G178="肯定主张正确率",I178,IF(G178="否定主张正确率",J178,IF(G178="灵敏度",J178,I178))))</f>
        <v/>
      </c>
      <c r="Q178" s="7">
        <f>IF(OR(O178="",P178=""),"",O178/(O178+P178))</f>
        <v/>
      </c>
      <c r="R178" s="7">
        <f>IF(Q178="","",BETA.INV(0.025,O178,P178))</f>
        <v/>
      </c>
      <c r="S178" s="7">
        <f>IF(Q178="","",BETA.INV(0.975,O178,P178))</f>
        <v/>
      </c>
      <c r="T178" s="5">
        <f>IF(OR(O178="",P178=""),"",O178+P178-M178-N178)</f>
        <v/>
      </c>
      <c r="U178" s="5">
        <f>IF(T178="","先填完整分组",IF(T178&lt;30,"样本太少：仅描述",IF(T178&lt;100,"只作试点候选","可进入独立验证")))</f>
        <v/>
      </c>
      <c r="V178" s="3" t="n"/>
      <c r="W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5">
        <f>IF(COUNTA(A179:G179)&lt;7,"",COUNTIFS('原子事实记录'!$C$2:$C$2001,$D179,'原子事实记录'!$E$2:$E$2001,$A179,'原子事实记录'!$F$2:$F$2001,$B179,'原子事实记录'!$G$2:$G$2001,$C179,'原子事实记录'!$I$2:$I$2001,$E179,'原子事实记录'!$J$2:$J$2001,$F179,'原子事实记录'!$Q$2:$Q$2001,"是",'原子事实记录'!$R$2:$R$2001,"TP"))</f>
        <v/>
      </c>
      <c r="I179" s="5">
        <f>IF(COUNTA(A179:G179)&lt;7,"",COUNTIFS('原子事实记录'!$C$2:$C$2001,$D179,'原子事实记录'!$E$2:$E$2001,$A179,'原子事实记录'!$F$2:$F$2001,$B179,'原子事实记录'!$G$2:$G$2001,$C179,'原子事实记录'!$I$2:$I$2001,$E179,'原子事实记录'!$J$2:$J$2001,$F179,'原子事实记录'!$Q$2:$Q$2001,"是",'原子事实记录'!$R$2:$R$2001,"FP"))</f>
        <v/>
      </c>
      <c r="J179" s="5">
        <f>IF(COUNTA(A179:G179)&lt;7,"",COUNTIFS('原子事实记录'!$C$2:$C$2001,$D179,'原子事实记录'!$E$2:$E$2001,$A179,'原子事实记录'!$F$2:$F$2001,$B179,'原子事实记录'!$G$2:$G$2001,$C179,'原子事实记录'!$I$2:$I$2001,$E179,'原子事实记录'!$J$2:$J$2001,$F179,'原子事实记录'!$Q$2:$Q$2001,"是",'原子事实记录'!$R$2:$R$2001,"FN"))</f>
        <v/>
      </c>
      <c r="K179" s="5">
        <f>IF(COUNTA(A179:G179)&lt;7,"",COUNTIFS('原子事实记录'!$C$2:$C$2001,$D179,'原子事实记录'!$E$2:$E$2001,$A179,'原子事实记录'!$F$2:$F$2001,$B179,'原子事实记录'!$G$2:$G$2001,$C179,'原子事实记录'!$I$2:$I$2001,$E179,'原子事实记录'!$J$2:$J$2001,$F179,'原子事实记录'!$Q$2:$Q$2001,"是",'原子事实记录'!$R$2:$R$2001,"TN"))</f>
        <v/>
      </c>
      <c r="L179" s="5">
        <f>IF(COUNTA(A179:G179)&lt;7,"",COUNTIFS('原子事实记录'!$C$2:$C$2001,$D179,'原子事实记录'!$E$2:$E$2001,$A179,'原子事实记录'!$F$2:$F$2001,$B179,'原子事实记录'!$G$2:$G$2001,$C179,'原子事实记录'!$I$2:$I$2001,$E179,'原子事实记录'!$J$2:$J$2001,$F179,'原子事实记录'!$Q$2:$Q$2001,"是",'原子事实记录'!$R$2:$R$2001,"未知"))</f>
        <v/>
      </c>
      <c r="M179" s="3" t="n"/>
      <c r="N179" s="3" t="n"/>
      <c r="O179" s="5">
        <f>IF(OR(G179="",M179="",N179=""),"",M179+IF(G179="肯定主张正确率",H179,IF(G179="否定主张正确率",K179,IF(G179="灵敏度",H179,K179))))</f>
        <v/>
      </c>
      <c r="P179" s="5">
        <f>IF(OR(G179="",M179="",N179=""),"",N179+IF(G179="肯定主张正确率",I179,IF(G179="否定主张正确率",J179,IF(G179="灵敏度",J179,I179))))</f>
        <v/>
      </c>
      <c r="Q179" s="7">
        <f>IF(OR(O179="",P179=""),"",O179/(O179+P179))</f>
        <v/>
      </c>
      <c r="R179" s="7">
        <f>IF(Q179="","",BETA.INV(0.025,O179,P179))</f>
        <v/>
      </c>
      <c r="S179" s="7">
        <f>IF(Q179="","",BETA.INV(0.975,O179,P179))</f>
        <v/>
      </c>
      <c r="T179" s="5">
        <f>IF(OR(O179="",P179=""),"",O179+P179-M179-N179)</f>
        <v/>
      </c>
      <c r="U179" s="5">
        <f>IF(T179="","先填完整分组",IF(T179&lt;30,"样本太少：仅描述",IF(T179&lt;100,"只作试点候选","可进入独立验证")))</f>
        <v/>
      </c>
      <c r="V179" s="3" t="n"/>
      <c r="W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5">
        <f>IF(COUNTA(A180:G180)&lt;7,"",COUNTIFS('原子事实记录'!$C$2:$C$2001,$D180,'原子事实记录'!$E$2:$E$2001,$A180,'原子事实记录'!$F$2:$F$2001,$B180,'原子事实记录'!$G$2:$G$2001,$C180,'原子事实记录'!$I$2:$I$2001,$E180,'原子事实记录'!$J$2:$J$2001,$F180,'原子事实记录'!$Q$2:$Q$2001,"是",'原子事实记录'!$R$2:$R$2001,"TP"))</f>
        <v/>
      </c>
      <c r="I180" s="5">
        <f>IF(COUNTA(A180:G180)&lt;7,"",COUNTIFS('原子事实记录'!$C$2:$C$2001,$D180,'原子事实记录'!$E$2:$E$2001,$A180,'原子事实记录'!$F$2:$F$2001,$B180,'原子事实记录'!$G$2:$G$2001,$C180,'原子事实记录'!$I$2:$I$2001,$E180,'原子事实记录'!$J$2:$J$2001,$F180,'原子事实记录'!$Q$2:$Q$2001,"是",'原子事实记录'!$R$2:$R$2001,"FP"))</f>
        <v/>
      </c>
      <c r="J180" s="5">
        <f>IF(COUNTA(A180:G180)&lt;7,"",COUNTIFS('原子事实记录'!$C$2:$C$2001,$D180,'原子事实记录'!$E$2:$E$2001,$A180,'原子事实记录'!$F$2:$F$2001,$B180,'原子事实记录'!$G$2:$G$2001,$C180,'原子事实记录'!$I$2:$I$2001,$E180,'原子事实记录'!$J$2:$J$2001,$F180,'原子事实记录'!$Q$2:$Q$2001,"是",'原子事实记录'!$R$2:$R$2001,"FN"))</f>
        <v/>
      </c>
      <c r="K180" s="5">
        <f>IF(COUNTA(A180:G180)&lt;7,"",COUNTIFS('原子事实记录'!$C$2:$C$2001,$D180,'原子事实记录'!$E$2:$E$2001,$A180,'原子事实记录'!$F$2:$F$2001,$B180,'原子事实记录'!$G$2:$G$2001,$C180,'原子事实记录'!$I$2:$I$2001,$E180,'原子事实记录'!$J$2:$J$2001,$F180,'原子事实记录'!$Q$2:$Q$2001,"是",'原子事实记录'!$R$2:$R$2001,"TN"))</f>
        <v/>
      </c>
      <c r="L180" s="5">
        <f>IF(COUNTA(A180:G180)&lt;7,"",COUNTIFS('原子事实记录'!$C$2:$C$2001,$D180,'原子事实记录'!$E$2:$E$2001,$A180,'原子事实记录'!$F$2:$F$2001,$B180,'原子事实记录'!$G$2:$G$2001,$C180,'原子事实记录'!$I$2:$I$2001,$E180,'原子事实记录'!$J$2:$J$2001,$F180,'原子事实记录'!$Q$2:$Q$2001,"是",'原子事实记录'!$R$2:$R$2001,"未知"))</f>
        <v/>
      </c>
      <c r="M180" s="3" t="n"/>
      <c r="N180" s="3" t="n"/>
      <c r="O180" s="5">
        <f>IF(OR(G180="",M180="",N180=""),"",M180+IF(G180="肯定主张正确率",H180,IF(G180="否定主张正确率",K180,IF(G180="灵敏度",H180,K180))))</f>
        <v/>
      </c>
      <c r="P180" s="5">
        <f>IF(OR(G180="",M180="",N180=""),"",N180+IF(G180="肯定主张正确率",I180,IF(G180="否定主张正确率",J180,IF(G180="灵敏度",J180,I180))))</f>
        <v/>
      </c>
      <c r="Q180" s="7">
        <f>IF(OR(O180="",P180=""),"",O180/(O180+P180))</f>
        <v/>
      </c>
      <c r="R180" s="7">
        <f>IF(Q180="","",BETA.INV(0.025,O180,P180))</f>
        <v/>
      </c>
      <c r="S180" s="7">
        <f>IF(Q180="","",BETA.INV(0.975,O180,P180))</f>
        <v/>
      </c>
      <c r="T180" s="5">
        <f>IF(OR(O180="",P180=""),"",O180+P180-M180-N180)</f>
        <v/>
      </c>
      <c r="U180" s="5">
        <f>IF(T180="","先填完整分组",IF(T180&lt;30,"样本太少：仅描述",IF(T180&lt;100,"只作试点候选","可进入独立验证")))</f>
        <v/>
      </c>
      <c r="V180" s="3" t="n"/>
      <c r="W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5">
        <f>IF(COUNTA(A181:G181)&lt;7,"",COUNTIFS('原子事实记录'!$C$2:$C$2001,$D181,'原子事实记录'!$E$2:$E$2001,$A181,'原子事实记录'!$F$2:$F$2001,$B181,'原子事实记录'!$G$2:$G$2001,$C181,'原子事实记录'!$I$2:$I$2001,$E181,'原子事实记录'!$J$2:$J$2001,$F181,'原子事实记录'!$Q$2:$Q$2001,"是",'原子事实记录'!$R$2:$R$2001,"TP"))</f>
        <v/>
      </c>
      <c r="I181" s="5">
        <f>IF(COUNTA(A181:G181)&lt;7,"",COUNTIFS('原子事实记录'!$C$2:$C$2001,$D181,'原子事实记录'!$E$2:$E$2001,$A181,'原子事实记录'!$F$2:$F$2001,$B181,'原子事实记录'!$G$2:$G$2001,$C181,'原子事实记录'!$I$2:$I$2001,$E181,'原子事实记录'!$J$2:$J$2001,$F181,'原子事实记录'!$Q$2:$Q$2001,"是",'原子事实记录'!$R$2:$R$2001,"FP"))</f>
        <v/>
      </c>
      <c r="J181" s="5">
        <f>IF(COUNTA(A181:G181)&lt;7,"",COUNTIFS('原子事实记录'!$C$2:$C$2001,$D181,'原子事实记录'!$E$2:$E$2001,$A181,'原子事实记录'!$F$2:$F$2001,$B181,'原子事实记录'!$G$2:$G$2001,$C181,'原子事实记录'!$I$2:$I$2001,$E181,'原子事实记录'!$J$2:$J$2001,$F181,'原子事实记录'!$Q$2:$Q$2001,"是",'原子事实记录'!$R$2:$R$2001,"FN"))</f>
        <v/>
      </c>
      <c r="K181" s="5">
        <f>IF(COUNTA(A181:G181)&lt;7,"",COUNTIFS('原子事实记录'!$C$2:$C$2001,$D181,'原子事实记录'!$E$2:$E$2001,$A181,'原子事实记录'!$F$2:$F$2001,$B181,'原子事实记录'!$G$2:$G$2001,$C181,'原子事实记录'!$I$2:$I$2001,$E181,'原子事实记录'!$J$2:$J$2001,$F181,'原子事实记录'!$Q$2:$Q$2001,"是",'原子事实记录'!$R$2:$R$2001,"TN"))</f>
        <v/>
      </c>
      <c r="L181" s="5">
        <f>IF(COUNTA(A181:G181)&lt;7,"",COUNTIFS('原子事实记录'!$C$2:$C$2001,$D181,'原子事实记录'!$E$2:$E$2001,$A181,'原子事实记录'!$F$2:$F$2001,$B181,'原子事实记录'!$G$2:$G$2001,$C181,'原子事实记录'!$I$2:$I$2001,$E181,'原子事实记录'!$J$2:$J$2001,$F181,'原子事实记录'!$Q$2:$Q$2001,"是",'原子事实记录'!$R$2:$R$2001,"未知"))</f>
        <v/>
      </c>
      <c r="M181" s="3" t="n"/>
      <c r="N181" s="3" t="n"/>
      <c r="O181" s="5">
        <f>IF(OR(G181="",M181="",N181=""),"",M181+IF(G181="肯定主张正确率",H181,IF(G181="否定主张正确率",K181,IF(G181="灵敏度",H181,K181))))</f>
        <v/>
      </c>
      <c r="P181" s="5">
        <f>IF(OR(G181="",M181="",N181=""),"",N181+IF(G181="肯定主张正确率",I181,IF(G181="否定主张正确率",J181,IF(G181="灵敏度",J181,I181))))</f>
        <v/>
      </c>
      <c r="Q181" s="7">
        <f>IF(OR(O181="",P181=""),"",O181/(O181+P181))</f>
        <v/>
      </c>
      <c r="R181" s="7">
        <f>IF(Q181="","",BETA.INV(0.025,O181,P181))</f>
        <v/>
      </c>
      <c r="S181" s="7">
        <f>IF(Q181="","",BETA.INV(0.975,O181,P181))</f>
        <v/>
      </c>
      <c r="T181" s="5">
        <f>IF(OR(O181="",P181=""),"",O181+P181-M181-N181)</f>
        <v/>
      </c>
      <c r="U181" s="5">
        <f>IF(T181="","先填完整分组",IF(T181&lt;30,"样本太少：仅描述",IF(T181&lt;100,"只作试点候选","可进入独立验证")))</f>
        <v/>
      </c>
      <c r="V181" s="3" t="n"/>
      <c r="W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5">
        <f>IF(COUNTA(A182:G182)&lt;7,"",COUNTIFS('原子事实记录'!$C$2:$C$2001,$D182,'原子事实记录'!$E$2:$E$2001,$A182,'原子事实记录'!$F$2:$F$2001,$B182,'原子事实记录'!$G$2:$G$2001,$C182,'原子事实记录'!$I$2:$I$2001,$E182,'原子事实记录'!$J$2:$J$2001,$F182,'原子事实记录'!$Q$2:$Q$2001,"是",'原子事实记录'!$R$2:$R$2001,"TP"))</f>
        <v/>
      </c>
      <c r="I182" s="5">
        <f>IF(COUNTA(A182:G182)&lt;7,"",COUNTIFS('原子事实记录'!$C$2:$C$2001,$D182,'原子事实记录'!$E$2:$E$2001,$A182,'原子事实记录'!$F$2:$F$2001,$B182,'原子事实记录'!$G$2:$G$2001,$C182,'原子事实记录'!$I$2:$I$2001,$E182,'原子事实记录'!$J$2:$J$2001,$F182,'原子事实记录'!$Q$2:$Q$2001,"是",'原子事实记录'!$R$2:$R$2001,"FP"))</f>
        <v/>
      </c>
      <c r="J182" s="5">
        <f>IF(COUNTA(A182:G182)&lt;7,"",COUNTIFS('原子事实记录'!$C$2:$C$2001,$D182,'原子事实记录'!$E$2:$E$2001,$A182,'原子事实记录'!$F$2:$F$2001,$B182,'原子事实记录'!$G$2:$G$2001,$C182,'原子事实记录'!$I$2:$I$2001,$E182,'原子事实记录'!$J$2:$J$2001,$F182,'原子事实记录'!$Q$2:$Q$2001,"是",'原子事实记录'!$R$2:$R$2001,"FN"))</f>
        <v/>
      </c>
      <c r="K182" s="5">
        <f>IF(COUNTA(A182:G182)&lt;7,"",COUNTIFS('原子事实记录'!$C$2:$C$2001,$D182,'原子事实记录'!$E$2:$E$2001,$A182,'原子事实记录'!$F$2:$F$2001,$B182,'原子事实记录'!$G$2:$G$2001,$C182,'原子事实记录'!$I$2:$I$2001,$E182,'原子事实记录'!$J$2:$J$2001,$F182,'原子事实记录'!$Q$2:$Q$2001,"是",'原子事实记录'!$R$2:$R$2001,"TN"))</f>
        <v/>
      </c>
      <c r="L182" s="5">
        <f>IF(COUNTA(A182:G182)&lt;7,"",COUNTIFS('原子事实记录'!$C$2:$C$2001,$D182,'原子事实记录'!$E$2:$E$2001,$A182,'原子事实记录'!$F$2:$F$2001,$B182,'原子事实记录'!$G$2:$G$2001,$C182,'原子事实记录'!$I$2:$I$2001,$E182,'原子事实记录'!$J$2:$J$2001,$F182,'原子事实记录'!$Q$2:$Q$2001,"是",'原子事实记录'!$R$2:$R$2001,"未知"))</f>
        <v/>
      </c>
      <c r="M182" s="3" t="n"/>
      <c r="N182" s="3" t="n"/>
      <c r="O182" s="5">
        <f>IF(OR(G182="",M182="",N182=""),"",M182+IF(G182="肯定主张正确率",H182,IF(G182="否定主张正确率",K182,IF(G182="灵敏度",H182,K182))))</f>
        <v/>
      </c>
      <c r="P182" s="5">
        <f>IF(OR(G182="",M182="",N182=""),"",N182+IF(G182="肯定主张正确率",I182,IF(G182="否定主张正确率",J182,IF(G182="灵敏度",J182,I182))))</f>
        <v/>
      </c>
      <c r="Q182" s="7">
        <f>IF(OR(O182="",P182=""),"",O182/(O182+P182))</f>
        <v/>
      </c>
      <c r="R182" s="7">
        <f>IF(Q182="","",BETA.INV(0.025,O182,P182))</f>
        <v/>
      </c>
      <c r="S182" s="7">
        <f>IF(Q182="","",BETA.INV(0.975,O182,P182))</f>
        <v/>
      </c>
      <c r="T182" s="5">
        <f>IF(OR(O182="",P182=""),"",O182+P182-M182-N182)</f>
        <v/>
      </c>
      <c r="U182" s="5">
        <f>IF(T182="","先填完整分组",IF(T182&lt;30,"样本太少：仅描述",IF(T182&lt;100,"只作试点候选","可进入独立验证")))</f>
        <v/>
      </c>
      <c r="V182" s="3" t="n"/>
      <c r="W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5">
        <f>IF(COUNTA(A183:G183)&lt;7,"",COUNTIFS('原子事实记录'!$C$2:$C$2001,$D183,'原子事实记录'!$E$2:$E$2001,$A183,'原子事实记录'!$F$2:$F$2001,$B183,'原子事实记录'!$G$2:$G$2001,$C183,'原子事实记录'!$I$2:$I$2001,$E183,'原子事实记录'!$J$2:$J$2001,$F183,'原子事实记录'!$Q$2:$Q$2001,"是",'原子事实记录'!$R$2:$R$2001,"TP"))</f>
        <v/>
      </c>
      <c r="I183" s="5">
        <f>IF(COUNTA(A183:G183)&lt;7,"",COUNTIFS('原子事实记录'!$C$2:$C$2001,$D183,'原子事实记录'!$E$2:$E$2001,$A183,'原子事实记录'!$F$2:$F$2001,$B183,'原子事实记录'!$G$2:$G$2001,$C183,'原子事实记录'!$I$2:$I$2001,$E183,'原子事实记录'!$J$2:$J$2001,$F183,'原子事实记录'!$Q$2:$Q$2001,"是",'原子事实记录'!$R$2:$R$2001,"FP"))</f>
        <v/>
      </c>
      <c r="J183" s="5">
        <f>IF(COUNTA(A183:G183)&lt;7,"",COUNTIFS('原子事实记录'!$C$2:$C$2001,$D183,'原子事实记录'!$E$2:$E$2001,$A183,'原子事实记录'!$F$2:$F$2001,$B183,'原子事实记录'!$G$2:$G$2001,$C183,'原子事实记录'!$I$2:$I$2001,$E183,'原子事实记录'!$J$2:$J$2001,$F183,'原子事实记录'!$Q$2:$Q$2001,"是",'原子事实记录'!$R$2:$R$2001,"FN"))</f>
        <v/>
      </c>
      <c r="K183" s="5">
        <f>IF(COUNTA(A183:G183)&lt;7,"",COUNTIFS('原子事实记录'!$C$2:$C$2001,$D183,'原子事实记录'!$E$2:$E$2001,$A183,'原子事实记录'!$F$2:$F$2001,$B183,'原子事实记录'!$G$2:$G$2001,$C183,'原子事实记录'!$I$2:$I$2001,$E183,'原子事实记录'!$J$2:$J$2001,$F183,'原子事实记录'!$Q$2:$Q$2001,"是",'原子事实记录'!$R$2:$R$2001,"TN"))</f>
        <v/>
      </c>
      <c r="L183" s="5">
        <f>IF(COUNTA(A183:G183)&lt;7,"",COUNTIFS('原子事实记录'!$C$2:$C$2001,$D183,'原子事实记录'!$E$2:$E$2001,$A183,'原子事实记录'!$F$2:$F$2001,$B183,'原子事实记录'!$G$2:$G$2001,$C183,'原子事实记录'!$I$2:$I$2001,$E183,'原子事实记录'!$J$2:$J$2001,$F183,'原子事实记录'!$Q$2:$Q$2001,"是",'原子事实记录'!$R$2:$R$2001,"未知"))</f>
        <v/>
      </c>
      <c r="M183" s="3" t="n"/>
      <c r="N183" s="3" t="n"/>
      <c r="O183" s="5">
        <f>IF(OR(G183="",M183="",N183=""),"",M183+IF(G183="肯定主张正确率",H183,IF(G183="否定主张正确率",K183,IF(G183="灵敏度",H183,K183))))</f>
        <v/>
      </c>
      <c r="P183" s="5">
        <f>IF(OR(G183="",M183="",N183=""),"",N183+IF(G183="肯定主张正确率",I183,IF(G183="否定主张正确率",J183,IF(G183="灵敏度",J183,I183))))</f>
        <v/>
      </c>
      <c r="Q183" s="7">
        <f>IF(OR(O183="",P183=""),"",O183/(O183+P183))</f>
        <v/>
      </c>
      <c r="R183" s="7">
        <f>IF(Q183="","",BETA.INV(0.025,O183,P183))</f>
        <v/>
      </c>
      <c r="S183" s="7">
        <f>IF(Q183="","",BETA.INV(0.975,O183,P183))</f>
        <v/>
      </c>
      <c r="T183" s="5">
        <f>IF(OR(O183="",P183=""),"",O183+P183-M183-N183)</f>
        <v/>
      </c>
      <c r="U183" s="5">
        <f>IF(T183="","先填完整分组",IF(T183&lt;30,"样本太少：仅描述",IF(T183&lt;100,"只作试点候选","可进入独立验证")))</f>
        <v/>
      </c>
      <c r="V183" s="3" t="n"/>
      <c r="W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5">
        <f>IF(COUNTA(A184:G184)&lt;7,"",COUNTIFS('原子事实记录'!$C$2:$C$2001,$D184,'原子事实记录'!$E$2:$E$2001,$A184,'原子事实记录'!$F$2:$F$2001,$B184,'原子事实记录'!$G$2:$G$2001,$C184,'原子事实记录'!$I$2:$I$2001,$E184,'原子事实记录'!$J$2:$J$2001,$F184,'原子事实记录'!$Q$2:$Q$2001,"是",'原子事实记录'!$R$2:$R$2001,"TP"))</f>
        <v/>
      </c>
      <c r="I184" s="5">
        <f>IF(COUNTA(A184:G184)&lt;7,"",COUNTIFS('原子事实记录'!$C$2:$C$2001,$D184,'原子事实记录'!$E$2:$E$2001,$A184,'原子事实记录'!$F$2:$F$2001,$B184,'原子事实记录'!$G$2:$G$2001,$C184,'原子事实记录'!$I$2:$I$2001,$E184,'原子事实记录'!$J$2:$J$2001,$F184,'原子事实记录'!$Q$2:$Q$2001,"是",'原子事实记录'!$R$2:$R$2001,"FP"))</f>
        <v/>
      </c>
      <c r="J184" s="5">
        <f>IF(COUNTA(A184:G184)&lt;7,"",COUNTIFS('原子事实记录'!$C$2:$C$2001,$D184,'原子事实记录'!$E$2:$E$2001,$A184,'原子事实记录'!$F$2:$F$2001,$B184,'原子事实记录'!$G$2:$G$2001,$C184,'原子事实记录'!$I$2:$I$2001,$E184,'原子事实记录'!$J$2:$J$2001,$F184,'原子事实记录'!$Q$2:$Q$2001,"是",'原子事实记录'!$R$2:$R$2001,"FN"))</f>
        <v/>
      </c>
      <c r="K184" s="5">
        <f>IF(COUNTA(A184:G184)&lt;7,"",COUNTIFS('原子事实记录'!$C$2:$C$2001,$D184,'原子事实记录'!$E$2:$E$2001,$A184,'原子事实记录'!$F$2:$F$2001,$B184,'原子事实记录'!$G$2:$G$2001,$C184,'原子事实记录'!$I$2:$I$2001,$E184,'原子事实记录'!$J$2:$J$2001,$F184,'原子事实记录'!$Q$2:$Q$2001,"是",'原子事实记录'!$R$2:$R$2001,"TN"))</f>
        <v/>
      </c>
      <c r="L184" s="5">
        <f>IF(COUNTA(A184:G184)&lt;7,"",COUNTIFS('原子事实记录'!$C$2:$C$2001,$D184,'原子事实记录'!$E$2:$E$2001,$A184,'原子事实记录'!$F$2:$F$2001,$B184,'原子事实记录'!$G$2:$G$2001,$C184,'原子事实记录'!$I$2:$I$2001,$E184,'原子事实记录'!$J$2:$J$2001,$F184,'原子事实记录'!$Q$2:$Q$2001,"是",'原子事实记录'!$R$2:$R$2001,"未知"))</f>
        <v/>
      </c>
      <c r="M184" s="3" t="n"/>
      <c r="N184" s="3" t="n"/>
      <c r="O184" s="5">
        <f>IF(OR(G184="",M184="",N184=""),"",M184+IF(G184="肯定主张正确率",H184,IF(G184="否定主张正确率",K184,IF(G184="灵敏度",H184,K184))))</f>
        <v/>
      </c>
      <c r="P184" s="5">
        <f>IF(OR(G184="",M184="",N184=""),"",N184+IF(G184="肯定主张正确率",I184,IF(G184="否定主张正确率",J184,IF(G184="灵敏度",J184,I184))))</f>
        <v/>
      </c>
      <c r="Q184" s="7">
        <f>IF(OR(O184="",P184=""),"",O184/(O184+P184))</f>
        <v/>
      </c>
      <c r="R184" s="7">
        <f>IF(Q184="","",BETA.INV(0.025,O184,P184))</f>
        <v/>
      </c>
      <c r="S184" s="7">
        <f>IF(Q184="","",BETA.INV(0.975,O184,P184))</f>
        <v/>
      </c>
      <c r="T184" s="5">
        <f>IF(OR(O184="",P184=""),"",O184+P184-M184-N184)</f>
        <v/>
      </c>
      <c r="U184" s="5">
        <f>IF(T184="","先填完整分组",IF(T184&lt;30,"样本太少：仅描述",IF(T184&lt;100,"只作试点候选","可进入独立验证")))</f>
        <v/>
      </c>
      <c r="V184" s="3" t="n"/>
      <c r="W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5">
        <f>IF(COUNTA(A185:G185)&lt;7,"",COUNTIFS('原子事实记录'!$C$2:$C$2001,$D185,'原子事实记录'!$E$2:$E$2001,$A185,'原子事实记录'!$F$2:$F$2001,$B185,'原子事实记录'!$G$2:$G$2001,$C185,'原子事实记录'!$I$2:$I$2001,$E185,'原子事实记录'!$J$2:$J$2001,$F185,'原子事实记录'!$Q$2:$Q$2001,"是",'原子事实记录'!$R$2:$R$2001,"TP"))</f>
        <v/>
      </c>
      <c r="I185" s="5">
        <f>IF(COUNTA(A185:G185)&lt;7,"",COUNTIFS('原子事实记录'!$C$2:$C$2001,$D185,'原子事实记录'!$E$2:$E$2001,$A185,'原子事实记录'!$F$2:$F$2001,$B185,'原子事实记录'!$G$2:$G$2001,$C185,'原子事实记录'!$I$2:$I$2001,$E185,'原子事实记录'!$J$2:$J$2001,$F185,'原子事实记录'!$Q$2:$Q$2001,"是",'原子事实记录'!$R$2:$R$2001,"FP"))</f>
        <v/>
      </c>
      <c r="J185" s="5">
        <f>IF(COUNTA(A185:G185)&lt;7,"",COUNTIFS('原子事实记录'!$C$2:$C$2001,$D185,'原子事实记录'!$E$2:$E$2001,$A185,'原子事实记录'!$F$2:$F$2001,$B185,'原子事实记录'!$G$2:$G$2001,$C185,'原子事实记录'!$I$2:$I$2001,$E185,'原子事实记录'!$J$2:$J$2001,$F185,'原子事实记录'!$Q$2:$Q$2001,"是",'原子事实记录'!$R$2:$R$2001,"FN"))</f>
        <v/>
      </c>
      <c r="K185" s="5">
        <f>IF(COUNTA(A185:G185)&lt;7,"",COUNTIFS('原子事实记录'!$C$2:$C$2001,$D185,'原子事实记录'!$E$2:$E$2001,$A185,'原子事实记录'!$F$2:$F$2001,$B185,'原子事实记录'!$G$2:$G$2001,$C185,'原子事实记录'!$I$2:$I$2001,$E185,'原子事实记录'!$J$2:$J$2001,$F185,'原子事实记录'!$Q$2:$Q$2001,"是",'原子事实记录'!$R$2:$R$2001,"TN"))</f>
        <v/>
      </c>
      <c r="L185" s="5">
        <f>IF(COUNTA(A185:G185)&lt;7,"",COUNTIFS('原子事实记录'!$C$2:$C$2001,$D185,'原子事实记录'!$E$2:$E$2001,$A185,'原子事实记录'!$F$2:$F$2001,$B185,'原子事实记录'!$G$2:$G$2001,$C185,'原子事实记录'!$I$2:$I$2001,$E185,'原子事实记录'!$J$2:$J$2001,$F185,'原子事实记录'!$Q$2:$Q$2001,"是",'原子事实记录'!$R$2:$R$2001,"未知"))</f>
        <v/>
      </c>
      <c r="M185" s="3" t="n"/>
      <c r="N185" s="3" t="n"/>
      <c r="O185" s="5">
        <f>IF(OR(G185="",M185="",N185=""),"",M185+IF(G185="肯定主张正确率",H185,IF(G185="否定主张正确率",K185,IF(G185="灵敏度",H185,K185))))</f>
        <v/>
      </c>
      <c r="P185" s="5">
        <f>IF(OR(G185="",M185="",N185=""),"",N185+IF(G185="肯定主张正确率",I185,IF(G185="否定主张正确率",J185,IF(G185="灵敏度",J185,I185))))</f>
        <v/>
      </c>
      <c r="Q185" s="7">
        <f>IF(OR(O185="",P185=""),"",O185/(O185+P185))</f>
        <v/>
      </c>
      <c r="R185" s="7">
        <f>IF(Q185="","",BETA.INV(0.025,O185,P185))</f>
        <v/>
      </c>
      <c r="S185" s="7">
        <f>IF(Q185="","",BETA.INV(0.975,O185,P185))</f>
        <v/>
      </c>
      <c r="T185" s="5">
        <f>IF(OR(O185="",P185=""),"",O185+P185-M185-N185)</f>
        <v/>
      </c>
      <c r="U185" s="5">
        <f>IF(T185="","先填完整分组",IF(T185&lt;30,"样本太少：仅描述",IF(T185&lt;100,"只作试点候选","可进入独立验证")))</f>
        <v/>
      </c>
      <c r="V185" s="3" t="n"/>
      <c r="W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5">
        <f>IF(COUNTA(A186:G186)&lt;7,"",COUNTIFS('原子事实记录'!$C$2:$C$2001,$D186,'原子事实记录'!$E$2:$E$2001,$A186,'原子事实记录'!$F$2:$F$2001,$B186,'原子事实记录'!$G$2:$G$2001,$C186,'原子事实记录'!$I$2:$I$2001,$E186,'原子事实记录'!$J$2:$J$2001,$F186,'原子事实记录'!$Q$2:$Q$2001,"是",'原子事实记录'!$R$2:$R$2001,"TP"))</f>
        <v/>
      </c>
      <c r="I186" s="5">
        <f>IF(COUNTA(A186:G186)&lt;7,"",COUNTIFS('原子事实记录'!$C$2:$C$2001,$D186,'原子事实记录'!$E$2:$E$2001,$A186,'原子事实记录'!$F$2:$F$2001,$B186,'原子事实记录'!$G$2:$G$2001,$C186,'原子事实记录'!$I$2:$I$2001,$E186,'原子事实记录'!$J$2:$J$2001,$F186,'原子事实记录'!$Q$2:$Q$2001,"是",'原子事实记录'!$R$2:$R$2001,"FP"))</f>
        <v/>
      </c>
      <c r="J186" s="5">
        <f>IF(COUNTA(A186:G186)&lt;7,"",COUNTIFS('原子事实记录'!$C$2:$C$2001,$D186,'原子事实记录'!$E$2:$E$2001,$A186,'原子事实记录'!$F$2:$F$2001,$B186,'原子事实记录'!$G$2:$G$2001,$C186,'原子事实记录'!$I$2:$I$2001,$E186,'原子事实记录'!$J$2:$J$2001,$F186,'原子事实记录'!$Q$2:$Q$2001,"是",'原子事实记录'!$R$2:$R$2001,"FN"))</f>
        <v/>
      </c>
      <c r="K186" s="5">
        <f>IF(COUNTA(A186:G186)&lt;7,"",COUNTIFS('原子事实记录'!$C$2:$C$2001,$D186,'原子事实记录'!$E$2:$E$2001,$A186,'原子事实记录'!$F$2:$F$2001,$B186,'原子事实记录'!$G$2:$G$2001,$C186,'原子事实记录'!$I$2:$I$2001,$E186,'原子事实记录'!$J$2:$J$2001,$F186,'原子事实记录'!$Q$2:$Q$2001,"是",'原子事实记录'!$R$2:$R$2001,"TN"))</f>
        <v/>
      </c>
      <c r="L186" s="5">
        <f>IF(COUNTA(A186:G186)&lt;7,"",COUNTIFS('原子事实记录'!$C$2:$C$2001,$D186,'原子事实记录'!$E$2:$E$2001,$A186,'原子事实记录'!$F$2:$F$2001,$B186,'原子事实记录'!$G$2:$G$2001,$C186,'原子事实记录'!$I$2:$I$2001,$E186,'原子事实记录'!$J$2:$J$2001,$F186,'原子事实记录'!$Q$2:$Q$2001,"是",'原子事实记录'!$R$2:$R$2001,"未知"))</f>
        <v/>
      </c>
      <c r="M186" s="3" t="n"/>
      <c r="N186" s="3" t="n"/>
      <c r="O186" s="5">
        <f>IF(OR(G186="",M186="",N186=""),"",M186+IF(G186="肯定主张正确率",H186,IF(G186="否定主张正确率",K186,IF(G186="灵敏度",H186,K186))))</f>
        <v/>
      </c>
      <c r="P186" s="5">
        <f>IF(OR(G186="",M186="",N186=""),"",N186+IF(G186="肯定主张正确率",I186,IF(G186="否定主张正确率",J186,IF(G186="灵敏度",J186,I186))))</f>
        <v/>
      </c>
      <c r="Q186" s="7">
        <f>IF(OR(O186="",P186=""),"",O186/(O186+P186))</f>
        <v/>
      </c>
      <c r="R186" s="7">
        <f>IF(Q186="","",BETA.INV(0.025,O186,P186))</f>
        <v/>
      </c>
      <c r="S186" s="7">
        <f>IF(Q186="","",BETA.INV(0.975,O186,P186))</f>
        <v/>
      </c>
      <c r="T186" s="5">
        <f>IF(OR(O186="",P186=""),"",O186+P186-M186-N186)</f>
        <v/>
      </c>
      <c r="U186" s="5">
        <f>IF(T186="","先填完整分组",IF(T186&lt;30,"样本太少：仅描述",IF(T186&lt;100,"只作试点候选","可进入独立验证")))</f>
        <v/>
      </c>
      <c r="V186" s="3" t="n"/>
      <c r="W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5">
        <f>IF(COUNTA(A187:G187)&lt;7,"",COUNTIFS('原子事实记录'!$C$2:$C$2001,$D187,'原子事实记录'!$E$2:$E$2001,$A187,'原子事实记录'!$F$2:$F$2001,$B187,'原子事实记录'!$G$2:$G$2001,$C187,'原子事实记录'!$I$2:$I$2001,$E187,'原子事实记录'!$J$2:$J$2001,$F187,'原子事实记录'!$Q$2:$Q$2001,"是",'原子事实记录'!$R$2:$R$2001,"TP"))</f>
        <v/>
      </c>
      <c r="I187" s="5">
        <f>IF(COUNTA(A187:G187)&lt;7,"",COUNTIFS('原子事实记录'!$C$2:$C$2001,$D187,'原子事实记录'!$E$2:$E$2001,$A187,'原子事实记录'!$F$2:$F$2001,$B187,'原子事实记录'!$G$2:$G$2001,$C187,'原子事实记录'!$I$2:$I$2001,$E187,'原子事实记录'!$J$2:$J$2001,$F187,'原子事实记录'!$Q$2:$Q$2001,"是",'原子事实记录'!$R$2:$R$2001,"FP"))</f>
        <v/>
      </c>
      <c r="J187" s="5">
        <f>IF(COUNTA(A187:G187)&lt;7,"",COUNTIFS('原子事实记录'!$C$2:$C$2001,$D187,'原子事实记录'!$E$2:$E$2001,$A187,'原子事实记录'!$F$2:$F$2001,$B187,'原子事实记录'!$G$2:$G$2001,$C187,'原子事实记录'!$I$2:$I$2001,$E187,'原子事实记录'!$J$2:$J$2001,$F187,'原子事实记录'!$Q$2:$Q$2001,"是",'原子事实记录'!$R$2:$R$2001,"FN"))</f>
        <v/>
      </c>
      <c r="K187" s="5">
        <f>IF(COUNTA(A187:G187)&lt;7,"",COUNTIFS('原子事实记录'!$C$2:$C$2001,$D187,'原子事实记录'!$E$2:$E$2001,$A187,'原子事实记录'!$F$2:$F$2001,$B187,'原子事实记录'!$G$2:$G$2001,$C187,'原子事实记录'!$I$2:$I$2001,$E187,'原子事实记录'!$J$2:$J$2001,$F187,'原子事实记录'!$Q$2:$Q$2001,"是",'原子事实记录'!$R$2:$R$2001,"TN"))</f>
        <v/>
      </c>
      <c r="L187" s="5">
        <f>IF(COUNTA(A187:G187)&lt;7,"",COUNTIFS('原子事实记录'!$C$2:$C$2001,$D187,'原子事实记录'!$E$2:$E$2001,$A187,'原子事实记录'!$F$2:$F$2001,$B187,'原子事实记录'!$G$2:$G$2001,$C187,'原子事实记录'!$I$2:$I$2001,$E187,'原子事实记录'!$J$2:$J$2001,$F187,'原子事实记录'!$Q$2:$Q$2001,"是",'原子事实记录'!$R$2:$R$2001,"未知"))</f>
        <v/>
      </c>
      <c r="M187" s="3" t="n"/>
      <c r="N187" s="3" t="n"/>
      <c r="O187" s="5">
        <f>IF(OR(G187="",M187="",N187=""),"",M187+IF(G187="肯定主张正确率",H187,IF(G187="否定主张正确率",K187,IF(G187="灵敏度",H187,K187))))</f>
        <v/>
      </c>
      <c r="P187" s="5">
        <f>IF(OR(G187="",M187="",N187=""),"",N187+IF(G187="肯定主张正确率",I187,IF(G187="否定主张正确率",J187,IF(G187="灵敏度",J187,I187))))</f>
        <v/>
      </c>
      <c r="Q187" s="7">
        <f>IF(OR(O187="",P187=""),"",O187/(O187+P187))</f>
        <v/>
      </c>
      <c r="R187" s="7">
        <f>IF(Q187="","",BETA.INV(0.025,O187,P187))</f>
        <v/>
      </c>
      <c r="S187" s="7">
        <f>IF(Q187="","",BETA.INV(0.975,O187,P187))</f>
        <v/>
      </c>
      <c r="T187" s="5">
        <f>IF(OR(O187="",P187=""),"",O187+P187-M187-N187)</f>
        <v/>
      </c>
      <c r="U187" s="5">
        <f>IF(T187="","先填完整分组",IF(T187&lt;30,"样本太少：仅描述",IF(T187&lt;100,"只作试点候选","可进入独立验证")))</f>
        <v/>
      </c>
      <c r="V187" s="3" t="n"/>
      <c r="W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5">
        <f>IF(COUNTA(A188:G188)&lt;7,"",COUNTIFS('原子事实记录'!$C$2:$C$2001,$D188,'原子事实记录'!$E$2:$E$2001,$A188,'原子事实记录'!$F$2:$F$2001,$B188,'原子事实记录'!$G$2:$G$2001,$C188,'原子事实记录'!$I$2:$I$2001,$E188,'原子事实记录'!$J$2:$J$2001,$F188,'原子事实记录'!$Q$2:$Q$2001,"是",'原子事实记录'!$R$2:$R$2001,"TP"))</f>
        <v/>
      </c>
      <c r="I188" s="5">
        <f>IF(COUNTA(A188:G188)&lt;7,"",COUNTIFS('原子事实记录'!$C$2:$C$2001,$D188,'原子事实记录'!$E$2:$E$2001,$A188,'原子事实记录'!$F$2:$F$2001,$B188,'原子事实记录'!$G$2:$G$2001,$C188,'原子事实记录'!$I$2:$I$2001,$E188,'原子事实记录'!$J$2:$J$2001,$F188,'原子事实记录'!$Q$2:$Q$2001,"是",'原子事实记录'!$R$2:$R$2001,"FP"))</f>
        <v/>
      </c>
      <c r="J188" s="5">
        <f>IF(COUNTA(A188:G188)&lt;7,"",COUNTIFS('原子事实记录'!$C$2:$C$2001,$D188,'原子事实记录'!$E$2:$E$2001,$A188,'原子事实记录'!$F$2:$F$2001,$B188,'原子事实记录'!$G$2:$G$2001,$C188,'原子事实记录'!$I$2:$I$2001,$E188,'原子事实记录'!$J$2:$J$2001,$F188,'原子事实记录'!$Q$2:$Q$2001,"是",'原子事实记录'!$R$2:$R$2001,"FN"))</f>
        <v/>
      </c>
      <c r="K188" s="5">
        <f>IF(COUNTA(A188:G188)&lt;7,"",COUNTIFS('原子事实记录'!$C$2:$C$2001,$D188,'原子事实记录'!$E$2:$E$2001,$A188,'原子事实记录'!$F$2:$F$2001,$B188,'原子事实记录'!$G$2:$G$2001,$C188,'原子事实记录'!$I$2:$I$2001,$E188,'原子事实记录'!$J$2:$J$2001,$F188,'原子事实记录'!$Q$2:$Q$2001,"是",'原子事实记录'!$R$2:$R$2001,"TN"))</f>
        <v/>
      </c>
      <c r="L188" s="5">
        <f>IF(COUNTA(A188:G188)&lt;7,"",COUNTIFS('原子事实记录'!$C$2:$C$2001,$D188,'原子事实记录'!$E$2:$E$2001,$A188,'原子事实记录'!$F$2:$F$2001,$B188,'原子事实记录'!$G$2:$G$2001,$C188,'原子事实记录'!$I$2:$I$2001,$E188,'原子事实记录'!$J$2:$J$2001,$F188,'原子事实记录'!$Q$2:$Q$2001,"是",'原子事实记录'!$R$2:$R$2001,"未知"))</f>
        <v/>
      </c>
      <c r="M188" s="3" t="n"/>
      <c r="N188" s="3" t="n"/>
      <c r="O188" s="5">
        <f>IF(OR(G188="",M188="",N188=""),"",M188+IF(G188="肯定主张正确率",H188,IF(G188="否定主张正确率",K188,IF(G188="灵敏度",H188,K188))))</f>
        <v/>
      </c>
      <c r="P188" s="5">
        <f>IF(OR(G188="",M188="",N188=""),"",N188+IF(G188="肯定主张正确率",I188,IF(G188="否定主张正确率",J188,IF(G188="灵敏度",J188,I188))))</f>
        <v/>
      </c>
      <c r="Q188" s="7">
        <f>IF(OR(O188="",P188=""),"",O188/(O188+P188))</f>
        <v/>
      </c>
      <c r="R188" s="7">
        <f>IF(Q188="","",BETA.INV(0.025,O188,P188))</f>
        <v/>
      </c>
      <c r="S188" s="7">
        <f>IF(Q188="","",BETA.INV(0.975,O188,P188))</f>
        <v/>
      </c>
      <c r="T188" s="5">
        <f>IF(OR(O188="",P188=""),"",O188+P188-M188-N188)</f>
        <v/>
      </c>
      <c r="U188" s="5">
        <f>IF(T188="","先填完整分组",IF(T188&lt;30,"样本太少：仅描述",IF(T188&lt;100,"只作试点候选","可进入独立验证")))</f>
        <v/>
      </c>
      <c r="V188" s="3" t="n"/>
      <c r="W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5">
        <f>IF(COUNTA(A189:G189)&lt;7,"",COUNTIFS('原子事实记录'!$C$2:$C$2001,$D189,'原子事实记录'!$E$2:$E$2001,$A189,'原子事实记录'!$F$2:$F$2001,$B189,'原子事实记录'!$G$2:$G$2001,$C189,'原子事实记录'!$I$2:$I$2001,$E189,'原子事实记录'!$J$2:$J$2001,$F189,'原子事实记录'!$Q$2:$Q$2001,"是",'原子事实记录'!$R$2:$R$2001,"TP"))</f>
        <v/>
      </c>
      <c r="I189" s="5">
        <f>IF(COUNTA(A189:G189)&lt;7,"",COUNTIFS('原子事实记录'!$C$2:$C$2001,$D189,'原子事实记录'!$E$2:$E$2001,$A189,'原子事实记录'!$F$2:$F$2001,$B189,'原子事实记录'!$G$2:$G$2001,$C189,'原子事实记录'!$I$2:$I$2001,$E189,'原子事实记录'!$J$2:$J$2001,$F189,'原子事实记录'!$Q$2:$Q$2001,"是",'原子事实记录'!$R$2:$R$2001,"FP"))</f>
        <v/>
      </c>
      <c r="J189" s="5">
        <f>IF(COUNTA(A189:G189)&lt;7,"",COUNTIFS('原子事实记录'!$C$2:$C$2001,$D189,'原子事实记录'!$E$2:$E$2001,$A189,'原子事实记录'!$F$2:$F$2001,$B189,'原子事实记录'!$G$2:$G$2001,$C189,'原子事实记录'!$I$2:$I$2001,$E189,'原子事实记录'!$J$2:$J$2001,$F189,'原子事实记录'!$Q$2:$Q$2001,"是",'原子事实记录'!$R$2:$R$2001,"FN"))</f>
        <v/>
      </c>
      <c r="K189" s="5">
        <f>IF(COUNTA(A189:G189)&lt;7,"",COUNTIFS('原子事实记录'!$C$2:$C$2001,$D189,'原子事实记录'!$E$2:$E$2001,$A189,'原子事实记录'!$F$2:$F$2001,$B189,'原子事实记录'!$G$2:$G$2001,$C189,'原子事实记录'!$I$2:$I$2001,$E189,'原子事实记录'!$J$2:$J$2001,$F189,'原子事实记录'!$Q$2:$Q$2001,"是",'原子事实记录'!$R$2:$R$2001,"TN"))</f>
        <v/>
      </c>
      <c r="L189" s="5">
        <f>IF(COUNTA(A189:G189)&lt;7,"",COUNTIFS('原子事实记录'!$C$2:$C$2001,$D189,'原子事实记录'!$E$2:$E$2001,$A189,'原子事实记录'!$F$2:$F$2001,$B189,'原子事实记录'!$G$2:$G$2001,$C189,'原子事实记录'!$I$2:$I$2001,$E189,'原子事实记录'!$J$2:$J$2001,$F189,'原子事实记录'!$Q$2:$Q$2001,"是",'原子事实记录'!$R$2:$R$2001,"未知"))</f>
        <v/>
      </c>
      <c r="M189" s="3" t="n"/>
      <c r="N189" s="3" t="n"/>
      <c r="O189" s="5">
        <f>IF(OR(G189="",M189="",N189=""),"",M189+IF(G189="肯定主张正确率",H189,IF(G189="否定主张正确率",K189,IF(G189="灵敏度",H189,K189))))</f>
        <v/>
      </c>
      <c r="P189" s="5">
        <f>IF(OR(G189="",M189="",N189=""),"",N189+IF(G189="肯定主张正确率",I189,IF(G189="否定主张正确率",J189,IF(G189="灵敏度",J189,I189))))</f>
        <v/>
      </c>
      <c r="Q189" s="7">
        <f>IF(OR(O189="",P189=""),"",O189/(O189+P189))</f>
        <v/>
      </c>
      <c r="R189" s="7">
        <f>IF(Q189="","",BETA.INV(0.025,O189,P189))</f>
        <v/>
      </c>
      <c r="S189" s="7">
        <f>IF(Q189="","",BETA.INV(0.975,O189,P189))</f>
        <v/>
      </c>
      <c r="T189" s="5">
        <f>IF(OR(O189="",P189=""),"",O189+P189-M189-N189)</f>
        <v/>
      </c>
      <c r="U189" s="5">
        <f>IF(T189="","先填完整分组",IF(T189&lt;30,"样本太少：仅描述",IF(T189&lt;100,"只作试点候选","可进入独立验证")))</f>
        <v/>
      </c>
      <c r="V189" s="3" t="n"/>
      <c r="W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5">
        <f>IF(COUNTA(A190:G190)&lt;7,"",COUNTIFS('原子事实记录'!$C$2:$C$2001,$D190,'原子事实记录'!$E$2:$E$2001,$A190,'原子事实记录'!$F$2:$F$2001,$B190,'原子事实记录'!$G$2:$G$2001,$C190,'原子事实记录'!$I$2:$I$2001,$E190,'原子事实记录'!$J$2:$J$2001,$F190,'原子事实记录'!$Q$2:$Q$2001,"是",'原子事实记录'!$R$2:$R$2001,"TP"))</f>
        <v/>
      </c>
      <c r="I190" s="5">
        <f>IF(COUNTA(A190:G190)&lt;7,"",COUNTIFS('原子事实记录'!$C$2:$C$2001,$D190,'原子事实记录'!$E$2:$E$2001,$A190,'原子事实记录'!$F$2:$F$2001,$B190,'原子事实记录'!$G$2:$G$2001,$C190,'原子事实记录'!$I$2:$I$2001,$E190,'原子事实记录'!$J$2:$J$2001,$F190,'原子事实记录'!$Q$2:$Q$2001,"是",'原子事实记录'!$R$2:$R$2001,"FP"))</f>
        <v/>
      </c>
      <c r="J190" s="5">
        <f>IF(COUNTA(A190:G190)&lt;7,"",COUNTIFS('原子事实记录'!$C$2:$C$2001,$D190,'原子事实记录'!$E$2:$E$2001,$A190,'原子事实记录'!$F$2:$F$2001,$B190,'原子事实记录'!$G$2:$G$2001,$C190,'原子事实记录'!$I$2:$I$2001,$E190,'原子事实记录'!$J$2:$J$2001,$F190,'原子事实记录'!$Q$2:$Q$2001,"是",'原子事实记录'!$R$2:$R$2001,"FN"))</f>
        <v/>
      </c>
      <c r="K190" s="5">
        <f>IF(COUNTA(A190:G190)&lt;7,"",COUNTIFS('原子事实记录'!$C$2:$C$2001,$D190,'原子事实记录'!$E$2:$E$2001,$A190,'原子事实记录'!$F$2:$F$2001,$B190,'原子事实记录'!$G$2:$G$2001,$C190,'原子事实记录'!$I$2:$I$2001,$E190,'原子事实记录'!$J$2:$J$2001,$F190,'原子事实记录'!$Q$2:$Q$2001,"是",'原子事实记录'!$R$2:$R$2001,"TN"))</f>
        <v/>
      </c>
      <c r="L190" s="5">
        <f>IF(COUNTA(A190:G190)&lt;7,"",COUNTIFS('原子事实记录'!$C$2:$C$2001,$D190,'原子事实记录'!$E$2:$E$2001,$A190,'原子事实记录'!$F$2:$F$2001,$B190,'原子事实记录'!$G$2:$G$2001,$C190,'原子事实记录'!$I$2:$I$2001,$E190,'原子事实记录'!$J$2:$J$2001,$F190,'原子事实记录'!$Q$2:$Q$2001,"是",'原子事实记录'!$R$2:$R$2001,"未知"))</f>
        <v/>
      </c>
      <c r="M190" s="3" t="n"/>
      <c r="N190" s="3" t="n"/>
      <c r="O190" s="5">
        <f>IF(OR(G190="",M190="",N190=""),"",M190+IF(G190="肯定主张正确率",H190,IF(G190="否定主张正确率",K190,IF(G190="灵敏度",H190,K190))))</f>
        <v/>
      </c>
      <c r="P190" s="5">
        <f>IF(OR(G190="",M190="",N190=""),"",N190+IF(G190="肯定主张正确率",I190,IF(G190="否定主张正确率",J190,IF(G190="灵敏度",J190,I190))))</f>
        <v/>
      </c>
      <c r="Q190" s="7">
        <f>IF(OR(O190="",P190=""),"",O190/(O190+P190))</f>
        <v/>
      </c>
      <c r="R190" s="7">
        <f>IF(Q190="","",BETA.INV(0.025,O190,P190))</f>
        <v/>
      </c>
      <c r="S190" s="7">
        <f>IF(Q190="","",BETA.INV(0.975,O190,P190))</f>
        <v/>
      </c>
      <c r="T190" s="5">
        <f>IF(OR(O190="",P190=""),"",O190+P190-M190-N190)</f>
        <v/>
      </c>
      <c r="U190" s="5">
        <f>IF(T190="","先填完整分组",IF(T190&lt;30,"样本太少：仅描述",IF(T190&lt;100,"只作试点候选","可进入独立验证")))</f>
        <v/>
      </c>
      <c r="V190" s="3" t="n"/>
      <c r="W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5">
        <f>IF(COUNTA(A191:G191)&lt;7,"",COUNTIFS('原子事实记录'!$C$2:$C$2001,$D191,'原子事实记录'!$E$2:$E$2001,$A191,'原子事实记录'!$F$2:$F$2001,$B191,'原子事实记录'!$G$2:$G$2001,$C191,'原子事实记录'!$I$2:$I$2001,$E191,'原子事实记录'!$J$2:$J$2001,$F191,'原子事实记录'!$Q$2:$Q$2001,"是",'原子事实记录'!$R$2:$R$2001,"TP"))</f>
        <v/>
      </c>
      <c r="I191" s="5">
        <f>IF(COUNTA(A191:G191)&lt;7,"",COUNTIFS('原子事实记录'!$C$2:$C$2001,$D191,'原子事实记录'!$E$2:$E$2001,$A191,'原子事实记录'!$F$2:$F$2001,$B191,'原子事实记录'!$G$2:$G$2001,$C191,'原子事实记录'!$I$2:$I$2001,$E191,'原子事实记录'!$J$2:$J$2001,$F191,'原子事实记录'!$Q$2:$Q$2001,"是",'原子事实记录'!$R$2:$R$2001,"FP"))</f>
        <v/>
      </c>
      <c r="J191" s="5">
        <f>IF(COUNTA(A191:G191)&lt;7,"",COUNTIFS('原子事实记录'!$C$2:$C$2001,$D191,'原子事实记录'!$E$2:$E$2001,$A191,'原子事实记录'!$F$2:$F$2001,$B191,'原子事实记录'!$G$2:$G$2001,$C191,'原子事实记录'!$I$2:$I$2001,$E191,'原子事实记录'!$J$2:$J$2001,$F191,'原子事实记录'!$Q$2:$Q$2001,"是",'原子事实记录'!$R$2:$R$2001,"FN"))</f>
        <v/>
      </c>
      <c r="K191" s="5">
        <f>IF(COUNTA(A191:G191)&lt;7,"",COUNTIFS('原子事实记录'!$C$2:$C$2001,$D191,'原子事实记录'!$E$2:$E$2001,$A191,'原子事实记录'!$F$2:$F$2001,$B191,'原子事实记录'!$G$2:$G$2001,$C191,'原子事实记录'!$I$2:$I$2001,$E191,'原子事实记录'!$J$2:$J$2001,$F191,'原子事实记录'!$Q$2:$Q$2001,"是",'原子事实记录'!$R$2:$R$2001,"TN"))</f>
        <v/>
      </c>
      <c r="L191" s="5">
        <f>IF(COUNTA(A191:G191)&lt;7,"",COUNTIFS('原子事实记录'!$C$2:$C$2001,$D191,'原子事实记录'!$E$2:$E$2001,$A191,'原子事实记录'!$F$2:$F$2001,$B191,'原子事实记录'!$G$2:$G$2001,$C191,'原子事实记录'!$I$2:$I$2001,$E191,'原子事实记录'!$J$2:$J$2001,$F191,'原子事实记录'!$Q$2:$Q$2001,"是",'原子事实记录'!$R$2:$R$2001,"未知"))</f>
        <v/>
      </c>
      <c r="M191" s="3" t="n"/>
      <c r="N191" s="3" t="n"/>
      <c r="O191" s="5">
        <f>IF(OR(G191="",M191="",N191=""),"",M191+IF(G191="肯定主张正确率",H191,IF(G191="否定主张正确率",K191,IF(G191="灵敏度",H191,K191))))</f>
        <v/>
      </c>
      <c r="P191" s="5">
        <f>IF(OR(G191="",M191="",N191=""),"",N191+IF(G191="肯定主张正确率",I191,IF(G191="否定主张正确率",J191,IF(G191="灵敏度",J191,I191))))</f>
        <v/>
      </c>
      <c r="Q191" s="7">
        <f>IF(OR(O191="",P191=""),"",O191/(O191+P191))</f>
        <v/>
      </c>
      <c r="R191" s="7">
        <f>IF(Q191="","",BETA.INV(0.025,O191,P191))</f>
        <v/>
      </c>
      <c r="S191" s="7">
        <f>IF(Q191="","",BETA.INV(0.975,O191,P191))</f>
        <v/>
      </c>
      <c r="T191" s="5">
        <f>IF(OR(O191="",P191=""),"",O191+P191-M191-N191)</f>
        <v/>
      </c>
      <c r="U191" s="5">
        <f>IF(T191="","先填完整分组",IF(T191&lt;30,"样本太少：仅描述",IF(T191&lt;100,"只作试点候选","可进入独立验证")))</f>
        <v/>
      </c>
      <c r="V191" s="3" t="n"/>
      <c r="W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5">
        <f>IF(COUNTA(A192:G192)&lt;7,"",COUNTIFS('原子事实记录'!$C$2:$C$2001,$D192,'原子事实记录'!$E$2:$E$2001,$A192,'原子事实记录'!$F$2:$F$2001,$B192,'原子事实记录'!$G$2:$G$2001,$C192,'原子事实记录'!$I$2:$I$2001,$E192,'原子事实记录'!$J$2:$J$2001,$F192,'原子事实记录'!$Q$2:$Q$2001,"是",'原子事实记录'!$R$2:$R$2001,"TP"))</f>
        <v/>
      </c>
      <c r="I192" s="5">
        <f>IF(COUNTA(A192:G192)&lt;7,"",COUNTIFS('原子事实记录'!$C$2:$C$2001,$D192,'原子事实记录'!$E$2:$E$2001,$A192,'原子事实记录'!$F$2:$F$2001,$B192,'原子事实记录'!$G$2:$G$2001,$C192,'原子事实记录'!$I$2:$I$2001,$E192,'原子事实记录'!$J$2:$J$2001,$F192,'原子事实记录'!$Q$2:$Q$2001,"是",'原子事实记录'!$R$2:$R$2001,"FP"))</f>
        <v/>
      </c>
      <c r="J192" s="5">
        <f>IF(COUNTA(A192:G192)&lt;7,"",COUNTIFS('原子事实记录'!$C$2:$C$2001,$D192,'原子事实记录'!$E$2:$E$2001,$A192,'原子事实记录'!$F$2:$F$2001,$B192,'原子事实记录'!$G$2:$G$2001,$C192,'原子事实记录'!$I$2:$I$2001,$E192,'原子事实记录'!$J$2:$J$2001,$F192,'原子事实记录'!$Q$2:$Q$2001,"是",'原子事实记录'!$R$2:$R$2001,"FN"))</f>
        <v/>
      </c>
      <c r="K192" s="5">
        <f>IF(COUNTA(A192:G192)&lt;7,"",COUNTIFS('原子事实记录'!$C$2:$C$2001,$D192,'原子事实记录'!$E$2:$E$2001,$A192,'原子事实记录'!$F$2:$F$2001,$B192,'原子事实记录'!$G$2:$G$2001,$C192,'原子事实记录'!$I$2:$I$2001,$E192,'原子事实记录'!$J$2:$J$2001,$F192,'原子事实记录'!$Q$2:$Q$2001,"是",'原子事实记录'!$R$2:$R$2001,"TN"))</f>
        <v/>
      </c>
      <c r="L192" s="5">
        <f>IF(COUNTA(A192:G192)&lt;7,"",COUNTIFS('原子事实记录'!$C$2:$C$2001,$D192,'原子事实记录'!$E$2:$E$2001,$A192,'原子事实记录'!$F$2:$F$2001,$B192,'原子事实记录'!$G$2:$G$2001,$C192,'原子事实记录'!$I$2:$I$2001,$E192,'原子事实记录'!$J$2:$J$2001,$F192,'原子事实记录'!$Q$2:$Q$2001,"是",'原子事实记录'!$R$2:$R$2001,"未知"))</f>
        <v/>
      </c>
      <c r="M192" s="3" t="n"/>
      <c r="N192" s="3" t="n"/>
      <c r="O192" s="5">
        <f>IF(OR(G192="",M192="",N192=""),"",M192+IF(G192="肯定主张正确率",H192,IF(G192="否定主张正确率",K192,IF(G192="灵敏度",H192,K192))))</f>
        <v/>
      </c>
      <c r="P192" s="5">
        <f>IF(OR(G192="",M192="",N192=""),"",N192+IF(G192="肯定主张正确率",I192,IF(G192="否定主张正确率",J192,IF(G192="灵敏度",J192,I192))))</f>
        <v/>
      </c>
      <c r="Q192" s="7">
        <f>IF(OR(O192="",P192=""),"",O192/(O192+P192))</f>
        <v/>
      </c>
      <c r="R192" s="7">
        <f>IF(Q192="","",BETA.INV(0.025,O192,P192))</f>
        <v/>
      </c>
      <c r="S192" s="7">
        <f>IF(Q192="","",BETA.INV(0.975,O192,P192))</f>
        <v/>
      </c>
      <c r="T192" s="5">
        <f>IF(OR(O192="",P192=""),"",O192+P192-M192-N192)</f>
        <v/>
      </c>
      <c r="U192" s="5">
        <f>IF(T192="","先填完整分组",IF(T192&lt;30,"样本太少：仅描述",IF(T192&lt;100,"只作试点候选","可进入独立验证")))</f>
        <v/>
      </c>
      <c r="V192" s="3" t="n"/>
      <c r="W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5">
        <f>IF(COUNTA(A193:G193)&lt;7,"",COUNTIFS('原子事实记录'!$C$2:$C$2001,$D193,'原子事实记录'!$E$2:$E$2001,$A193,'原子事实记录'!$F$2:$F$2001,$B193,'原子事实记录'!$G$2:$G$2001,$C193,'原子事实记录'!$I$2:$I$2001,$E193,'原子事实记录'!$J$2:$J$2001,$F193,'原子事实记录'!$Q$2:$Q$2001,"是",'原子事实记录'!$R$2:$R$2001,"TP"))</f>
        <v/>
      </c>
      <c r="I193" s="5">
        <f>IF(COUNTA(A193:G193)&lt;7,"",COUNTIFS('原子事实记录'!$C$2:$C$2001,$D193,'原子事实记录'!$E$2:$E$2001,$A193,'原子事实记录'!$F$2:$F$2001,$B193,'原子事实记录'!$G$2:$G$2001,$C193,'原子事实记录'!$I$2:$I$2001,$E193,'原子事实记录'!$J$2:$J$2001,$F193,'原子事实记录'!$Q$2:$Q$2001,"是",'原子事实记录'!$R$2:$R$2001,"FP"))</f>
        <v/>
      </c>
      <c r="J193" s="5">
        <f>IF(COUNTA(A193:G193)&lt;7,"",COUNTIFS('原子事实记录'!$C$2:$C$2001,$D193,'原子事实记录'!$E$2:$E$2001,$A193,'原子事实记录'!$F$2:$F$2001,$B193,'原子事实记录'!$G$2:$G$2001,$C193,'原子事实记录'!$I$2:$I$2001,$E193,'原子事实记录'!$J$2:$J$2001,$F193,'原子事实记录'!$Q$2:$Q$2001,"是",'原子事实记录'!$R$2:$R$2001,"FN"))</f>
        <v/>
      </c>
      <c r="K193" s="5">
        <f>IF(COUNTA(A193:G193)&lt;7,"",COUNTIFS('原子事实记录'!$C$2:$C$2001,$D193,'原子事实记录'!$E$2:$E$2001,$A193,'原子事实记录'!$F$2:$F$2001,$B193,'原子事实记录'!$G$2:$G$2001,$C193,'原子事实记录'!$I$2:$I$2001,$E193,'原子事实记录'!$J$2:$J$2001,$F193,'原子事实记录'!$Q$2:$Q$2001,"是",'原子事实记录'!$R$2:$R$2001,"TN"))</f>
        <v/>
      </c>
      <c r="L193" s="5">
        <f>IF(COUNTA(A193:G193)&lt;7,"",COUNTIFS('原子事实记录'!$C$2:$C$2001,$D193,'原子事实记录'!$E$2:$E$2001,$A193,'原子事实记录'!$F$2:$F$2001,$B193,'原子事实记录'!$G$2:$G$2001,$C193,'原子事实记录'!$I$2:$I$2001,$E193,'原子事实记录'!$J$2:$J$2001,$F193,'原子事实记录'!$Q$2:$Q$2001,"是",'原子事实记录'!$R$2:$R$2001,"未知"))</f>
        <v/>
      </c>
      <c r="M193" s="3" t="n"/>
      <c r="N193" s="3" t="n"/>
      <c r="O193" s="5">
        <f>IF(OR(G193="",M193="",N193=""),"",M193+IF(G193="肯定主张正确率",H193,IF(G193="否定主张正确率",K193,IF(G193="灵敏度",H193,K193))))</f>
        <v/>
      </c>
      <c r="P193" s="5">
        <f>IF(OR(G193="",M193="",N193=""),"",N193+IF(G193="肯定主张正确率",I193,IF(G193="否定主张正确率",J193,IF(G193="灵敏度",J193,I193))))</f>
        <v/>
      </c>
      <c r="Q193" s="7">
        <f>IF(OR(O193="",P193=""),"",O193/(O193+P193))</f>
        <v/>
      </c>
      <c r="R193" s="7">
        <f>IF(Q193="","",BETA.INV(0.025,O193,P193))</f>
        <v/>
      </c>
      <c r="S193" s="7">
        <f>IF(Q193="","",BETA.INV(0.975,O193,P193))</f>
        <v/>
      </c>
      <c r="T193" s="5">
        <f>IF(OR(O193="",P193=""),"",O193+P193-M193-N193)</f>
        <v/>
      </c>
      <c r="U193" s="5">
        <f>IF(T193="","先填完整分组",IF(T193&lt;30,"样本太少：仅描述",IF(T193&lt;100,"只作试点候选","可进入独立验证")))</f>
        <v/>
      </c>
      <c r="V193" s="3" t="n"/>
      <c r="W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5">
        <f>IF(COUNTA(A194:G194)&lt;7,"",COUNTIFS('原子事实记录'!$C$2:$C$2001,$D194,'原子事实记录'!$E$2:$E$2001,$A194,'原子事实记录'!$F$2:$F$2001,$B194,'原子事实记录'!$G$2:$G$2001,$C194,'原子事实记录'!$I$2:$I$2001,$E194,'原子事实记录'!$J$2:$J$2001,$F194,'原子事实记录'!$Q$2:$Q$2001,"是",'原子事实记录'!$R$2:$R$2001,"TP"))</f>
        <v/>
      </c>
      <c r="I194" s="5">
        <f>IF(COUNTA(A194:G194)&lt;7,"",COUNTIFS('原子事实记录'!$C$2:$C$2001,$D194,'原子事实记录'!$E$2:$E$2001,$A194,'原子事实记录'!$F$2:$F$2001,$B194,'原子事实记录'!$G$2:$G$2001,$C194,'原子事实记录'!$I$2:$I$2001,$E194,'原子事实记录'!$J$2:$J$2001,$F194,'原子事实记录'!$Q$2:$Q$2001,"是",'原子事实记录'!$R$2:$R$2001,"FP"))</f>
        <v/>
      </c>
      <c r="J194" s="5">
        <f>IF(COUNTA(A194:G194)&lt;7,"",COUNTIFS('原子事实记录'!$C$2:$C$2001,$D194,'原子事实记录'!$E$2:$E$2001,$A194,'原子事实记录'!$F$2:$F$2001,$B194,'原子事实记录'!$G$2:$G$2001,$C194,'原子事实记录'!$I$2:$I$2001,$E194,'原子事实记录'!$J$2:$J$2001,$F194,'原子事实记录'!$Q$2:$Q$2001,"是",'原子事实记录'!$R$2:$R$2001,"FN"))</f>
        <v/>
      </c>
      <c r="K194" s="5">
        <f>IF(COUNTA(A194:G194)&lt;7,"",COUNTIFS('原子事实记录'!$C$2:$C$2001,$D194,'原子事实记录'!$E$2:$E$2001,$A194,'原子事实记录'!$F$2:$F$2001,$B194,'原子事实记录'!$G$2:$G$2001,$C194,'原子事实记录'!$I$2:$I$2001,$E194,'原子事实记录'!$J$2:$J$2001,$F194,'原子事实记录'!$Q$2:$Q$2001,"是",'原子事实记录'!$R$2:$R$2001,"TN"))</f>
        <v/>
      </c>
      <c r="L194" s="5">
        <f>IF(COUNTA(A194:G194)&lt;7,"",COUNTIFS('原子事实记录'!$C$2:$C$2001,$D194,'原子事实记录'!$E$2:$E$2001,$A194,'原子事实记录'!$F$2:$F$2001,$B194,'原子事实记录'!$G$2:$G$2001,$C194,'原子事实记录'!$I$2:$I$2001,$E194,'原子事实记录'!$J$2:$J$2001,$F194,'原子事实记录'!$Q$2:$Q$2001,"是",'原子事实记录'!$R$2:$R$2001,"未知"))</f>
        <v/>
      </c>
      <c r="M194" s="3" t="n"/>
      <c r="N194" s="3" t="n"/>
      <c r="O194" s="5">
        <f>IF(OR(G194="",M194="",N194=""),"",M194+IF(G194="肯定主张正确率",H194,IF(G194="否定主张正确率",K194,IF(G194="灵敏度",H194,K194))))</f>
        <v/>
      </c>
      <c r="P194" s="5">
        <f>IF(OR(G194="",M194="",N194=""),"",N194+IF(G194="肯定主张正确率",I194,IF(G194="否定主张正确率",J194,IF(G194="灵敏度",J194,I194))))</f>
        <v/>
      </c>
      <c r="Q194" s="7">
        <f>IF(OR(O194="",P194=""),"",O194/(O194+P194))</f>
        <v/>
      </c>
      <c r="R194" s="7">
        <f>IF(Q194="","",BETA.INV(0.025,O194,P194))</f>
        <v/>
      </c>
      <c r="S194" s="7">
        <f>IF(Q194="","",BETA.INV(0.975,O194,P194))</f>
        <v/>
      </c>
      <c r="T194" s="5">
        <f>IF(OR(O194="",P194=""),"",O194+P194-M194-N194)</f>
        <v/>
      </c>
      <c r="U194" s="5">
        <f>IF(T194="","先填完整分组",IF(T194&lt;30,"样本太少：仅描述",IF(T194&lt;100,"只作试点候选","可进入独立验证")))</f>
        <v/>
      </c>
      <c r="V194" s="3" t="n"/>
      <c r="W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5">
        <f>IF(COUNTA(A195:G195)&lt;7,"",COUNTIFS('原子事实记录'!$C$2:$C$2001,$D195,'原子事实记录'!$E$2:$E$2001,$A195,'原子事实记录'!$F$2:$F$2001,$B195,'原子事实记录'!$G$2:$G$2001,$C195,'原子事实记录'!$I$2:$I$2001,$E195,'原子事实记录'!$J$2:$J$2001,$F195,'原子事实记录'!$Q$2:$Q$2001,"是",'原子事实记录'!$R$2:$R$2001,"TP"))</f>
        <v/>
      </c>
      <c r="I195" s="5">
        <f>IF(COUNTA(A195:G195)&lt;7,"",COUNTIFS('原子事实记录'!$C$2:$C$2001,$D195,'原子事实记录'!$E$2:$E$2001,$A195,'原子事实记录'!$F$2:$F$2001,$B195,'原子事实记录'!$G$2:$G$2001,$C195,'原子事实记录'!$I$2:$I$2001,$E195,'原子事实记录'!$J$2:$J$2001,$F195,'原子事实记录'!$Q$2:$Q$2001,"是",'原子事实记录'!$R$2:$R$2001,"FP"))</f>
        <v/>
      </c>
      <c r="J195" s="5">
        <f>IF(COUNTA(A195:G195)&lt;7,"",COUNTIFS('原子事实记录'!$C$2:$C$2001,$D195,'原子事实记录'!$E$2:$E$2001,$A195,'原子事实记录'!$F$2:$F$2001,$B195,'原子事实记录'!$G$2:$G$2001,$C195,'原子事实记录'!$I$2:$I$2001,$E195,'原子事实记录'!$J$2:$J$2001,$F195,'原子事实记录'!$Q$2:$Q$2001,"是",'原子事实记录'!$R$2:$R$2001,"FN"))</f>
        <v/>
      </c>
      <c r="K195" s="5">
        <f>IF(COUNTA(A195:G195)&lt;7,"",COUNTIFS('原子事实记录'!$C$2:$C$2001,$D195,'原子事实记录'!$E$2:$E$2001,$A195,'原子事实记录'!$F$2:$F$2001,$B195,'原子事实记录'!$G$2:$G$2001,$C195,'原子事实记录'!$I$2:$I$2001,$E195,'原子事实记录'!$J$2:$J$2001,$F195,'原子事实记录'!$Q$2:$Q$2001,"是",'原子事实记录'!$R$2:$R$2001,"TN"))</f>
        <v/>
      </c>
      <c r="L195" s="5">
        <f>IF(COUNTA(A195:G195)&lt;7,"",COUNTIFS('原子事实记录'!$C$2:$C$2001,$D195,'原子事实记录'!$E$2:$E$2001,$A195,'原子事实记录'!$F$2:$F$2001,$B195,'原子事实记录'!$G$2:$G$2001,$C195,'原子事实记录'!$I$2:$I$2001,$E195,'原子事实记录'!$J$2:$J$2001,$F195,'原子事实记录'!$Q$2:$Q$2001,"是",'原子事实记录'!$R$2:$R$2001,"未知"))</f>
        <v/>
      </c>
      <c r="M195" s="3" t="n"/>
      <c r="N195" s="3" t="n"/>
      <c r="O195" s="5">
        <f>IF(OR(G195="",M195="",N195=""),"",M195+IF(G195="肯定主张正确率",H195,IF(G195="否定主张正确率",K195,IF(G195="灵敏度",H195,K195))))</f>
        <v/>
      </c>
      <c r="P195" s="5">
        <f>IF(OR(G195="",M195="",N195=""),"",N195+IF(G195="肯定主张正确率",I195,IF(G195="否定主张正确率",J195,IF(G195="灵敏度",J195,I195))))</f>
        <v/>
      </c>
      <c r="Q195" s="7">
        <f>IF(OR(O195="",P195=""),"",O195/(O195+P195))</f>
        <v/>
      </c>
      <c r="R195" s="7">
        <f>IF(Q195="","",BETA.INV(0.025,O195,P195))</f>
        <v/>
      </c>
      <c r="S195" s="7">
        <f>IF(Q195="","",BETA.INV(0.975,O195,P195))</f>
        <v/>
      </c>
      <c r="T195" s="5">
        <f>IF(OR(O195="",P195=""),"",O195+P195-M195-N195)</f>
        <v/>
      </c>
      <c r="U195" s="5">
        <f>IF(T195="","先填完整分组",IF(T195&lt;30,"样本太少：仅描述",IF(T195&lt;100,"只作试点候选","可进入独立验证")))</f>
        <v/>
      </c>
      <c r="V195" s="3" t="n"/>
      <c r="W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5">
        <f>IF(COUNTA(A196:G196)&lt;7,"",COUNTIFS('原子事实记录'!$C$2:$C$2001,$D196,'原子事实记录'!$E$2:$E$2001,$A196,'原子事实记录'!$F$2:$F$2001,$B196,'原子事实记录'!$G$2:$G$2001,$C196,'原子事实记录'!$I$2:$I$2001,$E196,'原子事实记录'!$J$2:$J$2001,$F196,'原子事实记录'!$Q$2:$Q$2001,"是",'原子事实记录'!$R$2:$R$2001,"TP"))</f>
        <v/>
      </c>
      <c r="I196" s="5">
        <f>IF(COUNTA(A196:G196)&lt;7,"",COUNTIFS('原子事实记录'!$C$2:$C$2001,$D196,'原子事实记录'!$E$2:$E$2001,$A196,'原子事实记录'!$F$2:$F$2001,$B196,'原子事实记录'!$G$2:$G$2001,$C196,'原子事实记录'!$I$2:$I$2001,$E196,'原子事实记录'!$J$2:$J$2001,$F196,'原子事实记录'!$Q$2:$Q$2001,"是",'原子事实记录'!$R$2:$R$2001,"FP"))</f>
        <v/>
      </c>
      <c r="J196" s="5">
        <f>IF(COUNTA(A196:G196)&lt;7,"",COUNTIFS('原子事实记录'!$C$2:$C$2001,$D196,'原子事实记录'!$E$2:$E$2001,$A196,'原子事实记录'!$F$2:$F$2001,$B196,'原子事实记录'!$G$2:$G$2001,$C196,'原子事实记录'!$I$2:$I$2001,$E196,'原子事实记录'!$J$2:$J$2001,$F196,'原子事实记录'!$Q$2:$Q$2001,"是",'原子事实记录'!$R$2:$R$2001,"FN"))</f>
        <v/>
      </c>
      <c r="K196" s="5">
        <f>IF(COUNTA(A196:G196)&lt;7,"",COUNTIFS('原子事实记录'!$C$2:$C$2001,$D196,'原子事实记录'!$E$2:$E$2001,$A196,'原子事实记录'!$F$2:$F$2001,$B196,'原子事实记录'!$G$2:$G$2001,$C196,'原子事实记录'!$I$2:$I$2001,$E196,'原子事实记录'!$J$2:$J$2001,$F196,'原子事实记录'!$Q$2:$Q$2001,"是",'原子事实记录'!$R$2:$R$2001,"TN"))</f>
        <v/>
      </c>
      <c r="L196" s="5">
        <f>IF(COUNTA(A196:G196)&lt;7,"",COUNTIFS('原子事实记录'!$C$2:$C$2001,$D196,'原子事实记录'!$E$2:$E$2001,$A196,'原子事实记录'!$F$2:$F$2001,$B196,'原子事实记录'!$G$2:$G$2001,$C196,'原子事实记录'!$I$2:$I$2001,$E196,'原子事实记录'!$J$2:$J$2001,$F196,'原子事实记录'!$Q$2:$Q$2001,"是",'原子事实记录'!$R$2:$R$2001,"未知"))</f>
        <v/>
      </c>
      <c r="M196" s="3" t="n"/>
      <c r="N196" s="3" t="n"/>
      <c r="O196" s="5">
        <f>IF(OR(G196="",M196="",N196=""),"",M196+IF(G196="肯定主张正确率",H196,IF(G196="否定主张正确率",K196,IF(G196="灵敏度",H196,K196))))</f>
        <v/>
      </c>
      <c r="P196" s="5">
        <f>IF(OR(G196="",M196="",N196=""),"",N196+IF(G196="肯定主张正确率",I196,IF(G196="否定主张正确率",J196,IF(G196="灵敏度",J196,I196))))</f>
        <v/>
      </c>
      <c r="Q196" s="7">
        <f>IF(OR(O196="",P196=""),"",O196/(O196+P196))</f>
        <v/>
      </c>
      <c r="R196" s="7">
        <f>IF(Q196="","",BETA.INV(0.025,O196,P196))</f>
        <v/>
      </c>
      <c r="S196" s="7">
        <f>IF(Q196="","",BETA.INV(0.975,O196,P196))</f>
        <v/>
      </c>
      <c r="T196" s="5">
        <f>IF(OR(O196="",P196=""),"",O196+P196-M196-N196)</f>
        <v/>
      </c>
      <c r="U196" s="5">
        <f>IF(T196="","先填完整分组",IF(T196&lt;30,"样本太少：仅描述",IF(T196&lt;100,"只作试点候选","可进入独立验证")))</f>
        <v/>
      </c>
      <c r="V196" s="3" t="n"/>
      <c r="W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5">
        <f>IF(COUNTA(A197:G197)&lt;7,"",COUNTIFS('原子事实记录'!$C$2:$C$2001,$D197,'原子事实记录'!$E$2:$E$2001,$A197,'原子事实记录'!$F$2:$F$2001,$B197,'原子事实记录'!$G$2:$G$2001,$C197,'原子事实记录'!$I$2:$I$2001,$E197,'原子事实记录'!$J$2:$J$2001,$F197,'原子事实记录'!$Q$2:$Q$2001,"是",'原子事实记录'!$R$2:$R$2001,"TP"))</f>
        <v/>
      </c>
      <c r="I197" s="5">
        <f>IF(COUNTA(A197:G197)&lt;7,"",COUNTIFS('原子事实记录'!$C$2:$C$2001,$D197,'原子事实记录'!$E$2:$E$2001,$A197,'原子事实记录'!$F$2:$F$2001,$B197,'原子事实记录'!$G$2:$G$2001,$C197,'原子事实记录'!$I$2:$I$2001,$E197,'原子事实记录'!$J$2:$J$2001,$F197,'原子事实记录'!$Q$2:$Q$2001,"是",'原子事实记录'!$R$2:$R$2001,"FP"))</f>
        <v/>
      </c>
      <c r="J197" s="5">
        <f>IF(COUNTA(A197:G197)&lt;7,"",COUNTIFS('原子事实记录'!$C$2:$C$2001,$D197,'原子事实记录'!$E$2:$E$2001,$A197,'原子事实记录'!$F$2:$F$2001,$B197,'原子事实记录'!$G$2:$G$2001,$C197,'原子事实记录'!$I$2:$I$2001,$E197,'原子事实记录'!$J$2:$J$2001,$F197,'原子事实记录'!$Q$2:$Q$2001,"是",'原子事实记录'!$R$2:$R$2001,"FN"))</f>
        <v/>
      </c>
      <c r="K197" s="5">
        <f>IF(COUNTA(A197:G197)&lt;7,"",COUNTIFS('原子事实记录'!$C$2:$C$2001,$D197,'原子事实记录'!$E$2:$E$2001,$A197,'原子事实记录'!$F$2:$F$2001,$B197,'原子事实记录'!$G$2:$G$2001,$C197,'原子事实记录'!$I$2:$I$2001,$E197,'原子事实记录'!$J$2:$J$2001,$F197,'原子事实记录'!$Q$2:$Q$2001,"是",'原子事实记录'!$R$2:$R$2001,"TN"))</f>
        <v/>
      </c>
      <c r="L197" s="5">
        <f>IF(COUNTA(A197:G197)&lt;7,"",COUNTIFS('原子事实记录'!$C$2:$C$2001,$D197,'原子事实记录'!$E$2:$E$2001,$A197,'原子事实记录'!$F$2:$F$2001,$B197,'原子事实记录'!$G$2:$G$2001,$C197,'原子事实记录'!$I$2:$I$2001,$E197,'原子事实记录'!$J$2:$J$2001,$F197,'原子事实记录'!$Q$2:$Q$2001,"是",'原子事实记录'!$R$2:$R$2001,"未知"))</f>
        <v/>
      </c>
      <c r="M197" s="3" t="n"/>
      <c r="N197" s="3" t="n"/>
      <c r="O197" s="5">
        <f>IF(OR(G197="",M197="",N197=""),"",M197+IF(G197="肯定主张正确率",H197,IF(G197="否定主张正确率",K197,IF(G197="灵敏度",H197,K197))))</f>
        <v/>
      </c>
      <c r="P197" s="5">
        <f>IF(OR(G197="",M197="",N197=""),"",N197+IF(G197="肯定主张正确率",I197,IF(G197="否定主张正确率",J197,IF(G197="灵敏度",J197,I197))))</f>
        <v/>
      </c>
      <c r="Q197" s="7">
        <f>IF(OR(O197="",P197=""),"",O197/(O197+P197))</f>
        <v/>
      </c>
      <c r="R197" s="7">
        <f>IF(Q197="","",BETA.INV(0.025,O197,P197))</f>
        <v/>
      </c>
      <c r="S197" s="7">
        <f>IF(Q197="","",BETA.INV(0.975,O197,P197))</f>
        <v/>
      </c>
      <c r="T197" s="5">
        <f>IF(OR(O197="",P197=""),"",O197+P197-M197-N197)</f>
        <v/>
      </c>
      <c r="U197" s="5">
        <f>IF(T197="","先填完整分组",IF(T197&lt;30,"样本太少：仅描述",IF(T197&lt;100,"只作试点候选","可进入独立验证")))</f>
        <v/>
      </c>
      <c r="V197" s="3" t="n"/>
      <c r="W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5">
        <f>IF(COUNTA(A198:G198)&lt;7,"",COUNTIFS('原子事实记录'!$C$2:$C$2001,$D198,'原子事实记录'!$E$2:$E$2001,$A198,'原子事实记录'!$F$2:$F$2001,$B198,'原子事实记录'!$G$2:$G$2001,$C198,'原子事实记录'!$I$2:$I$2001,$E198,'原子事实记录'!$J$2:$J$2001,$F198,'原子事实记录'!$Q$2:$Q$2001,"是",'原子事实记录'!$R$2:$R$2001,"TP"))</f>
        <v/>
      </c>
      <c r="I198" s="5">
        <f>IF(COUNTA(A198:G198)&lt;7,"",COUNTIFS('原子事实记录'!$C$2:$C$2001,$D198,'原子事实记录'!$E$2:$E$2001,$A198,'原子事实记录'!$F$2:$F$2001,$B198,'原子事实记录'!$G$2:$G$2001,$C198,'原子事实记录'!$I$2:$I$2001,$E198,'原子事实记录'!$J$2:$J$2001,$F198,'原子事实记录'!$Q$2:$Q$2001,"是",'原子事实记录'!$R$2:$R$2001,"FP"))</f>
        <v/>
      </c>
      <c r="J198" s="5">
        <f>IF(COUNTA(A198:G198)&lt;7,"",COUNTIFS('原子事实记录'!$C$2:$C$2001,$D198,'原子事实记录'!$E$2:$E$2001,$A198,'原子事实记录'!$F$2:$F$2001,$B198,'原子事实记录'!$G$2:$G$2001,$C198,'原子事实记录'!$I$2:$I$2001,$E198,'原子事实记录'!$J$2:$J$2001,$F198,'原子事实记录'!$Q$2:$Q$2001,"是",'原子事实记录'!$R$2:$R$2001,"FN"))</f>
        <v/>
      </c>
      <c r="K198" s="5">
        <f>IF(COUNTA(A198:G198)&lt;7,"",COUNTIFS('原子事实记录'!$C$2:$C$2001,$D198,'原子事实记录'!$E$2:$E$2001,$A198,'原子事实记录'!$F$2:$F$2001,$B198,'原子事实记录'!$G$2:$G$2001,$C198,'原子事实记录'!$I$2:$I$2001,$E198,'原子事实记录'!$J$2:$J$2001,$F198,'原子事实记录'!$Q$2:$Q$2001,"是",'原子事实记录'!$R$2:$R$2001,"TN"))</f>
        <v/>
      </c>
      <c r="L198" s="5">
        <f>IF(COUNTA(A198:G198)&lt;7,"",COUNTIFS('原子事实记录'!$C$2:$C$2001,$D198,'原子事实记录'!$E$2:$E$2001,$A198,'原子事实记录'!$F$2:$F$2001,$B198,'原子事实记录'!$G$2:$G$2001,$C198,'原子事实记录'!$I$2:$I$2001,$E198,'原子事实记录'!$J$2:$J$2001,$F198,'原子事实记录'!$Q$2:$Q$2001,"是",'原子事实记录'!$R$2:$R$2001,"未知"))</f>
        <v/>
      </c>
      <c r="M198" s="3" t="n"/>
      <c r="N198" s="3" t="n"/>
      <c r="O198" s="5">
        <f>IF(OR(G198="",M198="",N198=""),"",M198+IF(G198="肯定主张正确率",H198,IF(G198="否定主张正确率",K198,IF(G198="灵敏度",H198,K198))))</f>
        <v/>
      </c>
      <c r="P198" s="5">
        <f>IF(OR(G198="",M198="",N198=""),"",N198+IF(G198="肯定主张正确率",I198,IF(G198="否定主张正确率",J198,IF(G198="灵敏度",J198,I198))))</f>
        <v/>
      </c>
      <c r="Q198" s="7">
        <f>IF(OR(O198="",P198=""),"",O198/(O198+P198))</f>
        <v/>
      </c>
      <c r="R198" s="7">
        <f>IF(Q198="","",BETA.INV(0.025,O198,P198))</f>
        <v/>
      </c>
      <c r="S198" s="7">
        <f>IF(Q198="","",BETA.INV(0.975,O198,P198))</f>
        <v/>
      </c>
      <c r="T198" s="5">
        <f>IF(OR(O198="",P198=""),"",O198+P198-M198-N198)</f>
        <v/>
      </c>
      <c r="U198" s="5">
        <f>IF(T198="","先填完整分组",IF(T198&lt;30,"样本太少：仅描述",IF(T198&lt;100,"只作试点候选","可进入独立验证")))</f>
        <v/>
      </c>
      <c r="V198" s="3" t="n"/>
      <c r="W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5">
        <f>IF(COUNTA(A199:G199)&lt;7,"",COUNTIFS('原子事实记录'!$C$2:$C$2001,$D199,'原子事实记录'!$E$2:$E$2001,$A199,'原子事实记录'!$F$2:$F$2001,$B199,'原子事实记录'!$G$2:$G$2001,$C199,'原子事实记录'!$I$2:$I$2001,$E199,'原子事实记录'!$J$2:$J$2001,$F199,'原子事实记录'!$Q$2:$Q$2001,"是",'原子事实记录'!$R$2:$R$2001,"TP"))</f>
        <v/>
      </c>
      <c r="I199" s="5">
        <f>IF(COUNTA(A199:G199)&lt;7,"",COUNTIFS('原子事实记录'!$C$2:$C$2001,$D199,'原子事实记录'!$E$2:$E$2001,$A199,'原子事实记录'!$F$2:$F$2001,$B199,'原子事实记录'!$G$2:$G$2001,$C199,'原子事实记录'!$I$2:$I$2001,$E199,'原子事实记录'!$J$2:$J$2001,$F199,'原子事实记录'!$Q$2:$Q$2001,"是",'原子事实记录'!$R$2:$R$2001,"FP"))</f>
        <v/>
      </c>
      <c r="J199" s="5">
        <f>IF(COUNTA(A199:G199)&lt;7,"",COUNTIFS('原子事实记录'!$C$2:$C$2001,$D199,'原子事实记录'!$E$2:$E$2001,$A199,'原子事实记录'!$F$2:$F$2001,$B199,'原子事实记录'!$G$2:$G$2001,$C199,'原子事实记录'!$I$2:$I$2001,$E199,'原子事实记录'!$J$2:$J$2001,$F199,'原子事实记录'!$Q$2:$Q$2001,"是",'原子事实记录'!$R$2:$R$2001,"FN"))</f>
        <v/>
      </c>
      <c r="K199" s="5">
        <f>IF(COUNTA(A199:G199)&lt;7,"",COUNTIFS('原子事实记录'!$C$2:$C$2001,$D199,'原子事实记录'!$E$2:$E$2001,$A199,'原子事实记录'!$F$2:$F$2001,$B199,'原子事实记录'!$G$2:$G$2001,$C199,'原子事实记录'!$I$2:$I$2001,$E199,'原子事实记录'!$J$2:$J$2001,$F199,'原子事实记录'!$Q$2:$Q$2001,"是",'原子事实记录'!$R$2:$R$2001,"TN"))</f>
        <v/>
      </c>
      <c r="L199" s="5">
        <f>IF(COUNTA(A199:G199)&lt;7,"",COUNTIFS('原子事实记录'!$C$2:$C$2001,$D199,'原子事实记录'!$E$2:$E$2001,$A199,'原子事实记录'!$F$2:$F$2001,$B199,'原子事实记录'!$G$2:$G$2001,$C199,'原子事实记录'!$I$2:$I$2001,$E199,'原子事实记录'!$J$2:$J$2001,$F199,'原子事实记录'!$Q$2:$Q$2001,"是",'原子事实记录'!$R$2:$R$2001,"未知"))</f>
        <v/>
      </c>
      <c r="M199" s="3" t="n"/>
      <c r="N199" s="3" t="n"/>
      <c r="O199" s="5">
        <f>IF(OR(G199="",M199="",N199=""),"",M199+IF(G199="肯定主张正确率",H199,IF(G199="否定主张正确率",K199,IF(G199="灵敏度",H199,K199))))</f>
        <v/>
      </c>
      <c r="P199" s="5">
        <f>IF(OR(G199="",M199="",N199=""),"",N199+IF(G199="肯定主张正确率",I199,IF(G199="否定主张正确率",J199,IF(G199="灵敏度",J199,I199))))</f>
        <v/>
      </c>
      <c r="Q199" s="7">
        <f>IF(OR(O199="",P199=""),"",O199/(O199+P199))</f>
        <v/>
      </c>
      <c r="R199" s="7">
        <f>IF(Q199="","",BETA.INV(0.025,O199,P199))</f>
        <v/>
      </c>
      <c r="S199" s="7">
        <f>IF(Q199="","",BETA.INV(0.975,O199,P199))</f>
        <v/>
      </c>
      <c r="T199" s="5">
        <f>IF(OR(O199="",P199=""),"",O199+P199-M199-N199)</f>
        <v/>
      </c>
      <c r="U199" s="5">
        <f>IF(T199="","先填完整分组",IF(T199&lt;30,"样本太少：仅描述",IF(T199&lt;100,"只作试点候选","可进入独立验证")))</f>
        <v/>
      </c>
      <c r="V199" s="3" t="n"/>
      <c r="W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5">
        <f>IF(COUNTA(A200:G200)&lt;7,"",COUNTIFS('原子事实记录'!$C$2:$C$2001,$D200,'原子事实记录'!$E$2:$E$2001,$A200,'原子事实记录'!$F$2:$F$2001,$B200,'原子事实记录'!$G$2:$G$2001,$C200,'原子事实记录'!$I$2:$I$2001,$E200,'原子事实记录'!$J$2:$J$2001,$F200,'原子事实记录'!$Q$2:$Q$2001,"是",'原子事实记录'!$R$2:$R$2001,"TP"))</f>
        <v/>
      </c>
      <c r="I200" s="5">
        <f>IF(COUNTA(A200:G200)&lt;7,"",COUNTIFS('原子事实记录'!$C$2:$C$2001,$D200,'原子事实记录'!$E$2:$E$2001,$A200,'原子事实记录'!$F$2:$F$2001,$B200,'原子事实记录'!$G$2:$G$2001,$C200,'原子事实记录'!$I$2:$I$2001,$E200,'原子事实记录'!$J$2:$J$2001,$F200,'原子事实记录'!$Q$2:$Q$2001,"是",'原子事实记录'!$R$2:$R$2001,"FP"))</f>
        <v/>
      </c>
      <c r="J200" s="5">
        <f>IF(COUNTA(A200:G200)&lt;7,"",COUNTIFS('原子事实记录'!$C$2:$C$2001,$D200,'原子事实记录'!$E$2:$E$2001,$A200,'原子事实记录'!$F$2:$F$2001,$B200,'原子事实记录'!$G$2:$G$2001,$C200,'原子事实记录'!$I$2:$I$2001,$E200,'原子事实记录'!$J$2:$J$2001,$F200,'原子事实记录'!$Q$2:$Q$2001,"是",'原子事实记录'!$R$2:$R$2001,"FN"))</f>
        <v/>
      </c>
      <c r="K200" s="5">
        <f>IF(COUNTA(A200:G200)&lt;7,"",COUNTIFS('原子事实记录'!$C$2:$C$2001,$D200,'原子事实记录'!$E$2:$E$2001,$A200,'原子事实记录'!$F$2:$F$2001,$B200,'原子事实记录'!$G$2:$G$2001,$C200,'原子事实记录'!$I$2:$I$2001,$E200,'原子事实记录'!$J$2:$J$2001,$F200,'原子事实记录'!$Q$2:$Q$2001,"是",'原子事实记录'!$R$2:$R$2001,"TN"))</f>
        <v/>
      </c>
      <c r="L200" s="5">
        <f>IF(COUNTA(A200:G200)&lt;7,"",COUNTIFS('原子事实记录'!$C$2:$C$2001,$D200,'原子事实记录'!$E$2:$E$2001,$A200,'原子事实记录'!$F$2:$F$2001,$B200,'原子事实记录'!$G$2:$G$2001,$C200,'原子事实记录'!$I$2:$I$2001,$E200,'原子事实记录'!$J$2:$J$2001,$F200,'原子事实记录'!$Q$2:$Q$2001,"是",'原子事实记录'!$R$2:$R$2001,"未知"))</f>
        <v/>
      </c>
      <c r="M200" s="3" t="n"/>
      <c r="N200" s="3" t="n"/>
      <c r="O200" s="5">
        <f>IF(OR(G200="",M200="",N200=""),"",M200+IF(G200="肯定主张正确率",H200,IF(G200="否定主张正确率",K200,IF(G200="灵敏度",H200,K200))))</f>
        <v/>
      </c>
      <c r="P200" s="5">
        <f>IF(OR(G200="",M200="",N200=""),"",N200+IF(G200="肯定主张正确率",I200,IF(G200="否定主张正确率",J200,IF(G200="灵敏度",J200,I200))))</f>
        <v/>
      </c>
      <c r="Q200" s="7">
        <f>IF(OR(O200="",P200=""),"",O200/(O200+P200))</f>
        <v/>
      </c>
      <c r="R200" s="7">
        <f>IF(Q200="","",BETA.INV(0.025,O200,P200))</f>
        <v/>
      </c>
      <c r="S200" s="7">
        <f>IF(Q200="","",BETA.INV(0.975,O200,P200))</f>
        <v/>
      </c>
      <c r="T200" s="5">
        <f>IF(OR(O200="",P200=""),"",O200+P200-M200-N200)</f>
        <v/>
      </c>
      <c r="U200" s="5">
        <f>IF(T200="","先填完整分组",IF(T200&lt;30,"样本太少：仅描述",IF(T200&lt;100,"只作试点候选","可进入独立验证")))</f>
        <v/>
      </c>
      <c r="V200" s="3" t="n"/>
      <c r="W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5">
        <f>IF(COUNTA(A201:G201)&lt;7,"",COUNTIFS('原子事实记录'!$C$2:$C$2001,$D201,'原子事实记录'!$E$2:$E$2001,$A201,'原子事实记录'!$F$2:$F$2001,$B201,'原子事实记录'!$G$2:$G$2001,$C201,'原子事实记录'!$I$2:$I$2001,$E201,'原子事实记录'!$J$2:$J$2001,$F201,'原子事实记录'!$Q$2:$Q$2001,"是",'原子事实记录'!$R$2:$R$2001,"TP"))</f>
        <v/>
      </c>
      <c r="I201" s="5">
        <f>IF(COUNTA(A201:G201)&lt;7,"",COUNTIFS('原子事实记录'!$C$2:$C$2001,$D201,'原子事实记录'!$E$2:$E$2001,$A201,'原子事实记录'!$F$2:$F$2001,$B201,'原子事实记录'!$G$2:$G$2001,$C201,'原子事实记录'!$I$2:$I$2001,$E201,'原子事实记录'!$J$2:$J$2001,$F201,'原子事实记录'!$Q$2:$Q$2001,"是",'原子事实记录'!$R$2:$R$2001,"FP"))</f>
        <v/>
      </c>
      <c r="J201" s="5">
        <f>IF(COUNTA(A201:G201)&lt;7,"",COUNTIFS('原子事实记录'!$C$2:$C$2001,$D201,'原子事实记录'!$E$2:$E$2001,$A201,'原子事实记录'!$F$2:$F$2001,$B201,'原子事实记录'!$G$2:$G$2001,$C201,'原子事实记录'!$I$2:$I$2001,$E201,'原子事实记录'!$J$2:$J$2001,$F201,'原子事实记录'!$Q$2:$Q$2001,"是",'原子事实记录'!$R$2:$R$2001,"FN"))</f>
        <v/>
      </c>
      <c r="K201" s="5">
        <f>IF(COUNTA(A201:G201)&lt;7,"",COUNTIFS('原子事实记录'!$C$2:$C$2001,$D201,'原子事实记录'!$E$2:$E$2001,$A201,'原子事实记录'!$F$2:$F$2001,$B201,'原子事实记录'!$G$2:$G$2001,$C201,'原子事实记录'!$I$2:$I$2001,$E201,'原子事实记录'!$J$2:$J$2001,$F201,'原子事实记录'!$Q$2:$Q$2001,"是",'原子事实记录'!$R$2:$R$2001,"TN"))</f>
        <v/>
      </c>
      <c r="L201" s="5">
        <f>IF(COUNTA(A201:G201)&lt;7,"",COUNTIFS('原子事实记录'!$C$2:$C$2001,$D201,'原子事实记录'!$E$2:$E$2001,$A201,'原子事实记录'!$F$2:$F$2001,$B201,'原子事实记录'!$G$2:$G$2001,$C201,'原子事实记录'!$I$2:$I$2001,$E201,'原子事实记录'!$J$2:$J$2001,$F201,'原子事实记录'!$Q$2:$Q$2001,"是",'原子事实记录'!$R$2:$R$2001,"未知"))</f>
        <v/>
      </c>
      <c r="M201" s="3" t="n"/>
      <c r="N201" s="3" t="n"/>
      <c r="O201" s="5">
        <f>IF(OR(G201="",M201="",N201=""),"",M201+IF(G201="肯定主张正确率",H201,IF(G201="否定主张正确率",K201,IF(G201="灵敏度",H201,K201))))</f>
        <v/>
      </c>
      <c r="P201" s="5">
        <f>IF(OR(G201="",M201="",N201=""),"",N201+IF(G201="肯定主张正确率",I201,IF(G201="否定主张正确率",J201,IF(G201="灵敏度",J201,I201))))</f>
        <v/>
      </c>
      <c r="Q201" s="7">
        <f>IF(OR(O201="",P201=""),"",O201/(O201+P201))</f>
        <v/>
      </c>
      <c r="R201" s="7">
        <f>IF(Q201="","",BETA.INV(0.025,O201,P201))</f>
        <v/>
      </c>
      <c r="S201" s="7">
        <f>IF(Q201="","",BETA.INV(0.975,O201,P201))</f>
        <v/>
      </c>
      <c r="T201" s="5">
        <f>IF(OR(O201="",P201=""),"",O201+P201-M201-N201)</f>
        <v/>
      </c>
      <c r="U201" s="5">
        <f>IF(T201="","先填完整分组",IF(T201&lt;30,"样本太少：仅描述",IF(T201&lt;100,"只作试点候选","可进入独立验证")))</f>
        <v/>
      </c>
      <c r="V201" s="3" t="n"/>
      <c r="W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5">
        <f>IF(COUNTA(A202:G202)&lt;7,"",COUNTIFS('原子事实记录'!$C$2:$C$2001,$D202,'原子事实记录'!$E$2:$E$2001,$A202,'原子事实记录'!$F$2:$F$2001,$B202,'原子事实记录'!$G$2:$G$2001,$C202,'原子事实记录'!$I$2:$I$2001,$E202,'原子事实记录'!$J$2:$J$2001,$F202,'原子事实记录'!$Q$2:$Q$2001,"是",'原子事实记录'!$R$2:$R$2001,"TP"))</f>
        <v/>
      </c>
      <c r="I202" s="5">
        <f>IF(COUNTA(A202:G202)&lt;7,"",COUNTIFS('原子事实记录'!$C$2:$C$2001,$D202,'原子事实记录'!$E$2:$E$2001,$A202,'原子事实记录'!$F$2:$F$2001,$B202,'原子事实记录'!$G$2:$G$2001,$C202,'原子事实记录'!$I$2:$I$2001,$E202,'原子事实记录'!$J$2:$J$2001,$F202,'原子事实记录'!$Q$2:$Q$2001,"是",'原子事实记录'!$R$2:$R$2001,"FP"))</f>
        <v/>
      </c>
      <c r="J202" s="5">
        <f>IF(COUNTA(A202:G202)&lt;7,"",COUNTIFS('原子事实记录'!$C$2:$C$2001,$D202,'原子事实记录'!$E$2:$E$2001,$A202,'原子事实记录'!$F$2:$F$2001,$B202,'原子事实记录'!$G$2:$G$2001,$C202,'原子事实记录'!$I$2:$I$2001,$E202,'原子事实记录'!$J$2:$J$2001,$F202,'原子事实记录'!$Q$2:$Q$2001,"是",'原子事实记录'!$R$2:$R$2001,"FN"))</f>
        <v/>
      </c>
      <c r="K202" s="5">
        <f>IF(COUNTA(A202:G202)&lt;7,"",COUNTIFS('原子事实记录'!$C$2:$C$2001,$D202,'原子事实记录'!$E$2:$E$2001,$A202,'原子事实记录'!$F$2:$F$2001,$B202,'原子事实记录'!$G$2:$G$2001,$C202,'原子事实记录'!$I$2:$I$2001,$E202,'原子事实记录'!$J$2:$J$2001,$F202,'原子事实记录'!$Q$2:$Q$2001,"是",'原子事实记录'!$R$2:$R$2001,"TN"))</f>
        <v/>
      </c>
      <c r="L202" s="5">
        <f>IF(COUNTA(A202:G202)&lt;7,"",COUNTIFS('原子事实记录'!$C$2:$C$2001,$D202,'原子事实记录'!$E$2:$E$2001,$A202,'原子事实记录'!$F$2:$F$2001,$B202,'原子事实记录'!$G$2:$G$2001,$C202,'原子事实记录'!$I$2:$I$2001,$E202,'原子事实记录'!$J$2:$J$2001,$F202,'原子事实记录'!$Q$2:$Q$2001,"是",'原子事实记录'!$R$2:$R$2001,"未知"))</f>
        <v/>
      </c>
      <c r="M202" s="3" t="n"/>
      <c r="N202" s="3" t="n"/>
      <c r="O202" s="5">
        <f>IF(OR(G202="",M202="",N202=""),"",M202+IF(G202="肯定主张正确率",H202,IF(G202="否定主张正确率",K202,IF(G202="灵敏度",H202,K202))))</f>
        <v/>
      </c>
      <c r="P202" s="5">
        <f>IF(OR(G202="",M202="",N202=""),"",N202+IF(G202="肯定主张正确率",I202,IF(G202="否定主张正确率",J202,IF(G202="灵敏度",J202,I202))))</f>
        <v/>
      </c>
      <c r="Q202" s="7">
        <f>IF(OR(O202="",P202=""),"",O202/(O202+P202))</f>
        <v/>
      </c>
      <c r="R202" s="7">
        <f>IF(Q202="","",BETA.INV(0.025,O202,P202))</f>
        <v/>
      </c>
      <c r="S202" s="7">
        <f>IF(Q202="","",BETA.INV(0.975,O202,P202))</f>
        <v/>
      </c>
      <c r="T202" s="5">
        <f>IF(OR(O202="",P202=""),"",O202+P202-M202-N202)</f>
        <v/>
      </c>
      <c r="U202" s="5">
        <f>IF(T202="","先填完整分组",IF(T202&lt;30,"样本太少：仅描述",IF(T202&lt;100,"只作试点候选","可进入独立验证")))</f>
        <v/>
      </c>
      <c r="V202" s="3" t="n"/>
      <c r="W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5">
        <f>IF(COUNTA(A203:G203)&lt;7,"",COUNTIFS('原子事实记录'!$C$2:$C$2001,$D203,'原子事实记录'!$E$2:$E$2001,$A203,'原子事实记录'!$F$2:$F$2001,$B203,'原子事实记录'!$G$2:$G$2001,$C203,'原子事实记录'!$I$2:$I$2001,$E203,'原子事实记录'!$J$2:$J$2001,$F203,'原子事实记录'!$Q$2:$Q$2001,"是",'原子事实记录'!$R$2:$R$2001,"TP"))</f>
        <v/>
      </c>
      <c r="I203" s="5">
        <f>IF(COUNTA(A203:G203)&lt;7,"",COUNTIFS('原子事实记录'!$C$2:$C$2001,$D203,'原子事实记录'!$E$2:$E$2001,$A203,'原子事实记录'!$F$2:$F$2001,$B203,'原子事实记录'!$G$2:$G$2001,$C203,'原子事实记录'!$I$2:$I$2001,$E203,'原子事实记录'!$J$2:$J$2001,$F203,'原子事实记录'!$Q$2:$Q$2001,"是",'原子事实记录'!$R$2:$R$2001,"FP"))</f>
        <v/>
      </c>
      <c r="J203" s="5">
        <f>IF(COUNTA(A203:G203)&lt;7,"",COUNTIFS('原子事实记录'!$C$2:$C$2001,$D203,'原子事实记录'!$E$2:$E$2001,$A203,'原子事实记录'!$F$2:$F$2001,$B203,'原子事实记录'!$G$2:$G$2001,$C203,'原子事实记录'!$I$2:$I$2001,$E203,'原子事实记录'!$J$2:$J$2001,$F203,'原子事实记录'!$Q$2:$Q$2001,"是",'原子事实记录'!$R$2:$R$2001,"FN"))</f>
        <v/>
      </c>
      <c r="K203" s="5">
        <f>IF(COUNTA(A203:G203)&lt;7,"",COUNTIFS('原子事实记录'!$C$2:$C$2001,$D203,'原子事实记录'!$E$2:$E$2001,$A203,'原子事实记录'!$F$2:$F$2001,$B203,'原子事实记录'!$G$2:$G$2001,$C203,'原子事实记录'!$I$2:$I$2001,$E203,'原子事实记录'!$J$2:$J$2001,$F203,'原子事实记录'!$Q$2:$Q$2001,"是",'原子事实记录'!$R$2:$R$2001,"TN"))</f>
        <v/>
      </c>
      <c r="L203" s="5">
        <f>IF(COUNTA(A203:G203)&lt;7,"",COUNTIFS('原子事实记录'!$C$2:$C$2001,$D203,'原子事实记录'!$E$2:$E$2001,$A203,'原子事实记录'!$F$2:$F$2001,$B203,'原子事实记录'!$G$2:$G$2001,$C203,'原子事实记录'!$I$2:$I$2001,$E203,'原子事实记录'!$J$2:$J$2001,$F203,'原子事实记录'!$Q$2:$Q$2001,"是",'原子事实记录'!$R$2:$R$2001,"未知"))</f>
        <v/>
      </c>
      <c r="M203" s="3" t="n"/>
      <c r="N203" s="3" t="n"/>
      <c r="O203" s="5">
        <f>IF(OR(G203="",M203="",N203=""),"",M203+IF(G203="肯定主张正确率",H203,IF(G203="否定主张正确率",K203,IF(G203="灵敏度",H203,K203))))</f>
        <v/>
      </c>
      <c r="P203" s="5">
        <f>IF(OR(G203="",M203="",N203=""),"",N203+IF(G203="肯定主张正确率",I203,IF(G203="否定主张正确率",J203,IF(G203="灵敏度",J203,I203))))</f>
        <v/>
      </c>
      <c r="Q203" s="7">
        <f>IF(OR(O203="",P203=""),"",O203/(O203+P203))</f>
        <v/>
      </c>
      <c r="R203" s="7">
        <f>IF(Q203="","",BETA.INV(0.025,O203,P203))</f>
        <v/>
      </c>
      <c r="S203" s="7">
        <f>IF(Q203="","",BETA.INV(0.975,O203,P203))</f>
        <v/>
      </c>
      <c r="T203" s="5">
        <f>IF(OR(O203="",P203=""),"",O203+P203-M203-N203)</f>
        <v/>
      </c>
      <c r="U203" s="5">
        <f>IF(T203="","先填完整分组",IF(T203&lt;30,"样本太少：仅描述",IF(T203&lt;100,"只作试点候选","可进入独立验证")))</f>
        <v/>
      </c>
      <c r="V203" s="3" t="n"/>
      <c r="W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5">
        <f>IF(COUNTA(A204:G204)&lt;7,"",COUNTIFS('原子事实记录'!$C$2:$C$2001,$D204,'原子事实记录'!$E$2:$E$2001,$A204,'原子事实记录'!$F$2:$F$2001,$B204,'原子事实记录'!$G$2:$G$2001,$C204,'原子事实记录'!$I$2:$I$2001,$E204,'原子事实记录'!$J$2:$J$2001,$F204,'原子事实记录'!$Q$2:$Q$2001,"是",'原子事实记录'!$R$2:$R$2001,"TP"))</f>
        <v/>
      </c>
      <c r="I204" s="5">
        <f>IF(COUNTA(A204:G204)&lt;7,"",COUNTIFS('原子事实记录'!$C$2:$C$2001,$D204,'原子事实记录'!$E$2:$E$2001,$A204,'原子事实记录'!$F$2:$F$2001,$B204,'原子事实记录'!$G$2:$G$2001,$C204,'原子事实记录'!$I$2:$I$2001,$E204,'原子事实记录'!$J$2:$J$2001,$F204,'原子事实记录'!$Q$2:$Q$2001,"是",'原子事实记录'!$R$2:$R$2001,"FP"))</f>
        <v/>
      </c>
      <c r="J204" s="5">
        <f>IF(COUNTA(A204:G204)&lt;7,"",COUNTIFS('原子事实记录'!$C$2:$C$2001,$D204,'原子事实记录'!$E$2:$E$2001,$A204,'原子事实记录'!$F$2:$F$2001,$B204,'原子事实记录'!$G$2:$G$2001,$C204,'原子事实记录'!$I$2:$I$2001,$E204,'原子事实记录'!$J$2:$J$2001,$F204,'原子事实记录'!$Q$2:$Q$2001,"是",'原子事实记录'!$R$2:$R$2001,"FN"))</f>
        <v/>
      </c>
      <c r="K204" s="5">
        <f>IF(COUNTA(A204:G204)&lt;7,"",COUNTIFS('原子事实记录'!$C$2:$C$2001,$D204,'原子事实记录'!$E$2:$E$2001,$A204,'原子事实记录'!$F$2:$F$2001,$B204,'原子事实记录'!$G$2:$G$2001,$C204,'原子事实记录'!$I$2:$I$2001,$E204,'原子事实记录'!$J$2:$J$2001,$F204,'原子事实记录'!$Q$2:$Q$2001,"是",'原子事实记录'!$R$2:$R$2001,"TN"))</f>
        <v/>
      </c>
      <c r="L204" s="5">
        <f>IF(COUNTA(A204:G204)&lt;7,"",COUNTIFS('原子事实记录'!$C$2:$C$2001,$D204,'原子事实记录'!$E$2:$E$2001,$A204,'原子事实记录'!$F$2:$F$2001,$B204,'原子事实记录'!$G$2:$G$2001,$C204,'原子事实记录'!$I$2:$I$2001,$E204,'原子事实记录'!$J$2:$J$2001,$F204,'原子事实记录'!$Q$2:$Q$2001,"是",'原子事实记录'!$R$2:$R$2001,"未知"))</f>
        <v/>
      </c>
      <c r="M204" s="3" t="n"/>
      <c r="N204" s="3" t="n"/>
      <c r="O204" s="5">
        <f>IF(OR(G204="",M204="",N204=""),"",M204+IF(G204="肯定主张正确率",H204,IF(G204="否定主张正确率",K204,IF(G204="灵敏度",H204,K204))))</f>
        <v/>
      </c>
      <c r="P204" s="5">
        <f>IF(OR(G204="",M204="",N204=""),"",N204+IF(G204="肯定主张正确率",I204,IF(G204="否定主张正确率",J204,IF(G204="灵敏度",J204,I204))))</f>
        <v/>
      </c>
      <c r="Q204" s="7">
        <f>IF(OR(O204="",P204=""),"",O204/(O204+P204))</f>
        <v/>
      </c>
      <c r="R204" s="7">
        <f>IF(Q204="","",BETA.INV(0.025,O204,P204))</f>
        <v/>
      </c>
      <c r="S204" s="7">
        <f>IF(Q204="","",BETA.INV(0.975,O204,P204))</f>
        <v/>
      </c>
      <c r="T204" s="5">
        <f>IF(OR(O204="",P204=""),"",O204+P204-M204-N204)</f>
        <v/>
      </c>
      <c r="U204" s="5">
        <f>IF(T204="","先填完整分组",IF(T204&lt;30,"样本太少：仅描述",IF(T204&lt;100,"只作试点候选","可进入独立验证")))</f>
        <v/>
      </c>
      <c r="V204" s="3" t="n"/>
      <c r="W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5">
        <f>IF(COUNTA(A205:G205)&lt;7,"",COUNTIFS('原子事实记录'!$C$2:$C$2001,$D205,'原子事实记录'!$E$2:$E$2001,$A205,'原子事实记录'!$F$2:$F$2001,$B205,'原子事实记录'!$G$2:$G$2001,$C205,'原子事实记录'!$I$2:$I$2001,$E205,'原子事实记录'!$J$2:$J$2001,$F205,'原子事实记录'!$Q$2:$Q$2001,"是",'原子事实记录'!$R$2:$R$2001,"TP"))</f>
        <v/>
      </c>
      <c r="I205" s="5">
        <f>IF(COUNTA(A205:G205)&lt;7,"",COUNTIFS('原子事实记录'!$C$2:$C$2001,$D205,'原子事实记录'!$E$2:$E$2001,$A205,'原子事实记录'!$F$2:$F$2001,$B205,'原子事实记录'!$G$2:$G$2001,$C205,'原子事实记录'!$I$2:$I$2001,$E205,'原子事实记录'!$J$2:$J$2001,$F205,'原子事实记录'!$Q$2:$Q$2001,"是",'原子事实记录'!$R$2:$R$2001,"FP"))</f>
        <v/>
      </c>
      <c r="J205" s="5">
        <f>IF(COUNTA(A205:G205)&lt;7,"",COUNTIFS('原子事实记录'!$C$2:$C$2001,$D205,'原子事实记录'!$E$2:$E$2001,$A205,'原子事实记录'!$F$2:$F$2001,$B205,'原子事实记录'!$G$2:$G$2001,$C205,'原子事实记录'!$I$2:$I$2001,$E205,'原子事实记录'!$J$2:$J$2001,$F205,'原子事实记录'!$Q$2:$Q$2001,"是",'原子事实记录'!$R$2:$R$2001,"FN"))</f>
        <v/>
      </c>
      <c r="K205" s="5">
        <f>IF(COUNTA(A205:G205)&lt;7,"",COUNTIFS('原子事实记录'!$C$2:$C$2001,$D205,'原子事实记录'!$E$2:$E$2001,$A205,'原子事实记录'!$F$2:$F$2001,$B205,'原子事实记录'!$G$2:$G$2001,$C205,'原子事实记录'!$I$2:$I$2001,$E205,'原子事实记录'!$J$2:$J$2001,$F205,'原子事实记录'!$Q$2:$Q$2001,"是",'原子事实记录'!$R$2:$R$2001,"TN"))</f>
        <v/>
      </c>
      <c r="L205" s="5">
        <f>IF(COUNTA(A205:G205)&lt;7,"",COUNTIFS('原子事实记录'!$C$2:$C$2001,$D205,'原子事实记录'!$E$2:$E$2001,$A205,'原子事实记录'!$F$2:$F$2001,$B205,'原子事实记录'!$G$2:$G$2001,$C205,'原子事实记录'!$I$2:$I$2001,$E205,'原子事实记录'!$J$2:$J$2001,$F205,'原子事实记录'!$Q$2:$Q$2001,"是",'原子事实记录'!$R$2:$R$2001,"未知"))</f>
        <v/>
      </c>
      <c r="M205" s="3" t="n"/>
      <c r="N205" s="3" t="n"/>
      <c r="O205" s="5">
        <f>IF(OR(G205="",M205="",N205=""),"",M205+IF(G205="肯定主张正确率",H205,IF(G205="否定主张正确率",K205,IF(G205="灵敏度",H205,K205))))</f>
        <v/>
      </c>
      <c r="P205" s="5">
        <f>IF(OR(G205="",M205="",N205=""),"",N205+IF(G205="肯定主张正确率",I205,IF(G205="否定主张正确率",J205,IF(G205="灵敏度",J205,I205))))</f>
        <v/>
      </c>
      <c r="Q205" s="7">
        <f>IF(OR(O205="",P205=""),"",O205/(O205+P205))</f>
        <v/>
      </c>
      <c r="R205" s="7">
        <f>IF(Q205="","",BETA.INV(0.025,O205,P205))</f>
        <v/>
      </c>
      <c r="S205" s="7">
        <f>IF(Q205="","",BETA.INV(0.975,O205,P205))</f>
        <v/>
      </c>
      <c r="T205" s="5">
        <f>IF(OR(O205="",P205=""),"",O205+P205-M205-N205)</f>
        <v/>
      </c>
      <c r="U205" s="5">
        <f>IF(T205="","先填完整分组",IF(T205&lt;30,"样本太少：仅描述",IF(T205&lt;100,"只作试点候选","可进入独立验证")))</f>
        <v/>
      </c>
      <c r="V205" s="3" t="n"/>
      <c r="W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5">
        <f>IF(COUNTA(A206:G206)&lt;7,"",COUNTIFS('原子事实记录'!$C$2:$C$2001,$D206,'原子事实记录'!$E$2:$E$2001,$A206,'原子事实记录'!$F$2:$F$2001,$B206,'原子事实记录'!$G$2:$G$2001,$C206,'原子事实记录'!$I$2:$I$2001,$E206,'原子事实记录'!$J$2:$J$2001,$F206,'原子事实记录'!$Q$2:$Q$2001,"是",'原子事实记录'!$R$2:$R$2001,"TP"))</f>
        <v/>
      </c>
      <c r="I206" s="5">
        <f>IF(COUNTA(A206:G206)&lt;7,"",COUNTIFS('原子事实记录'!$C$2:$C$2001,$D206,'原子事实记录'!$E$2:$E$2001,$A206,'原子事实记录'!$F$2:$F$2001,$B206,'原子事实记录'!$G$2:$G$2001,$C206,'原子事实记录'!$I$2:$I$2001,$E206,'原子事实记录'!$J$2:$J$2001,$F206,'原子事实记录'!$Q$2:$Q$2001,"是",'原子事实记录'!$R$2:$R$2001,"FP"))</f>
        <v/>
      </c>
      <c r="J206" s="5">
        <f>IF(COUNTA(A206:G206)&lt;7,"",COUNTIFS('原子事实记录'!$C$2:$C$2001,$D206,'原子事实记录'!$E$2:$E$2001,$A206,'原子事实记录'!$F$2:$F$2001,$B206,'原子事实记录'!$G$2:$G$2001,$C206,'原子事实记录'!$I$2:$I$2001,$E206,'原子事实记录'!$J$2:$J$2001,$F206,'原子事实记录'!$Q$2:$Q$2001,"是",'原子事实记录'!$R$2:$R$2001,"FN"))</f>
        <v/>
      </c>
      <c r="K206" s="5">
        <f>IF(COUNTA(A206:G206)&lt;7,"",COUNTIFS('原子事实记录'!$C$2:$C$2001,$D206,'原子事实记录'!$E$2:$E$2001,$A206,'原子事实记录'!$F$2:$F$2001,$B206,'原子事实记录'!$G$2:$G$2001,$C206,'原子事实记录'!$I$2:$I$2001,$E206,'原子事实记录'!$J$2:$J$2001,$F206,'原子事实记录'!$Q$2:$Q$2001,"是",'原子事实记录'!$R$2:$R$2001,"TN"))</f>
        <v/>
      </c>
      <c r="L206" s="5">
        <f>IF(COUNTA(A206:G206)&lt;7,"",COUNTIFS('原子事实记录'!$C$2:$C$2001,$D206,'原子事实记录'!$E$2:$E$2001,$A206,'原子事实记录'!$F$2:$F$2001,$B206,'原子事实记录'!$G$2:$G$2001,$C206,'原子事实记录'!$I$2:$I$2001,$E206,'原子事实记录'!$J$2:$J$2001,$F206,'原子事实记录'!$Q$2:$Q$2001,"是",'原子事实记录'!$R$2:$R$2001,"未知"))</f>
        <v/>
      </c>
      <c r="M206" s="3" t="n"/>
      <c r="N206" s="3" t="n"/>
      <c r="O206" s="5">
        <f>IF(OR(G206="",M206="",N206=""),"",M206+IF(G206="肯定主张正确率",H206,IF(G206="否定主张正确率",K206,IF(G206="灵敏度",H206,K206))))</f>
        <v/>
      </c>
      <c r="P206" s="5">
        <f>IF(OR(G206="",M206="",N206=""),"",N206+IF(G206="肯定主张正确率",I206,IF(G206="否定主张正确率",J206,IF(G206="灵敏度",J206,I206))))</f>
        <v/>
      </c>
      <c r="Q206" s="7">
        <f>IF(OR(O206="",P206=""),"",O206/(O206+P206))</f>
        <v/>
      </c>
      <c r="R206" s="7">
        <f>IF(Q206="","",BETA.INV(0.025,O206,P206))</f>
        <v/>
      </c>
      <c r="S206" s="7">
        <f>IF(Q206="","",BETA.INV(0.975,O206,P206))</f>
        <v/>
      </c>
      <c r="T206" s="5">
        <f>IF(OR(O206="",P206=""),"",O206+P206-M206-N206)</f>
        <v/>
      </c>
      <c r="U206" s="5">
        <f>IF(T206="","先填完整分组",IF(T206&lt;30,"样本太少：仅描述",IF(T206&lt;100,"只作试点候选","可进入独立验证")))</f>
        <v/>
      </c>
      <c r="V206" s="3" t="n"/>
      <c r="W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5">
        <f>IF(COUNTA(A207:G207)&lt;7,"",COUNTIFS('原子事实记录'!$C$2:$C$2001,$D207,'原子事实记录'!$E$2:$E$2001,$A207,'原子事实记录'!$F$2:$F$2001,$B207,'原子事实记录'!$G$2:$G$2001,$C207,'原子事实记录'!$I$2:$I$2001,$E207,'原子事实记录'!$J$2:$J$2001,$F207,'原子事实记录'!$Q$2:$Q$2001,"是",'原子事实记录'!$R$2:$R$2001,"TP"))</f>
        <v/>
      </c>
      <c r="I207" s="5">
        <f>IF(COUNTA(A207:G207)&lt;7,"",COUNTIFS('原子事实记录'!$C$2:$C$2001,$D207,'原子事实记录'!$E$2:$E$2001,$A207,'原子事实记录'!$F$2:$F$2001,$B207,'原子事实记录'!$G$2:$G$2001,$C207,'原子事实记录'!$I$2:$I$2001,$E207,'原子事实记录'!$J$2:$J$2001,$F207,'原子事实记录'!$Q$2:$Q$2001,"是",'原子事实记录'!$R$2:$R$2001,"FP"))</f>
        <v/>
      </c>
      <c r="J207" s="5">
        <f>IF(COUNTA(A207:G207)&lt;7,"",COUNTIFS('原子事实记录'!$C$2:$C$2001,$D207,'原子事实记录'!$E$2:$E$2001,$A207,'原子事实记录'!$F$2:$F$2001,$B207,'原子事实记录'!$G$2:$G$2001,$C207,'原子事实记录'!$I$2:$I$2001,$E207,'原子事实记录'!$J$2:$J$2001,$F207,'原子事实记录'!$Q$2:$Q$2001,"是",'原子事实记录'!$R$2:$R$2001,"FN"))</f>
        <v/>
      </c>
      <c r="K207" s="5">
        <f>IF(COUNTA(A207:G207)&lt;7,"",COUNTIFS('原子事实记录'!$C$2:$C$2001,$D207,'原子事实记录'!$E$2:$E$2001,$A207,'原子事实记录'!$F$2:$F$2001,$B207,'原子事实记录'!$G$2:$G$2001,$C207,'原子事实记录'!$I$2:$I$2001,$E207,'原子事实记录'!$J$2:$J$2001,$F207,'原子事实记录'!$Q$2:$Q$2001,"是",'原子事实记录'!$R$2:$R$2001,"TN"))</f>
        <v/>
      </c>
      <c r="L207" s="5">
        <f>IF(COUNTA(A207:G207)&lt;7,"",COUNTIFS('原子事实记录'!$C$2:$C$2001,$D207,'原子事实记录'!$E$2:$E$2001,$A207,'原子事实记录'!$F$2:$F$2001,$B207,'原子事实记录'!$G$2:$G$2001,$C207,'原子事实记录'!$I$2:$I$2001,$E207,'原子事实记录'!$J$2:$J$2001,$F207,'原子事实记录'!$Q$2:$Q$2001,"是",'原子事实记录'!$R$2:$R$2001,"未知"))</f>
        <v/>
      </c>
      <c r="M207" s="3" t="n"/>
      <c r="N207" s="3" t="n"/>
      <c r="O207" s="5">
        <f>IF(OR(G207="",M207="",N207=""),"",M207+IF(G207="肯定主张正确率",H207,IF(G207="否定主张正确率",K207,IF(G207="灵敏度",H207,K207))))</f>
        <v/>
      </c>
      <c r="P207" s="5">
        <f>IF(OR(G207="",M207="",N207=""),"",N207+IF(G207="肯定主张正确率",I207,IF(G207="否定主张正确率",J207,IF(G207="灵敏度",J207,I207))))</f>
        <v/>
      </c>
      <c r="Q207" s="7">
        <f>IF(OR(O207="",P207=""),"",O207/(O207+P207))</f>
        <v/>
      </c>
      <c r="R207" s="7">
        <f>IF(Q207="","",BETA.INV(0.025,O207,P207))</f>
        <v/>
      </c>
      <c r="S207" s="7">
        <f>IF(Q207="","",BETA.INV(0.975,O207,P207))</f>
        <v/>
      </c>
      <c r="T207" s="5">
        <f>IF(OR(O207="",P207=""),"",O207+P207-M207-N207)</f>
        <v/>
      </c>
      <c r="U207" s="5">
        <f>IF(T207="","先填完整分组",IF(T207&lt;30,"样本太少：仅描述",IF(T207&lt;100,"只作试点候选","可进入独立验证")))</f>
        <v/>
      </c>
      <c r="V207" s="3" t="n"/>
      <c r="W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5">
        <f>IF(COUNTA(A208:G208)&lt;7,"",COUNTIFS('原子事实记录'!$C$2:$C$2001,$D208,'原子事实记录'!$E$2:$E$2001,$A208,'原子事实记录'!$F$2:$F$2001,$B208,'原子事实记录'!$G$2:$G$2001,$C208,'原子事实记录'!$I$2:$I$2001,$E208,'原子事实记录'!$J$2:$J$2001,$F208,'原子事实记录'!$Q$2:$Q$2001,"是",'原子事实记录'!$R$2:$R$2001,"TP"))</f>
        <v/>
      </c>
      <c r="I208" s="5">
        <f>IF(COUNTA(A208:G208)&lt;7,"",COUNTIFS('原子事实记录'!$C$2:$C$2001,$D208,'原子事实记录'!$E$2:$E$2001,$A208,'原子事实记录'!$F$2:$F$2001,$B208,'原子事实记录'!$G$2:$G$2001,$C208,'原子事实记录'!$I$2:$I$2001,$E208,'原子事实记录'!$J$2:$J$2001,$F208,'原子事实记录'!$Q$2:$Q$2001,"是",'原子事实记录'!$R$2:$R$2001,"FP"))</f>
        <v/>
      </c>
      <c r="J208" s="5">
        <f>IF(COUNTA(A208:G208)&lt;7,"",COUNTIFS('原子事实记录'!$C$2:$C$2001,$D208,'原子事实记录'!$E$2:$E$2001,$A208,'原子事实记录'!$F$2:$F$2001,$B208,'原子事实记录'!$G$2:$G$2001,$C208,'原子事实记录'!$I$2:$I$2001,$E208,'原子事实记录'!$J$2:$J$2001,$F208,'原子事实记录'!$Q$2:$Q$2001,"是",'原子事实记录'!$R$2:$R$2001,"FN"))</f>
        <v/>
      </c>
      <c r="K208" s="5">
        <f>IF(COUNTA(A208:G208)&lt;7,"",COUNTIFS('原子事实记录'!$C$2:$C$2001,$D208,'原子事实记录'!$E$2:$E$2001,$A208,'原子事实记录'!$F$2:$F$2001,$B208,'原子事实记录'!$G$2:$G$2001,$C208,'原子事实记录'!$I$2:$I$2001,$E208,'原子事实记录'!$J$2:$J$2001,$F208,'原子事实记录'!$Q$2:$Q$2001,"是",'原子事实记录'!$R$2:$R$2001,"TN"))</f>
        <v/>
      </c>
      <c r="L208" s="5">
        <f>IF(COUNTA(A208:G208)&lt;7,"",COUNTIFS('原子事实记录'!$C$2:$C$2001,$D208,'原子事实记录'!$E$2:$E$2001,$A208,'原子事实记录'!$F$2:$F$2001,$B208,'原子事实记录'!$G$2:$G$2001,$C208,'原子事实记录'!$I$2:$I$2001,$E208,'原子事实记录'!$J$2:$J$2001,$F208,'原子事实记录'!$Q$2:$Q$2001,"是",'原子事实记录'!$R$2:$R$2001,"未知"))</f>
        <v/>
      </c>
      <c r="M208" s="3" t="n"/>
      <c r="N208" s="3" t="n"/>
      <c r="O208" s="5">
        <f>IF(OR(G208="",M208="",N208=""),"",M208+IF(G208="肯定主张正确率",H208,IF(G208="否定主张正确率",K208,IF(G208="灵敏度",H208,K208))))</f>
        <v/>
      </c>
      <c r="P208" s="5">
        <f>IF(OR(G208="",M208="",N208=""),"",N208+IF(G208="肯定主张正确率",I208,IF(G208="否定主张正确率",J208,IF(G208="灵敏度",J208,I208))))</f>
        <v/>
      </c>
      <c r="Q208" s="7">
        <f>IF(OR(O208="",P208=""),"",O208/(O208+P208))</f>
        <v/>
      </c>
      <c r="R208" s="7">
        <f>IF(Q208="","",BETA.INV(0.025,O208,P208))</f>
        <v/>
      </c>
      <c r="S208" s="7">
        <f>IF(Q208="","",BETA.INV(0.975,O208,P208))</f>
        <v/>
      </c>
      <c r="T208" s="5">
        <f>IF(OR(O208="",P208=""),"",O208+P208-M208-N208)</f>
        <v/>
      </c>
      <c r="U208" s="5">
        <f>IF(T208="","先填完整分组",IF(T208&lt;30,"样本太少：仅描述",IF(T208&lt;100,"只作试点候选","可进入独立验证")))</f>
        <v/>
      </c>
      <c r="V208" s="3" t="n"/>
      <c r="W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5">
        <f>IF(COUNTA(A209:G209)&lt;7,"",COUNTIFS('原子事实记录'!$C$2:$C$2001,$D209,'原子事实记录'!$E$2:$E$2001,$A209,'原子事实记录'!$F$2:$F$2001,$B209,'原子事实记录'!$G$2:$G$2001,$C209,'原子事实记录'!$I$2:$I$2001,$E209,'原子事实记录'!$J$2:$J$2001,$F209,'原子事实记录'!$Q$2:$Q$2001,"是",'原子事实记录'!$R$2:$R$2001,"TP"))</f>
        <v/>
      </c>
      <c r="I209" s="5">
        <f>IF(COUNTA(A209:G209)&lt;7,"",COUNTIFS('原子事实记录'!$C$2:$C$2001,$D209,'原子事实记录'!$E$2:$E$2001,$A209,'原子事实记录'!$F$2:$F$2001,$B209,'原子事实记录'!$G$2:$G$2001,$C209,'原子事实记录'!$I$2:$I$2001,$E209,'原子事实记录'!$J$2:$J$2001,$F209,'原子事实记录'!$Q$2:$Q$2001,"是",'原子事实记录'!$R$2:$R$2001,"FP"))</f>
        <v/>
      </c>
      <c r="J209" s="5">
        <f>IF(COUNTA(A209:G209)&lt;7,"",COUNTIFS('原子事实记录'!$C$2:$C$2001,$D209,'原子事实记录'!$E$2:$E$2001,$A209,'原子事实记录'!$F$2:$F$2001,$B209,'原子事实记录'!$G$2:$G$2001,$C209,'原子事实记录'!$I$2:$I$2001,$E209,'原子事实记录'!$J$2:$J$2001,$F209,'原子事实记录'!$Q$2:$Q$2001,"是",'原子事实记录'!$R$2:$R$2001,"FN"))</f>
        <v/>
      </c>
      <c r="K209" s="5">
        <f>IF(COUNTA(A209:G209)&lt;7,"",COUNTIFS('原子事实记录'!$C$2:$C$2001,$D209,'原子事实记录'!$E$2:$E$2001,$A209,'原子事实记录'!$F$2:$F$2001,$B209,'原子事实记录'!$G$2:$G$2001,$C209,'原子事实记录'!$I$2:$I$2001,$E209,'原子事实记录'!$J$2:$J$2001,$F209,'原子事实记录'!$Q$2:$Q$2001,"是",'原子事实记录'!$R$2:$R$2001,"TN"))</f>
        <v/>
      </c>
      <c r="L209" s="5">
        <f>IF(COUNTA(A209:G209)&lt;7,"",COUNTIFS('原子事实记录'!$C$2:$C$2001,$D209,'原子事实记录'!$E$2:$E$2001,$A209,'原子事实记录'!$F$2:$F$2001,$B209,'原子事实记录'!$G$2:$G$2001,$C209,'原子事实记录'!$I$2:$I$2001,$E209,'原子事实记录'!$J$2:$J$2001,$F209,'原子事实记录'!$Q$2:$Q$2001,"是",'原子事实记录'!$R$2:$R$2001,"未知"))</f>
        <v/>
      </c>
      <c r="M209" s="3" t="n"/>
      <c r="N209" s="3" t="n"/>
      <c r="O209" s="5">
        <f>IF(OR(G209="",M209="",N209=""),"",M209+IF(G209="肯定主张正确率",H209,IF(G209="否定主张正确率",K209,IF(G209="灵敏度",H209,K209))))</f>
        <v/>
      </c>
      <c r="P209" s="5">
        <f>IF(OR(G209="",M209="",N209=""),"",N209+IF(G209="肯定主张正确率",I209,IF(G209="否定主张正确率",J209,IF(G209="灵敏度",J209,I209))))</f>
        <v/>
      </c>
      <c r="Q209" s="7">
        <f>IF(OR(O209="",P209=""),"",O209/(O209+P209))</f>
        <v/>
      </c>
      <c r="R209" s="7">
        <f>IF(Q209="","",BETA.INV(0.025,O209,P209))</f>
        <v/>
      </c>
      <c r="S209" s="7">
        <f>IF(Q209="","",BETA.INV(0.975,O209,P209))</f>
        <v/>
      </c>
      <c r="T209" s="5">
        <f>IF(OR(O209="",P209=""),"",O209+P209-M209-N209)</f>
        <v/>
      </c>
      <c r="U209" s="5">
        <f>IF(T209="","先填完整分组",IF(T209&lt;30,"样本太少：仅描述",IF(T209&lt;100,"只作试点候选","可进入独立验证")))</f>
        <v/>
      </c>
      <c r="V209" s="3" t="n"/>
      <c r="W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5">
        <f>IF(COUNTA(A210:G210)&lt;7,"",COUNTIFS('原子事实记录'!$C$2:$C$2001,$D210,'原子事实记录'!$E$2:$E$2001,$A210,'原子事实记录'!$F$2:$F$2001,$B210,'原子事实记录'!$G$2:$G$2001,$C210,'原子事实记录'!$I$2:$I$2001,$E210,'原子事实记录'!$J$2:$J$2001,$F210,'原子事实记录'!$Q$2:$Q$2001,"是",'原子事实记录'!$R$2:$R$2001,"TP"))</f>
        <v/>
      </c>
      <c r="I210" s="5">
        <f>IF(COUNTA(A210:G210)&lt;7,"",COUNTIFS('原子事实记录'!$C$2:$C$2001,$D210,'原子事实记录'!$E$2:$E$2001,$A210,'原子事实记录'!$F$2:$F$2001,$B210,'原子事实记录'!$G$2:$G$2001,$C210,'原子事实记录'!$I$2:$I$2001,$E210,'原子事实记录'!$J$2:$J$2001,$F210,'原子事实记录'!$Q$2:$Q$2001,"是",'原子事实记录'!$R$2:$R$2001,"FP"))</f>
        <v/>
      </c>
      <c r="J210" s="5">
        <f>IF(COUNTA(A210:G210)&lt;7,"",COUNTIFS('原子事实记录'!$C$2:$C$2001,$D210,'原子事实记录'!$E$2:$E$2001,$A210,'原子事实记录'!$F$2:$F$2001,$B210,'原子事实记录'!$G$2:$G$2001,$C210,'原子事实记录'!$I$2:$I$2001,$E210,'原子事实记录'!$J$2:$J$2001,$F210,'原子事实记录'!$Q$2:$Q$2001,"是",'原子事实记录'!$R$2:$R$2001,"FN"))</f>
        <v/>
      </c>
      <c r="K210" s="5">
        <f>IF(COUNTA(A210:G210)&lt;7,"",COUNTIFS('原子事实记录'!$C$2:$C$2001,$D210,'原子事实记录'!$E$2:$E$2001,$A210,'原子事实记录'!$F$2:$F$2001,$B210,'原子事实记录'!$G$2:$G$2001,$C210,'原子事实记录'!$I$2:$I$2001,$E210,'原子事实记录'!$J$2:$J$2001,$F210,'原子事实记录'!$Q$2:$Q$2001,"是",'原子事实记录'!$R$2:$R$2001,"TN"))</f>
        <v/>
      </c>
      <c r="L210" s="5">
        <f>IF(COUNTA(A210:G210)&lt;7,"",COUNTIFS('原子事实记录'!$C$2:$C$2001,$D210,'原子事实记录'!$E$2:$E$2001,$A210,'原子事实记录'!$F$2:$F$2001,$B210,'原子事实记录'!$G$2:$G$2001,$C210,'原子事实记录'!$I$2:$I$2001,$E210,'原子事实记录'!$J$2:$J$2001,$F210,'原子事实记录'!$Q$2:$Q$2001,"是",'原子事实记录'!$R$2:$R$2001,"未知"))</f>
        <v/>
      </c>
      <c r="M210" s="3" t="n"/>
      <c r="N210" s="3" t="n"/>
      <c r="O210" s="5">
        <f>IF(OR(G210="",M210="",N210=""),"",M210+IF(G210="肯定主张正确率",H210,IF(G210="否定主张正确率",K210,IF(G210="灵敏度",H210,K210))))</f>
        <v/>
      </c>
      <c r="P210" s="5">
        <f>IF(OR(G210="",M210="",N210=""),"",N210+IF(G210="肯定主张正确率",I210,IF(G210="否定主张正确率",J210,IF(G210="灵敏度",J210,I210))))</f>
        <v/>
      </c>
      <c r="Q210" s="7">
        <f>IF(OR(O210="",P210=""),"",O210/(O210+P210))</f>
        <v/>
      </c>
      <c r="R210" s="7">
        <f>IF(Q210="","",BETA.INV(0.025,O210,P210))</f>
        <v/>
      </c>
      <c r="S210" s="7">
        <f>IF(Q210="","",BETA.INV(0.975,O210,P210))</f>
        <v/>
      </c>
      <c r="T210" s="5">
        <f>IF(OR(O210="",P210=""),"",O210+P210-M210-N210)</f>
        <v/>
      </c>
      <c r="U210" s="5">
        <f>IF(T210="","先填完整分组",IF(T210&lt;30,"样本太少：仅描述",IF(T210&lt;100,"只作试点候选","可进入独立验证")))</f>
        <v/>
      </c>
      <c r="V210" s="3" t="n"/>
      <c r="W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5">
        <f>IF(COUNTA(A211:G211)&lt;7,"",COUNTIFS('原子事实记录'!$C$2:$C$2001,$D211,'原子事实记录'!$E$2:$E$2001,$A211,'原子事实记录'!$F$2:$F$2001,$B211,'原子事实记录'!$G$2:$G$2001,$C211,'原子事实记录'!$I$2:$I$2001,$E211,'原子事实记录'!$J$2:$J$2001,$F211,'原子事实记录'!$Q$2:$Q$2001,"是",'原子事实记录'!$R$2:$R$2001,"TP"))</f>
        <v/>
      </c>
      <c r="I211" s="5">
        <f>IF(COUNTA(A211:G211)&lt;7,"",COUNTIFS('原子事实记录'!$C$2:$C$2001,$D211,'原子事实记录'!$E$2:$E$2001,$A211,'原子事实记录'!$F$2:$F$2001,$B211,'原子事实记录'!$G$2:$G$2001,$C211,'原子事实记录'!$I$2:$I$2001,$E211,'原子事实记录'!$J$2:$J$2001,$F211,'原子事实记录'!$Q$2:$Q$2001,"是",'原子事实记录'!$R$2:$R$2001,"FP"))</f>
        <v/>
      </c>
      <c r="J211" s="5">
        <f>IF(COUNTA(A211:G211)&lt;7,"",COUNTIFS('原子事实记录'!$C$2:$C$2001,$D211,'原子事实记录'!$E$2:$E$2001,$A211,'原子事实记录'!$F$2:$F$2001,$B211,'原子事实记录'!$G$2:$G$2001,$C211,'原子事实记录'!$I$2:$I$2001,$E211,'原子事实记录'!$J$2:$J$2001,$F211,'原子事实记录'!$Q$2:$Q$2001,"是",'原子事实记录'!$R$2:$R$2001,"FN"))</f>
        <v/>
      </c>
      <c r="K211" s="5">
        <f>IF(COUNTA(A211:G211)&lt;7,"",COUNTIFS('原子事实记录'!$C$2:$C$2001,$D211,'原子事实记录'!$E$2:$E$2001,$A211,'原子事实记录'!$F$2:$F$2001,$B211,'原子事实记录'!$G$2:$G$2001,$C211,'原子事实记录'!$I$2:$I$2001,$E211,'原子事实记录'!$J$2:$J$2001,$F211,'原子事实记录'!$Q$2:$Q$2001,"是",'原子事实记录'!$R$2:$R$2001,"TN"))</f>
        <v/>
      </c>
      <c r="L211" s="5">
        <f>IF(COUNTA(A211:G211)&lt;7,"",COUNTIFS('原子事实记录'!$C$2:$C$2001,$D211,'原子事实记录'!$E$2:$E$2001,$A211,'原子事实记录'!$F$2:$F$2001,$B211,'原子事实记录'!$G$2:$G$2001,$C211,'原子事实记录'!$I$2:$I$2001,$E211,'原子事实记录'!$J$2:$J$2001,$F211,'原子事实记录'!$Q$2:$Q$2001,"是",'原子事实记录'!$R$2:$R$2001,"未知"))</f>
        <v/>
      </c>
      <c r="M211" s="3" t="n"/>
      <c r="N211" s="3" t="n"/>
      <c r="O211" s="5">
        <f>IF(OR(G211="",M211="",N211=""),"",M211+IF(G211="肯定主张正确率",H211,IF(G211="否定主张正确率",K211,IF(G211="灵敏度",H211,K211))))</f>
        <v/>
      </c>
      <c r="P211" s="5">
        <f>IF(OR(G211="",M211="",N211=""),"",N211+IF(G211="肯定主张正确率",I211,IF(G211="否定主张正确率",J211,IF(G211="灵敏度",J211,I211))))</f>
        <v/>
      </c>
      <c r="Q211" s="7">
        <f>IF(OR(O211="",P211=""),"",O211/(O211+P211))</f>
        <v/>
      </c>
      <c r="R211" s="7">
        <f>IF(Q211="","",BETA.INV(0.025,O211,P211))</f>
        <v/>
      </c>
      <c r="S211" s="7">
        <f>IF(Q211="","",BETA.INV(0.975,O211,P211))</f>
        <v/>
      </c>
      <c r="T211" s="5">
        <f>IF(OR(O211="",P211=""),"",O211+P211-M211-N211)</f>
        <v/>
      </c>
      <c r="U211" s="5">
        <f>IF(T211="","先填完整分组",IF(T211&lt;30,"样本太少：仅描述",IF(T211&lt;100,"只作试点候选","可进入独立验证")))</f>
        <v/>
      </c>
      <c r="V211" s="3" t="n"/>
      <c r="W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5">
        <f>IF(COUNTA(A212:G212)&lt;7,"",COUNTIFS('原子事实记录'!$C$2:$C$2001,$D212,'原子事实记录'!$E$2:$E$2001,$A212,'原子事实记录'!$F$2:$F$2001,$B212,'原子事实记录'!$G$2:$G$2001,$C212,'原子事实记录'!$I$2:$I$2001,$E212,'原子事实记录'!$J$2:$J$2001,$F212,'原子事实记录'!$Q$2:$Q$2001,"是",'原子事实记录'!$R$2:$R$2001,"TP"))</f>
        <v/>
      </c>
      <c r="I212" s="5">
        <f>IF(COUNTA(A212:G212)&lt;7,"",COUNTIFS('原子事实记录'!$C$2:$C$2001,$D212,'原子事实记录'!$E$2:$E$2001,$A212,'原子事实记录'!$F$2:$F$2001,$B212,'原子事实记录'!$G$2:$G$2001,$C212,'原子事实记录'!$I$2:$I$2001,$E212,'原子事实记录'!$J$2:$J$2001,$F212,'原子事实记录'!$Q$2:$Q$2001,"是",'原子事实记录'!$R$2:$R$2001,"FP"))</f>
        <v/>
      </c>
      <c r="J212" s="5">
        <f>IF(COUNTA(A212:G212)&lt;7,"",COUNTIFS('原子事实记录'!$C$2:$C$2001,$D212,'原子事实记录'!$E$2:$E$2001,$A212,'原子事实记录'!$F$2:$F$2001,$B212,'原子事实记录'!$G$2:$G$2001,$C212,'原子事实记录'!$I$2:$I$2001,$E212,'原子事实记录'!$J$2:$J$2001,$F212,'原子事实记录'!$Q$2:$Q$2001,"是",'原子事实记录'!$R$2:$R$2001,"FN"))</f>
        <v/>
      </c>
      <c r="K212" s="5">
        <f>IF(COUNTA(A212:G212)&lt;7,"",COUNTIFS('原子事实记录'!$C$2:$C$2001,$D212,'原子事实记录'!$E$2:$E$2001,$A212,'原子事实记录'!$F$2:$F$2001,$B212,'原子事实记录'!$G$2:$G$2001,$C212,'原子事实记录'!$I$2:$I$2001,$E212,'原子事实记录'!$J$2:$J$2001,$F212,'原子事实记录'!$Q$2:$Q$2001,"是",'原子事实记录'!$R$2:$R$2001,"TN"))</f>
        <v/>
      </c>
      <c r="L212" s="5">
        <f>IF(COUNTA(A212:G212)&lt;7,"",COUNTIFS('原子事实记录'!$C$2:$C$2001,$D212,'原子事实记录'!$E$2:$E$2001,$A212,'原子事实记录'!$F$2:$F$2001,$B212,'原子事实记录'!$G$2:$G$2001,$C212,'原子事实记录'!$I$2:$I$2001,$E212,'原子事实记录'!$J$2:$J$2001,$F212,'原子事实记录'!$Q$2:$Q$2001,"是",'原子事实记录'!$R$2:$R$2001,"未知"))</f>
        <v/>
      </c>
      <c r="M212" s="3" t="n"/>
      <c r="N212" s="3" t="n"/>
      <c r="O212" s="5">
        <f>IF(OR(G212="",M212="",N212=""),"",M212+IF(G212="肯定主张正确率",H212,IF(G212="否定主张正确率",K212,IF(G212="灵敏度",H212,K212))))</f>
        <v/>
      </c>
      <c r="P212" s="5">
        <f>IF(OR(G212="",M212="",N212=""),"",N212+IF(G212="肯定主张正确率",I212,IF(G212="否定主张正确率",J212,IF(G212="灵敏度",J212,I212))))</f>
        <v/>
      </c>
      <c r="Q212" s="7">
        <f>IF(OR(O212="",P212=""),"",O212/(O212+P212))</f>
        <v/>
      </c>
      <c r="R212" s="7">
        <f>IF(Q212="","",BETA.INV(0.025,O212,P212))</f>
        <v/>
      </c>
      <c r="S212" s="7">
        <f>IF(Q212="","",BETA.INV(0.975,O212,P212))</f>
        <v/>
      </c>
      <c r="T212" s="5">
        <f>IF(OR(O212="",P212=""),"",O212+P212-M212-N212)</f>
        <v/>
      </c>
      <c r="U212" s="5">
        <f>IF(T212="","先填完整分组",IF(T212&lt;30,"样本太少：仅描述",IF(T212&lt;100,"只作试点候选","可进入独立验证")))</f>
        <v/>
      </c>
      <c r="V212" s="3" t="n"/>
      <c r="W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5">
        <f>IF(COUNTA(A213:G213)&lt;7,"",COUNTIFS('原子事实记录'!$C$2:$C$2001,$D213,'原子事实记录'!$E$2:$E$2001,$A213,'原子事实记录'!$F$2:$F$2001,$B213,'原子事实记录'!$G$2:$G$2001,$C213,'原子事实记录'!$I$2:$I$2001,$E213,'原子事实记录'!$J$2:$J$2001,$F213,'原子事实记录'!$Q$2:$Q$2001,"是",'原子事实记录'!$R$2:$R$2001,"TP"))</f>
        <v/>
      </c>
      <c r="I213" s="5">
        <f>IF(COUNTA(A213:G213)&lt;7,"",COUNTIFS('原子事实记录'!$C$2:$C$2001,$D213,'原子事实记录'!$E$2:$E$2001,$A213,'原子事实记录'!$F$2:$F$2001,$B213,'原子事实记录'!$G$2:$G$2001,$C213,'原子事实记录'!$I$2:$I$2001,$E213,'原子事实记录'!$J$2:$J$2001,$F213,'原子事实记录'!$Q$2:$Q$2001,"是",'原子事实记录'!$R$2:$R$2001,"FP"))</f>
        <v/>
      </c>
      <c r="J213" s="5">
        <f>IF(COUNTA(A213:G213)&lt;7,"",COUNTIFS('原子事实记录'!$C$2:$C$2001,$D213,'原子事实记录'!$E$2:$E$2001,$A213,'原子事实记录'!$F$2:$F$2001,$B213,'原子事实记录'!$G$2:$G$2001,$C213,'原子事实记录'!$I$2:$I$2001,$E213,'原子事实记录'!$J$2:$J$2001,$F213,'原子事实记录'!$Q$2:$Q$2001,"是",'原子事实记录'!$R$2:$R$2001,"FN"))</f>
        <v/>
      </c>
      <c r="K213" s="5">
        <f>IF(COUNTA(A213:G213)&lt;7,"",COUNTIFS('原子事实记录'!$C$2:$C$2001,$D213,'原子事实记录'!$E$2:$E$2001,$A213,'原子事实记录'!$F$2:$F$2001,$B213,'原子事实记录'!$G$2:$G$2001,$C213,'原子事实记录'!$I$2:$I$2001,$E213,'原子事实记录'!$J$2:$J$2001,$F213,'原子事实记录'!$Q$2:$Q$2001,"是",'原子事实记录'!$R$2:$R$2001,"TN"))</f>
        <v/>
      </c>
      <c r="L213" s="5">
        <f>IF(COUNTA(A213:G213)&lt;7,"",COUNTIFS('原子事实记录'!$C$2:$C$2001,$D213,'原子事实记录'!$E$2:$E$2001,$A213,'原子事实记录'!$F$2:$F$2001,$B213,'原子事实记录'!$G$2:$G$2001,$C213,'原子事实记录'!$I$2:$I$2001,$E213,'原子事实记录'!$J$2:$J$2001,$F213,'原子事实记录'!$Q$2:$Q$2001,"是",'原子事实记录'!$R$2:$R$2001,"未知"))</f>
        <v/>
      </c>
      <c r="M213" s="3" t="n"/>
      <c r="N213" s="3" t="n"/>
      <c r="O213" s="5">
        <f>IF(OR(G213="",M213="",N213=""),"",M213+IF(G213="肯定主张正确率",H213,IF(G213="否定主张正确率",K213,IF(G213="灵敏度",H213,K213))))</f>
        <v/>
      </c>
      <c r="P213" s="5">
        <f>IF(OR(G213="",M213="",N213=""),"",N213+IF(G213="肯定主张正确率",I213,IF(G213="否定主张正确率",J213,IF(G213="灵敏度",J213,I213))))</f>
        <v/>
      </c>
      <c r="Q213" s="7">
        <f>IF(OR(O213="",P213=""),"",O213/(O213+P213))</f>
        <v/>
      </c>
      <c r="R213" s="7">
        <f>IF(Q213="","",BETA.INV(0.025,O213,P213))</f>
        <v/>
      </c>
      <c r="S213" s="7">
        <f>IF(Q213="","",BETA.INV(0.975,O213,P213))</f>
        <v/>
      </c>
      <c r="T213" s="5">
        <f>IF(OR(O213="",P213=""),"",O213+P213-M213-N213)</f>
        <v/>
      </c>
      <c r="U213" s="5">
        <f>IF(T213="","先填完整分组",IF(T213&lt;30,"样本太少：仅描述",IF(T213&lt;100,"只作试点候选","可进入独立验证")))</f>
        <v/>
      </c>
      <c r="V213" s="3" t="n"/>
      <c r="W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5">
        <f>IF(COUNTA(A214:G214)&lt;7,"",COUNTIFS('原子事实记录'!$C$2:$C$2001,$D214,'原子事实记录'!$E$2:$E$2001,$A214,'原子事实记录'!$F$2:$F$2001,$B214,'原子事实记录'!$G$2:$G$2001,$C214,'原子事实记录'!$I$2:$I$2001,$E214,'原子事实记录'!$J$2:$J$2001,$F214,'原子事实记录'!$Q$2:$Q$2001,"是",'原子事实记录'!$R$2:$R$2001,"TP"))</f>
        <v/>
      </c>
      <c r="I214" s="5">
        <f>IF(COUNTA(A214:G214)&lt;7,"",COUNTIFS('原子事实记录'!$C$2:$C$2001,$D214,'原子事实记录'!$E$2:$E$2001,$A214,'原子事实记录'!$F$2:$F$2001,$B214,'原子事实记录'!$G$2:$G$2001,$C214,'原子事实记录'!$I$2:$I$2001,$E214,'原子事实记录'!$J$2:$J$2001,$F214,'原子事实记录'!$Q$2:$Q$2001,"是",'原子事实记录'!$R$2:$R$2001,"FP"))</f>
        <v/>
      </c>
      <c r="J214" s="5">
        <f>IF(COUNTA(A214:G214)&lt;7,"",COUNTIFS('原子事实记录'!$C$2:$C$2001,$D214,'原子事实记录'!$E$2:$E$2001,$A214,'原子事实记录'!$F$2:$F$2001,$B214,'原子事实记录'!$G$2:$G$2001,$C214,'原子事实记录'!$I$2:$I$2001,$E214,'原子事实记录'!$J$2:$J$2001,$F214,'原子事实记录'!$Q$2:$Q$2001,"是",'原子事实记录'!$R$2:$R$2001,"FN"))</f>
        <v/>
      </c>
      <c r="K214" s="5">
        <f>IF(COUNTA(A214:G214)&lt;7,"",COUNTIFS('原子事实记录'!$C$2:$C$2001,$D214,'原子事实记录'!$E$2:$E$2001,$A214,'原子事实记录'!$F$2:$F$2001,$B214,'原子事实记录'!$G$2:$G$2001,$C214,'原子事实记录'!$I$2:$I$2001,$E214,'原子事实记录'!$J$2:$J$2001,$F214,'原子事实记录'!$Q$2:$Q$2001,"是",'原子事实记录'!$R$2:$R$2001,"TN"))</f>
        <v/>
      </c>
      <c r="L214" s="5">
        <f>IF(COUNTA(A214:G214)&lt;7,"",COUNTIFS('原子事实记录'!$C$2:$C$2001,$D214,'原子事实记录'!$E$2:$E$2001,$A214,'原子事实记录'!$F$2:$F$2001,$B214,'原子事实记录'!$G$2:$G$2001,$C214,'原子事实记录'!$I$2:$I$2001,$E214,'原子事实记录'!$J$2:$J$2001,$F214,'原子事实记录'!$Q$2:$Q$2001,"是",'原子事实记录'!$R$2:$R$2001,"未知"))</f>
        <v/>
      </c>
      <c r="M214" s="3" t="n"/>
      <c r="N214" s="3" t="n"/>
      <c r="O214" s="5">
        <f>IF(OR(G214="",M214="",N214=""),"",M214+IF(G214="肯定主张正确率",H214,IF(G214="否定主张正确率",K214,IF(G214="灵敏度",H214,K214))))</f>
        <v/>
      </c>
      <c r="P214" s="5">
        <f>IF(OR(G214="",M214="",N214=""),"",N214+IF(G214="肯定主张正确率",I214,IF(G214="否定主张正确率",J214,IF(G214="灵敏度",J214,I214))))</f>
        <v/>
      </c>
      <c r="Q214" s="7">
        <f>IF(OR(O214="",P214=""),"",O214/(O214+P214))</f>
        <v/>
      </c>
      <c r="R214" s="7">
        <f>IF(Q214="","",BETA.INV(0.025,O214,P214))</f>
        <v/>
      </c>
      <c r="S214" s="7">
        <f>IF(Q214="","",BETA.INV(0.975,O214,P214))</f>
        <v/>
      </c>
      <c r="T214" s="5">
        <f>IF(OR(O214="",P214=""),"",O214+P214-M214-N214)</f>
        <v/>
      </c>
      <c r="U214" s="5">
        <f>IF(T214="","先填完整分组",IF(T214&lt;30,"样本太少：仅描述",IF(T214&lt;100,"只作试点候选","可进入独立验证")))</f>
        <v/>
      </c>
      <c r="V214" s="3" t="n"/>
      <c r="W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5">
        <f>IF(COUNTA(A215:G215)&lt;7,"",COUNTIFS('原子事实记录'!$C$2:$C$2001,$D215,'原子事实记录'!$E$2:$E$2001,$A215,'原子事实记录'!$F$2:$F$2001,$B215,'原子事实记录'!$G$2:$G$2001,$C215,'原子事实记录'!$I$2:$I$2001,$E215,'原子事实记录'!$J$2:$J$2001,$F215,'原子事实记录'!$Q$2:$Q$2001,"是",'原子事实记录'!$R$2:$R$2001,"TP"))</f>
        <v/>
      </c>
      <c r="I215" s="5">
        <f>IF(COUNTA(A215:G215)&lt;7,"",COUNTIFS('原子事实记录'!$C$2:$C$2001,$D215,'原子事实记录'!$E$2:$E$2001,$A215,'原子事实记录'!$F$2:$F$2001,$B215,'原子事实记录'!$G$2:$G$2001,$C215,'原子事实记录'!$I$2:$I$2001,$E215,'原子事实记录'!$J$2:$J$2001,$F215,'原子事实记录'!$Q$2:$Q$2001,"是",'原子事实记录'!$R$2:$R$2001,"FP"))</f>
        <v/>
      </c>
      <c r="J215" s="5">
        <f>IF(COUNTA(A215:G215)&lt;7,"",COUNTIFS('原子事实记录'!$C$2:$C$2001,$D215,'原子事实记录'!$E$2:$E$2001,$A215,'原子事实记录'!$F$2:$F$2001,$B215,'原子事实记录'!$G$2:$G$2001,$C215,'原子事实记录'!$I$2:$I$2001,$E215,'原子事实记录'!$J$2:$J$2001,$F215,'原子事实记录'!$Q$2:$Q$2001,"是",'原子事实记录'!$R$2:$R$2001,"FN"))</f>
        <v/>
      </c>
      <c r="K215" s="5">
        <f>IF(COUNTA(A215:G215)&lt;7,"",COUNTIFS('原子事实记录'!$C$2:$C$2001,$D215,'原子事实记录'!$E$2:$E$2001,$A215,'原子事实记录'!$F$2:$F$2001,$B215,'原子事实记录'!$G$2:$G$2001,$C215,'原子事实记录'!$I$2:$I$2001,$E215,'原子事实记录'!$J$2:$J$2001,$F215,'原子事实记录'!$Q$2:$Q$2001,"是",'原子事实记录'!$R$2:$R$2001,"TN"))</f>
        <v/>
      </c>
      <c r="L215" s="5">
        <f>IF(COUNTA(A215:G215)&lt;7,"",COUNTIFS('原子事实记录'!$C$2:$C$2001,$D215,'原子事实记录'!$E$2:$E$2001,$A215,'原子事实记录'!$F$2:$F$2001,$B215,'原子事实记录'!$G$2:$G$2001,$C215,'原子事实记录'!$I$2:$I$2001,$E215,'原子事实记录'!$J$2:$J$2001,$F215,'原子事实记录'!$Q$2:$Q$2001,"是",'原子事实记录'!$R$2:$R$2001,"未知"))</f>
        <v/>
      </c>
      <c r="M215" s="3" t="n"/>
      <c r="N215" s="3" t="n"/>
      <c r="O215" s="5">
        <f>IF(OR(G215="",M215="",N215=""),"",M215+IF(G215="肯定主张正确率",H215,IF(G215="否定主张正确率",K215,IF(G215="灵敏度",H215,K215))))</f>
        <v/>
      </c>
      <c r="P215" s="5">
        <f>IF(OR(G215="",M215="",N215=""),"",N215+IF(G215="肯定主张正确率",I215,IF(G215="否定主张正确率",J215,IF(G215="灵敏度",J215,I215))))</f>
        <v/>
      </c>
      <c r="Q215" s="7">
        <f>IF(OR(O215="",P215=""),"",O215/(O215+P215))</f>
        <v/>
      </c>
      <c r="R215" s="7">
        <f>IF(Q215="","",BETA.INV(0.025,O215,P215))</f>
        <v/>
      </c>
      <c r="S215" s="7">
        <f>IF(Q215="","",BETA.INV(0.975,O215,P215))</f>
        <v/>
      </c>
      <c r="T215" s="5">
        <f>IF(OR(O215="",P215=""),"",O215+P215-M215-N215)</f>
        <v/>
      </c>
      <c r="U215" s="5">
        <f>IF(T215="","先填完整分组",IF(T215&lt;30,"样本太少：仅描述",IF(T215&lt;100,"只作试点候选","可进入独立验证")))</f>
        <v/>
      </c>
      <c r="V215" s="3" t="n"/>
      <c r="W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5">
        <f>IF(COUNTA(A216:G216)&lt;7,"",COUNTIFS('原子事实记录'!$C$2:$C$2001,$D216,'原子事实记录'!$E$2:$E$2001,$A216,'原子事实记录'!$F$2:$F$2001,$B216,'原子事实记录'!$G$2:$G$2001,$C216,'原子事实记录'!$I$2:$I$2001,$E216,'原子事实记录'!$J$2:$J$2001,$F216,'原子事实记录'!$Q$2:$Q$2001,"是",'原子事实记录'!$R$2:$R$2001,"TP"))</f>
        <v/>
      </c>
      <c r="I216" s="5">
        <f>IF(COUNTA(A216:G216)&lt;7,"",COUNTIFS('原子事实记录'!$C$2:$C$2001,$D216,'原子事实记录'!$E$2:$E$2001,$A216,'原子事实记录'!$F$2:$F$2001,$B216,'原子事实记录'!$G$2:$G$2001,$C216,'原子事实记录'!$I$2:$I$2001,$E216,'原子事实记录'!$J$2:$J$2001,$F216,'原子事实记录'!$Q$2:$Q$2001,"是",'原子事实记录'!$R$2:$R$2001,"FP"))</f>
        <v/>
      </c>
      <c r="J216" s="5">
        <f>IF(COUNTA(A216:G216)&lt;7,"",COUNTIFS('原子事实记录'!$C$2:$C$2001,$D216,'原子事实记录'!$E$2:$E$2001,$A216,'原子事实记录'!$F$2:$F$2001,$B216,'原子事实记录'!$G$2:$G$2001,$C216,'原子事实记录'!$I$2:$I$2001,$E216,'原子事实记录'!$J$2:$J$2001,$F216,'原子事实记录'!$Q$2:$Q$2001,"是",'原子事实记录'!$R$2:$R$2001,"FN"))</f>
        <v/>
      </c>
      <c r="K216" s="5">
        <f>IF(COUNTA(A216:G216)&lt;7,"",COUNTIFS('原子事实记录'!$C$2:$C$2001,$D216,'原子事实记录'!$E$2:$E$2001,$A216,'原子事实记录'!$F$2:$F$2001,$B216,'原子事实记录'!$G$2:$G$2001,$C216,'原子事实记录'!$I$2:$I$2001,$E216,'原子事实记录'!$J$2:$J$2001,$F216,'原子事实记录'!$Q$2:$Q$2001,"是",'原子事实记录'!$R$2:$R$2001,"TN"))</f>
        <v/>
      </c>
      <c r="L216" s="5">
        <f>IF(COUNTA(A216:G216)&lt;7,"",COUNTIFS('原子事实记录'!$C$2:$C$2001,$D216,'原子事实记录'!$E$2:$E$2001,$A216,'原子事实记录'!$F$2:$F$2001,$B216,'原子事实记录'!$G$2:$G$2001,$C216,'原子事实记录'!$I$2:$I$2001,$E216,'原子事实记录'!$J$2:$J$2001,$F216,'原子事实记录'!$Q$2:$Q$2001,"是",'原子事实记录'!$R$2:$R$2001,"未知"))</f>
        <v/>
      </c>
      <c r="M216" s="3" t="n"/>
      <c r="N216" s="3" t="n"/>
      <c r="O216" s="5">
        <f>IF(OR(G216="",M216="",N216=""),"",M216+IF(G216="肯定主张正确率",H216,IF(G216="否定主张正确率",K216,IF(G216="灵敏度",H216,K216))))</f>
        <v/>
      </c>
      <c r="P216" s="5">
        <f>IF(OR(G216="",M216="",N216=""),"",N216+IF(G216="肯定主张正确率",I216,IF(G216="否定主张正确率",J216,IF(G216="灵敏度",J216,I216))))</f>
        <v/>
      </c>
      <c r="Q216" s="7">
        <f>IF(OR(O216="",P216=""),"",O216/(O216+P216))</f>
        <v/>
      </c>
      <c r="R216" s="7">
        <f>IF(Q216="","",BETA.INV(0.025,O216,P216))</f>
        <v/>
      </c>
      <c r="S216" s="7">
        <f>IF(Q216="","",BETA.INV(0.975,O216,P216))</f>
        <v/>
      </c>
      <c r="T216" s="5">
        <f>IF(OR(O216="",P216=""),"",O216+P216-M216-N216)</f>
        <v/>
      </c>
      <c r="U216" s="5">
        <f>IF(T216="","先填完整分组",IF(T216&lt;30,"样本太少：仅描述",IF(T216&lt;100,"只作试点候选","可进入独立验证")))</f>
        <v/>
      </c>
      <c r="V216" s="3" t="n"/>
      <c r="W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5">
        <f>IF(COUNTA(A217:G217)&lt;7,"",COUNTIFS('原子事实记录'!$C$2:$C$2001,$D217,'原子事实记录'!$E$2:$E$2001,$A217,'原子事实记录'!$F$2:$F$2001,$B217,'原子事实记录'!$G$2:$G$2001,$C217,'原子事实记录'!$I$2:$I$2001,$E217,'原子事实记录'!$J$2:$J$2001,$F217,'原子事实记录'!$Q$2:$Q$2001,"是",'原子事实记录'!$R$2:$R$2001,"TP"))</f>
        <v/>
      </c>
      <c r="I217" s="5">
        <f>IF(COUNTA(A217:G217)&lt;7,"",COUNTIFS('原子事实记录'!$C$2:$C$2001,$D217,'原子事实记录'!$E$2:$E$2001,$A217,'原子事实记录'!$F$2:$F$2001,$B217,'原子事实记录'!$G$2:$G$2001,$C217,'原子事实记录'!$I$2:$I$2001,$E217,'原子事实记录'!$J$2:$J$2001,$F217,'原子事实记录'!$Q$2:$Q$2001,"是",'原子事实记录'!$R$2:$R$2001,"FP"))</f>
        <v/>
      </c>
      <c r="J217" s="5">
        <f>IF(COUNTA(A217:G217)&lt;7,"",COUNTIFS('原子事实记录'!$C$2:$C$2001,$D217,'原子事实记录'!$E$2:$E$2001,$A217,'原子事实记录'!$F$2:$F$2001,$B217,'原子事实记录'!$G$2:$G$2001,$C217,'原子事实记录'!$I$2:$I$2001,$E217,'原子事实记录'!$J$2:$J$2001,$F217,'原子事实记录'!$Q$2:$Q$2001,"是",'原子事实记录'!$R$2:$R$2001,"FN"))</f>
        <v/>
      </c>
      <c r="K217" s="5">
        <f>IF(COUNTA(A217:G217)&lt;7,"",COUNTIFS('原子事实记录'!$C$2:$C$2001,$D217,'原子事实记录'!$E$2:$E$2001,$A217,'原子事实记录'!$F$2:$F$2001,$B217,'原子事实记录'!$G$2:$G$2001,$C217,'原子事实记录'!$I$2:$I$2001,$E217,'原子事实记录'!$J$2:$J$2001,$F217,'原子事实记录'!$Q$2:$Q$2001,"是",'原子事实记录'!$R$2:$R$2001,"TN"))</f>
        <v/>
      </c>
      <c r="L217" s="5">
        <f>IF(COUNTA(A217:G217)&lt;7,"",COUNTIFS('原子事实记录'!$C$2:$C$2001,$D217,'原子事实记录'!$E$2:$E$2001,$A217,'原子事实记录'!$F$2:$F$2001,$B217,'原子事实记录'!$G$2:$G$2001,$C217,'原子事实记录'!$I$2:$I$2001,$E217,'原子事实记录'!$J$2:$J$2001,$F217,'原子事实记录'!$Q$2:$Q$2001,"是",'原子事实记录'!$R$2:$R$2001,"未知"))</f>
        <v/>
      </c>
      <c r="M217" s="3" t="n"/>
      <c r="N217" s="3" t="n"/>
      <c r="O217" s="5">
        <f>IF(OR(G217="",M217="",N217=""),"",M217+IF(G217="肯定主张正确率",H217,IF(G217="否定主张正确率",K217,IF(G217="灵敏度",H217,K217))))</f>
        <v/>
      </c>
      <c r="P217" s="5">
        <f>IF(OR(G217="",M217="",N217=""),"",N217+IF(G217="肯定主张正确率",I217,IF(G217="否定主张正确率",J217,IF(G217="灵敏度",J217,I217))))</f>
        <v/>
      </c>
      <c r="Q217" s="7">
        <f>IF(OR(O217="",P217=""),"",O217/(O217+P217))</f>
        <v/>
      </c>
      <c r="R217" s="7">
        <f>IF(Q217="","",BETA.INV(0.025,O217,P217))</f>
        <v/>
      </c>
      <c r="S217" s="7">
        <f>IF(Q217="","",BETA.INV(0.975,O217,P217))</f>
        <v/>
      </c>
      <c r="T217" s="5">
        <f>IF(OR(O217="",P217=""),"",O217+P217-M217-N217)</f>
        <v/>
      </c>
      <c r="U217" s="5">
        <f>IF(T217="","先填完整分组",IF(T217&lt;30,"样本太少：仅描述",IF(T217&lt;100,"只作试点候选","可进入独立验证")))</f>
        <v/>
      </c>
      <c r="V217" s="3" t="n"/>
      <c r="W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5">
        <f>IF(COUNTA(A218:G218)&lt;7,"",COUNTIFS('原子事实记录'!$C$2:$C$2001,$D218,'原子事实记录'!$E$2:$E$2001,$A218,'原子事实记录'!$F$2:$F$2001,$B218,'原子事实记录'!$G$2:$G$2001,$C218,'原子事实记录'!$I$2:$I$2001,$E218,'原子事实记录'!$J$2:$J$2001,$F218,'原子事实记录'!$Q$2:$Q$2001,"是",'原子事实记录'!$R$2:$R$2001,"TP"))</f>
        <v/>
      </c>
      <c r="I218" s="5">
        <f>IF(COUNTA(A218:G218)&lt;7,"",COUNTIFS('原子事实记录'!$C$2:$C$2001,$D218,'原子事实记录'!$E$2:$E$2001,$A218,'原子事实记录'!$F$2:$F$2001,$B218,'原子事实记录'!$G$2:$G$2001,$C218,'原子事实记录'!$I$2:$I$2001,$E218,'原子事实记录'!$J$2:$J$2001,$F218,'原子事实记录'!$Q$2:$Q$2001,"是",'原子事实记录'!$R$2:$R$2001,"FP"))</f>
        <v/>
      </c>
      <c r="J218" s="5">
        <f>IF(COUNTA(A218:G218)&lt;7,"",COUNTIFS('原子事实记录'!$C$2:$C$2001,$D218,'原子事实记录'!$E$2:$E$2001,$A218,'原子事实记录'!$F$2:$F$2001,$B218,'原子事实记录'!$G$2:$G$2001,$C218,'原子事实记录'!$I$2:$I$2001,$E218,'原子事实记录'!$J$2:$J$2001,$F218,'原子事实记录'!$Q$2:$Q$2001,"是",'原子事实记录'!$R$2:$R$2001,"FN"))</f>
        <v/>
      </c>
      <c r="K218" s="5">
        <f>IF(COUNTA(A218:G218)&lt;7,"",COUNTIFS('原子事实记录'!$C$2:$C$2001,$D218,'原子事实记录'!$E$2:$E$2001,$A218,'原子事实记录'!$F$2:$F$2001,$B218,'原子事实记录'!$G$2:$G$2001,$C218,'原子事实记录'!$I$2:$I$2001,$E218,'原子事实记录'!$J$2:$J$2001,$F218,'原子事实记录'!$Q$2:$Q$2001,"是",'原子事实记录'!$R$2:$R$2001,"TN"))</f>
        <v/>
      </c>
      <c r="L218" s="5">
        <f>IF(COUNTA(A218:G218)&lt;7,"",COUNTIFS('原子事实记录'!$C$2:$C$2001,$D218,'原子事实记录'!$E$2:$E$2001,$A218,'原子事实记录'!$F$2:$F$2001,$B218,'原子事实记录'!$G$2:$G$2001,$C218,'原子事实记录'!$I$2:$I$2001,$E218,'原子事实记录'!$J$2:$J$2001,$F218,'原子事实记录'!$Q$2:$Q$2001,"是",'原子事实记录'!$R$2:$R$2001,"未知"))</f>
        <v/>
      </c>
      <c r="M218" s="3" t="n"/>
      <c r="N218" s="3" t="n"/>
      <c r="O218" s="5">
        <f>IF(OR(G218="",M218="",N218=""),"",M218+IF(G218="肯定主张正确率",H218,IF(G218="否定主张正确率",K218,IF(G218="灵敏度",H218,K218))))</f>
        <v/>
      </c>
      <c r="P218" s="5">
        <f>IF(OR(G218="",M218="",N218=""),"",N218+IF(G218="肯定主张正确率",I218,IF(G218="否定主张正确率",J218,IF(G218="灵敏度",J218,I218))))</f>
        <v/>
      </c>
      <c r="Q218" s="7">
        <f>IF(OR(O218="",P218=""),"",O218/(O218+P218))</f>
        <v/>
      </c>
      <c r="R218" s="7">
        <f>IF(Q218="","",BETA.INV(0.025,O218,P218))</f>
        <v/>
      </c>
      <c r="S218" s="7">
        <f>IF(Q218="","",BETA.INV(0.975,O218,P218))</f>
        <v/>
      </c>
      <c r="T218" s="5">
        <f>IF(OR(O218="",P218=""),"",O218+P218-M218-N218)</f>
        <v/>
      </c>
      <c r="U218" s="5">
        <f>IF(T218="","先填完整分组",IF(T218&lt;30,"样本太少：仅描述",IF(T218&lt;100,"只作试点候选","可进入独立验证")))</f>
        <v/>
      </c>
      <c r="V218" s="3" t="n"/>
      <c r="W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5">
        <f>IF(COUNTA(A219:G219)&lt;7,"",COUNTIFS('原子事实记录'!$C$2:$C$2001,$D219,'原子事实记录'!$E$2:$E$2001,$A219,'原子事实记录'!$F$2:$F$2001,$B219,'原子事实记录'!$G$2:$G$2001,$C219,'原子事实记录'!$I$2:$I$2001,$E219,'原子事实记录'!$J$2:$J$2001,$F219,'原子事实记录'!$Q$2:$Q$2001,"是",'原子事实记录'!$R$2:$R$2001,"TP"))</f>
        <v/>
      </c>
      <c r="I219" s="5">
        <f>IF(COUNTA(A219:G219)&lt;7,"",COUNTIFS('原子事实记录'!$C$2:$C$2001,$D219,'原子事实记录'!$E$2:$E$2001,$A219,'原子事实记录'!$F$2:$F$2001,$B219,'原子事实记录'!$G$2:$G$2001,$C219,'原子事实记录'!$I$2:$I$2001,$E219,'原子事实记录'!$J$2:$J$2001,$F219,'原子事实记录'!$Q$2:$Q$2001,"是",'原子事实记录'!$R$2:$R$2001,"FP"))</f>
        <v/>
      </c>
      <c r="J219" s="5">
        <f>IF(COUNTA(A219:G219)&lt;7,"",COUNTIFS('原子事实记录'!$C$2:$C$2001,$D219,'原子事实记录'!$E$2:$E$2001,$A219,'原子事实记录'!$F$2:$F$2001,$B219,'原子事实记录'!$G$2:$G$2001,$C219,'原子事实记录'!$I$2:$I$2001,$E219,'原子事实记录'!$J$2:$J$2001,$F219,'原子事实记录'!$Q$2:$Q$2001,"是",'原子事实记录'!$R$2:$R$2001,"FN"))</f>
        <v/>
      </c>
      <c r="K219" s="5">
        <f>IF(COUNTA(A219:G219)&lt;7,"",COUNTIFS('原子事实记录'!$C$2:$C$2001,$D219,'原子事实记录'!$E$2:$E$2001,$A219,'原子事实记录'!$F$2:$F$2001,$B219,'原子事实记录'!$G$2:$G$2001,$C219,'原子事实记录'!$I$2:$I$2001,$E219,'原子事实记录'!$J$2:$J$2001,$F219,'原子事实记录'!$Q$2:$Q$2001,"是",'原子事实记录'!$R$2:$R$2001,"TN"))</f>
        <v/>
      </c>
      <c r="L219" s="5">
        <f>IF(COUNTA(A219:G219)&lt;7,"",COUNTIFS('原子事实记录'!$C$2:$C$2001,$D219,'原子事实记录'!$E$2:$E$2001,$A219,'原子事实记录'!$F$2:$F$2001,$B219,'原子事实记录'!$G$2:$G$2001,$C219,'原子事实记录'!$I$2:$I$2001,$E219,'原子事实记录'!$J$2:$J$2001,$F219,'原子事实记录'!$Q$2:$Q$2001,"是",'原子事实记录'!$R$2:$R$2001,"未知"))</f>
        <v/>
      </c>
      <c r="M219" s="3" t="n"/>
      <c r="N219" s="3" t="n"/>
      <c r="O219" s="5">
        <f>IF(OR(G219="",M219="",N219=""),"",M219+IF(G219="肯定主张正确率",H219,IF(G219="否定主张正确率",K219,IF(G219="灵敏度",H219,K219))))</f>
        <v/>
      </c>
      <c r="P219" s="5">
        <f>IF(OR(G219="",M219="",N219=""),"",N219+IF(G219="肯定主张正确率",I219,IF(G219="否定主张正确率",J219,IF(G219="灵敏度",J219,I219))))</f>
        <v/>
      </c>
      <c r="Q219" s="7">
        <f>IF(OR(O219="",P219=""),"",O219/(O219+P219))</f>
        <v/>
      </c>
      <c r="R219" s="7">
        <f>IF(Q219="","",BETA.INV(0.025,O219,P219))</f>
        <v/>
      </c>
      <c r="S219" s="7">
        <f>IF(Q219="","",BETA.INV(0.975,O219,P219))</f>
        <v/>
      </c>
      <c r="T219" s="5">
        <f>IF(OR(O219="",P219=""),"",O219+P219-M219-N219)</f>
        <v/>
      </c>
      <c r="U219" s="5">
        <f>IF(T219="","先填完整分组",IF(T219&lt;30,"样本太少：仅描述",IF(T219&lt;100,"只作试点候选","可进入独立验证")))</f>
        <v/>
      </c>
      <c r="V219" s="3" t="n"/>
      <c r="W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5">
        <f>IF(COUNTA(A220:G220)&lt;7,"",COUNTIFS('原子事实记录'!$C$2:$C$2001,$D220,'原子事实记录'!$E$2:$E$2001,$A220,'原子事实记录'!$F$2:$F$2001,$B220,'原子事实记录'!$G$2:$G$2001,$C220,'原子事实记录'!$I$2:$I$2001,$E220,'原子事实记录'!$J$2:$J$2001,$F220,'原子事实记录'!$Q$2:$Q$2001,"是",'原子事实记录'!$R$2:$R$2001,"TP"))</f>
        <v/>
      </c>
      <c r="I220" s="5">
        <f>IF(COUNTA(A220:G220)&lt;7,"",COUNTIFS('原子事实记录'!$C$2:$C$2001,$D220,'原子事实记录'!$E$2:$E$2001,$A220,'原子事实记录'!$F$2:$F$2001,$B220,'原子事实记录'!$G$2:$G$2001,$C220,'原子事实记录'!$I$2:$I$2001,$E220,'原子事实记录'!$J$2:$J$2001,$F220,'原子事实记录'!$Q$2:$Q$2001,"是",'原子事实记录'!$R$2:$R$2001,"FP"))</f>
        <v/>
      </c>
      <c r="J220" s="5">
        <f>IF(COUNTA(A220:G220)&lt;7,"",COUNTIFS('原子事实记录'!$C$2:$C$2001,$D220,'原子事实记录'!$E$2:$E$2001,$A220,'原子事实记录'!$F$2:$F$2001,$B220,'原子事实记录'!$G$2:$G$2001,$C220,'原子事实记录'!$I$2:$I$2001,$E220,'原子事实记录'!$J$2:$J$2001,$F220,'原子事实记录'!$Q$2:$Q$2001,"是",'原子事实记录'!$R$2:$R$2001,"FN"))</f>
        <v/>
      </c>
      <c r="K220" s="5">
        <f>IF(COUNTA(A220:G220)&lt;7,"",COUNTIFS('原子事实记录'!$C$2:$C$2001,$D220,'原子事实记录'!$E$2:$E$2001,$A220,'原子事实记录'!$F$2:$F$2001,$B220,'原子事实记录'!$G$2:$G$2001,$C220,'原子事实记录'!$I$2:$I$2001,$E220,'原子事实记录'!$J$2:$J$2001,$F220,'原子事实记录'!$Q$2:$Q$2001,"是",'原子事实记录'!$R$2:$R$2001,"TN"))</f>
        <v/>
      </c>
      <c r="L220" s="5">
        <f>IF(COUNTA(A220:G220)&lt;7,"",COUNTIFS('原子事实记录'!$C$2:$C$2001,$D220,'原子事实记录'!$E$2:$E$2001,$A220,'原子事实记录'!$F$2:$F$2001,$B220,'原子事实记录'!$G$2:$G$2001,$C220,'原子事实记录'!$I$2:$I$2001,$E220,'原子事实记录'!$J$2:$J$2001,$F220,'原子事实记录'!$Q$2:$Q$2001,"是",'原子事实记录'!$R$2:$R$2001,"未知"))</f>
        <v/>
      </c>
      <c r="M220" s="3" t="n"/>
      <c r="N220" s="3" t="n"/>
      <c r="O220" s="5">
        <f>IF(OR(G220="",M220="",N220=""),"",M220+IF(G220="肯定主张正确率",H220,IF(G220="否定主张正确率",K220,IF(G220="灵敏度",H220,K220))))</f>
        <v/>
      </c>
      <c r="P220" s="5">
        <f>IF(OR(G220="",M220="",N220=""),"",N220+IF(G220="肯定主张正确率",I220,IF(G220="否定主张正确率",J220,IF(G220="灵敏度",J220,I220))))</f>
        <v/>
      </c>
      <c r="Q220" s="7">
        <f>IF(OR(O220="",P220=""),"",O220/(O220+P220))</f>
        <v/>
      </c>
      <c r="R220" s="7">
        <f>IF(Q220="","",BETA.INV(0.025,O220,P220))</f>
        <v/>
      </c>
      <c r="S220" s="7">
        <f>IF(Q220="","",BETA.INV(0.975,O220,P220))</f>
        <v/>
      </c>
      <c r="T220" s="5">
        <f>IF(OR(O220="",P220=""),"",O220+P220-M220-N220)</f>
        <v/>
      </c>
      <c r="U220" s="5">
        <f>IF(T220="","先填完整分组",IF(T220&lt;30,"样本太少：仅描述",IF(T220&lt;100,"只作试点候选","可进入独立验证")))</f>
        <v/>
      </c>
      <c r="V220" s="3" t="n"/>
      <c r="W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5">
        <f>IF(COUNTA(A221:G221)&lt;7,"",COUNTIFS('原子事实记录'!$C$2:$C$2001,$D221,'原子事实记录'!$E$2:$E$2001,$A221,'原子事实记录'!$F$2:$F$2001,$B221,'原子事实记录'!$G$2:$G$2001,$C221,'原子事实记录'!$I$2:$I$2001,$E221,'原子事实记录'!$J$2:$J$2001,$F221,'原子事实记录'!$Q$2:$Q$2001,"是",'原子事实记录'!$R$2:$R$2001,"TP"))</f>
        <v/>
      </c>
      <c r="I221" s="5">
        <f>IF(COUNTA(A221:G221)&lt;7,"",COUNTIFS('原子事实记录'!$C$2:$C$2001,$D221,'原子事实记录'!$E$2:$E$2001,$A221,'原子事实记录'!$F$2:$F$2001,$B221,'原子事实记录'!$G$2:$G$2001,$C221,'原子事实记录'!$I$2:$I$2001,$E221,'原子事实记录'!$J$2:$J$2001,$F221,'原子事实记录'!$Q$2:$Q$2001,"是",'原子事实记录'!$R$2:$R$2001,"FP"))</f>
        <v/>
      </c>
      <c r="J221" s="5">
        <f>IF(COUNTA(A221:G221)&lt;7,"",COUNTIFS('原子事实记录'!$C$2:$C$2001,$D221,'原子事实记录'!$E$2:$E$2001,$A221,'原子事实记录'!$F$2:$F$2001,$B221,'原子事实记录'!$G$2:$G$2001,$C221,'原子事实记录'!$I$2:$I$2001,$E221,'原子事实记录'!$J$2:$J$2001,$F221,'原子事实记录'!$Q$2:$Q$2001,"是",'原子事实记录'!$R$2:$R$2001,"FN"))</f>
        <v/>
      </c>
      <c r="K221" s="5">
        <f>IF(COUNTA(A221:G221)&lt;7,"",COUNTIFS('原子事实记录'!$C$2:$C$2001,$D221,'原子事实记录'!$E$2:$E$2001,$A221,'原子事实记录'!$F$2:$F$2001,$B221,'原子事实记录'!$G$2:$G$2001,$C221,'原子事实记录'!$I$2:$I$2001,$E221,'原子事实记录'!$J$2:$J$2001,$F221,'原子事实记录'!$Q$2:$Q$2001,"是",'原子事实记录'!$R$2:$R$2001,"TN"))</f>
        <v/>
      </c>
      <c r="L221" s="5">
        <f>IF(COUNTA(A221:G221)&lt;7,"",COUNTIFS('原子事实记录'!$C$2:$C$2001,$D221,'原子事实记录'!$E$2:$E$2001,$A221,'原子事实记录'!$F$2:$F$2001,$B221,'原子事实记录'!$G$2:$G$2001,$C221,'原子事实记录'!$I$2:$I$2001,$E221,'原子事实记录'!$J$2:$J$2001,$F221,'原子事实记录'!$Q$2:$Q$2001,"是",'原子事实记录'!$R$2:$R$2001,"未知"))</f>
        <v/>
      </c>
      <c r="M221" s="3" t="n"/>
      <c r="N221" s="3" t="n"/>
      <c r="O221" s="5">
        <f>IF(OR(G221="",M221="",N221=""),"",M221+IF(G221="肯定主张正确率",H221,IF(G221="否定主张正确率",K221,IF(G221="灵敏度",H221,K221))))</f>
        <v/>
      </c>
      <c r="P221" s="5">
        <f>IF(OR(G221="",M221="",N221=""),"",N221+IF(G221="肯定主张正确率",I221,IF(G221="否定主张正确率",J221,IF(G221="灵敏度",J221,I221))))</f>
        <v/>
      </c>
      <c r="Q221" s="7">
        <f>IF(OR(O221="",P221=""),"",O221/(O221+P221))</f>
        <v/>
      </c>
      <c r="R221" s="7">
        <f>IF(Q221="","",BETA.INV(0.025,O221,P221))</f>
        <v/>
      </c>
      <c r="S221" s="7">
        <f>IF(Q221="","",BETA.INV(0.975,O221,P221))</f>
        <v/>
      </c>
      <c r="T221" s="5">
        <f>IF(OR(O221="",P221=""),"",O221+P221-M221-N221)</f>
        <v/>
      </c>
      <c r="U221" s="5">
        <f>IF(T221="","先填完整分组",IF(T221&lt;30,"样本太少：仅描述",IF(T221&lt;100,"只作试点候选","可进入独立验证")))</f>
        <v/>
      </c>
      <c r="V221" s="3" t="n"/>
      <c r="W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5">
        <f>IF(COUNTA(A222:G222)&lt;7,"",COUNTIFS('原子事实记录'!$C$2:$C$2001,$D222,'原子事实记录'!$E$2:$E$2001,$A222,'原子事实记录'!$F$2:$F$2001,$B222,'原子事实记录'!$G$2:$G$2001,$C222,'原子事实记录'!$I$2:$I$2001,$E222,'原子事实记录'!$J$2:$J$2001,$F222,'原子事实记录'!$Q$2:$Q$2001,"是",'原子事实记录'!$R$2:$R$2001,"TP"))</f>
        <v/>
      </c>
      <c r="I222" s="5">
        <f>IF(COUNTA(A222:G222)&lt;7,"",COUNTIFS('原子事实记录'!$C$2:$C$2001,$D222,'原子事实记录'!$E$2:$E$2001,$A222,'原子事实记录'!$F$2:$F$2001,$B222,'原子事实记录'!$G$2:$G$2001,$C222,'原子事实记录'!$I$2:$I$2001,$E222,'原子事实记录'!$J$2:$J$2001,$F222,'原子事实记录'!$Q$2:$Q$2001,"是",'原子事实记录'!$R$2:$R$2001,"FP"))</f>
        <v/>
      </c>
      <c r="J222" s="5">
        <f>IF(COUNTA(A222:G222)&lt;7,"",COUNTIFS('原子事实记录'!$C$2:$C$2001,$D222,'原子事实记录'!$E$2:$E$2001,$A222,'原子事实记录'!$F$2:$F$2001,$B222,'原子事实记录'!$G$2:$G$2001,$C222,'原子事实记录'!$I$2:$I$2001,$E222,'原子事实记录'!$J$2:$J$2001,$F222,'原子事实记录'!$Q$2:$Q$2001,"是",'原子事实记录'!$R$2:$R$2001,"FN"))</f>
        <v/>
      </c>
      <c r="K222" s="5">
        <f>IF(COUNTA(A222:G222)&lt;7,"",COUNTIFS('原子事实记录'!$C$2:$C$2001,$D222,'原子事实记录'!$E$2:$E$2001,$A222,'原子事实记录'!$F$2:$F$2001,$B222,'原子事实记录'!$G$2:$G$2001,$C222,'原子事实记录'!$I$2:$I$2001,$E222,'原子事实记录'!$J$2:$J$2001,$F222,'原子事实记录'!$Q$2:$Q$2001,"是",'原子事实记录'!$R$2:$R$2001,"TN"))</f>
        <v/>
      </c>
      <c r="L222" s="5">
        <f>IF(COUNTA(A222:G222)&lt;7,"",COUNTIFS('原子事实记录'!$C$2:$C$2001,$D222,'原子事实记录'!$E$2:$E$2001,$A222,'原子事实记录'!$F$2:$F$2001,$B222,'原子事实记录'!$G$2:$G$2001,$C222,'原子事实记录'!$I$2:$I$2001,$E222,'原子事实记录'!$J$2:$J$2001,$F222,'原子事实记录'!$Q$2:$Q$2001,"是",'原子事实记录'!$R$2:$R$2001,"未知"))</f>
        <v/>
      </c>
      <c r="M222" s="3" t="n"/>
      <c r="N222" s="3" t="n"/>
      <c r="O222" s="5">
        <f>IF(OR(G222="",M222="",N222=""),"",M222+IF(G222="肯定主张正确率",H222,IF(G222="否定主张正确率",K222,IF(G222="灵敏度",H222,K222))))</f>
        <v/>
      </c>
      <c r="P222" s="5">
        <f>IF(OR(G222="",M222="",N222=""),"",N222+IF(G222="肯定主张正确率",I222,IF(G222="否定主张正确率",J222,IF(G222="灵敏度",J222,I222))))</f>
        <v/>
      </c>
      <c r="Q222" s="7">
        <f>IF(OR(O222="",P222=""),"",O222/(O222+P222))</f>
        <v/>
      </c>
      <c r="R222" s="7">
        <f>IF(Q222="","",BETA.INV(0.025,O222,P222))</f>
        <v/>
      </c>
      <c r="S222" s="7">
        <f>IF(Q222="","",BETA.INV(0.975,O222,P222))</f>
        <v/>
      </c>
      <c r="T222" s="5">
        <f>IF(OR(O222="",P222=""),"",O222+P222-M222-N222)</f>
        <v/>
      </c>
      <c r="U222" s="5">
        <f>IF(T222="","先填完整分组",IF(T222&lt;30,"样本太少：仅描述",IF(T222&lt;100,"只作试点候选","可进入独立验证")))</f>
        <v/>
      </c>
      <c r="V222" s="3" t="n"/>
      <c r="W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5">
        <f>IF(COUNTA(A223:G223)&lt;7,"",COUNTIFS('原子事实记录'!$C$2:$C$2001,$D223,'原子事实记录'!$E$2:$E$2001,$A223,'原子事实记录'!$F$2:$F$2001,$B223,'原子事实记录'!$G$2:$G$2001,$C223,'原子事实记录'!$I$2:$I$2001,$E223,'原子事实记录'!$J$2:$J$2001,$F223,'原子事实记录'!$Q$2:$Q$2001,"是",'原子事实记录'!$R$2:$R$2001,"TP"))</f>
        <v/>
      </c>
      <c r="I223" s="5">
        <f>IF(COUNTA(A223:G223)&lt;7,"",COUNTIFS('原子事实记录'!$C$2:$C$2001,$D223,'原子事实记录'!$E$2:$E$2001,$A223,'原子事实记录'!$F$2:$F$2001,$B223,'原子事实记录'!$G$2:$G$2001,$C223,'原子事实记录'!$I$2:$I$2001,$E223,'原子事实记录'!$J$2:$J$2001,$F223,'原子事实记录'!$Q$2:$Q$2001,"是",'原子事实记录'!$R$2:$R$2001,"FP"))</f>
        <v/>
      </c>
      <c r="J223" s="5">
        <f>IF(COUNTA(A223:G223)&lt;7,"",COUNTIFS('原子事实记录'!$C$2:$C$2001,$D223,'原子事实记录'!$E$2:$E$2001,$A223,'原子事实记录'!$F$2:$F$2001,$B223,'原子事实记录'!$G$2:$G$2001,$C223,'原子事实记录'!$I$2:$I$2001,$E223,'原子事实记录'!$J$2:$J$2001,$F223,'原子事实记录'!$Q$2:$Q$2001,"是",'原子事实记录'!$R$2:$R$2001,"FN"))</f>
        <v/>
      </c>
      <c r="K223" s="5">
        <f>IF(COUNTA(A223:G223)&lt;7,"",COUNTIFS('原子事实记录'!$C$2:$C$2001,$D223,'原子事实记录'!$E$2:$E$2001,$A223,'原子事实记录'!$F$2:$F$2001,$B223,'原子事实记录'!$G$2:$G$2001,$C223,'原子事实记录'!$I$2:$I$2001,$E223,'原子事实记录'!$J$2:$J$2001,$F223,'原子事实记录'!$Q$2:$Q$2001,"是",'原子事实记录'!$R$2:$R$2001,"TN"))</f>
        <v/>
      </c>
      <c r="L223" s="5">
        <f>IF(COUNTA(A223:G223)&lt;7,"",COUNTIFS('原子事实记录'!$C$2:$C$2001,$D223,'原子事实记录'!$E$2:$E$2001,$A223,'原子事实记录'!$F$2:$F$2001,$B223,'原子事实记录'!$G$2:$G$2001,$C223,'原子事实记录'!$I$2:$I$2001,$E223,'原子事实记录'!$J$2:$J$2001,$F223,'原子事实记录'!$Q$2:$Q$2001,"是",'原子事实记录'!$R$2:$R$2001,"未知"))</f>
        <v/>
      </c>
      <c r="M223" s="3" t="n"/>
      <c r="N223" s="3" t="n"/>
      <c r="O223" s="5">
        <f>IF(OR(G223="",M223="",N223=""),"",M223+IF(G223="肯定主张正确率",H223,IF(G223="否定主张正确率",K223,IF(G223="灵敏度",H223,K223))))</f>
        <v/>
      </c>
      <c r="P223" s="5">
        <f>IF(OR(G223="",M223="",N223=""),"",N223+IF(G223="肯定主张正确率",I223,IF(G223="否定主张正确率",J223,IF(G223="灵敏度",J223,I223))))</f>
        <v/>
      </c>
      <c r="Q223" s="7">
        <f>IF(OR(O223="",P223=""),"",O223/(O223+P223))</f>
        <v/>
      </c>
      <c r="R223" s="7">
        <f>IF(Q223="","",BETA.INV(0.025,O223,P223))</f>
        <v/>
      </c>
      <c r="S223" s="7">
        <f>IF(Q223="","",BETA.INV(0.975,O223,P223))</f>
        <v/>
      </c>
      <c r="T223" s="5">
        <f>IF(OR(O223="",P223=""),"",O223+P223-M223-N223)</f>
        <v/>
      </c>
      <c r="U223" s="5">
        <f>IF(T223="","先填完整分组",IF(T223&lt;30,"样本太少：仅描述",IF(T223&lt;100,"只作试点候选","可进入独立验证")))</f>
        <v/>
      </c>
      <c r="V223" s="3" t="n"/>
      <c r="W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5">
        <f>IF(COUNTA(A224:G224)&lt;7,"",COUNTIFS('原子事实记录'!$C$2:$C$2001,$D224,'原子事实记录'!$E$2:$E$2001,$A224,'原子事实记录'!$F$2:$F$2001,$B224,'原子事实记录'!$G$2:$G$2001,$C224,'原子事实记录'!$I$2:$I$2001,$E224,'原子事实记录'!$J$2:$J$2001,$F224,'原子事实记录'!$Q$2:$Q$2001,"是",'原子事实记录'!$R$2:$R$2001,"TP"))</f>
        <v/>
      </c>
      <c r="I224" s="5">
        <f>IF(COUNTA(A224:G224)&lt;7,"",COUNTIFS('原子事实记录'!$C$2:$C$2001,$D224,'原子事实记录'!$E$2:$E$2001,$A224,'原子事实记录'!$F$2:$F$2001,$B224,'原子事实记录'!$G$2:$G$2001,$C224,'原子事实记录'!$I$2:$I$2001,$E224,'原子事实记录'!$J$2:$J$2001,$F224,'原子事实记录'!$Q$2:$Q$2001,"是",'原子事实记录'!$R$2:$R$2001,"FP"))</f>
        <v/>
      </c>
      <c r="J224" s="5">
        <f>IF(COUNTA(A224:G224)&lt;7,"",COUNTIFS('原子事实记录'!$C$2:$C$2001,$D224,'原子事实记录'!$E$2:$E$2001,$A224,'原子事实记录'!$F$2:$F$2001,$B224,'原子事实记录'!$G$2:$G$2001,$C224,'原子事实记录'!$I$2:$I$2001,$E224,'原子事实记录'!$J$2:$J$2001,$F224,'原子事实记录'!$Q$2:$Q$2001,"是",'原子事实记录'!$R$2:$R$2001,"FN"))</f>
        <v/>
      </c>
      <c r="K224" s="5">
        <f>IF(COUNTA(A224:G224)&lt;7,"",COUNTIFS('原子事实记录'!$C$2:$C$2001,$D224,'原子事实记录'!$E$2:$E$2001,$A224,'原子事实记录'!$F$2:$F$2001,$B224,'原子事实记录'!$G$2:$G$2001,$C224,'原子事实记录'!$I$2:$I$2001,$E224,'原子事实记录'!$J$2:$J$2001,$F224,'原子事实记录'!$Q$2:$Q$2001,"是",'原子事实记录'!$R$2:$R$2001,"TN"))</f>
        <v/>
      </c>
      <c r="L224" s="5">
        <f>IF(COUNTA(A224:G224)&lt;7,"",COUNTIFS('原子事实记录'!$C$2:$C$2001,$D224,'原子事实记录'!$E$2:$E$2001,$A224,'原子事实记录'!$F$2:$F$2001,$B224,'原子事实记录'!$G$2:$G$2001,$C224,'原子事实记录'!$I$2:$I$2001,$E224,'原子事实记录'!$J$2:$J$2001,$F224,'原子事实记录'!$Q$2:$Q$2001,"是",'原子事实记录'!$R$2:$R$2001,"未知"))</f>
        <v/>
      </c>
      <c r="M224" s="3" t="n"/>
      <c r="N224" s="3" t="n"/>
      <c r="O224" s="5">
        <f>IF(OR(G224="",M224="",N224=""),"",M224+IF(G224="肯定主张正确率",H224,IF(G224="否定主张正确率",K224,IF(G224="灵敏度",H224,K224))))</f>
        <v/>
      </c>
      <c r="P224" s="5">
        <f>IF(OR(G224="",M224="",N224=""),"",N224+IF(G224="肯定主张正确率",I224,IF(G224="否定主张正确率",J224,IF(G224="灵敏度",J224,I224))))</f>
        <v/>
      </c>
      <c r="Q224" s="7">
        <f>IF(OR(O224="",P224=""),"",O224/(O224+P224))</f>
        <v/>
      </c>
      <c r="R224" s="7">
        <f>IF(Q224="","",BETA.INV(0.025,O224,P224))</f>
        <v/>
      </c>
      <c r="S224" s="7">
        <f>IF(Q224="","",BETA.INV(0.975,O224,P224))</f>
        <v/>
      </c>
      <c r="T224" s="5">
        <f>IF(OR(O224="",P224=""),"",O224+P224-M224-N224)</f>
        <v/>
      </c>
      <c r="U224" s="5">
        <f>IF(T224="","先填完整分组",IF(T224&lt;30,"样本太少：仅描述",IF(T224&lt;100,"只作试点候选","可进入独立验证")))</f>
        <v/>
      </c>
      <c r="V224" s="3" t="n"/>
      <c r="W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5">
        <f>IF(COUNTA(A225:G225)&lt;7,"",COUNTIFS('原子事实记录'!$C$2:$C$2001,$D225,'原子事实记录'!$E$2:$E$2001,$A225,'原子事实记录'!$F$2:$F$2001,$B225,'原子事实记录'!$G$2:$G$2001,$C225,'原子事实记录'!$I$2:$I$2001,$E225,'原子事实记录'!$J$2:$J$2001,$F225,'原子事实记录'!$Q$2:$Q$2001,"是",'原子事实记录'!$R$2:$R$2001,"TP"))</f>
        <v/>
      </c>
      <c r="I225" s="5">
        <f>IF(COUNTA(A225:G225)&lt;7,"",COUNTIFS('原子事实记录'!$C$2:$C$2001,$D225,'原子事实记录'!$E$2:$E$2001,$A225,'原子事实记录'!$F$2:$F$2001,$B225,'原子事实记录'!$G$2:$G$2001,$C225,'原子事实记录'!$I$2:$I$2001,$E225,'原子事实记录'!$J$2:$J$2001,$F225,'原子事实记录'!$Q$2:$Q$2001,"是",'原子事实记录'!$R$2:$R$2001,"FP"))</f>
        <v/>
      </c>
      <c r="J225" s="5">
        <f>IF(COUNTA(A225:G225)&lt;7,"",COUNTIFS('原子事实记录'!$C$2:$C$2001,$D225,'原子事实记录'!$E$2:$E$2001,$A225,'原子事实记录'!$F$2:$F$2001,$B225,'原子事实记录'!$G$2:$G$2001,$C225,'原子事实记录'!$I$2:$I$2001,$E225,'原子事实记录'!$J$2:$J$2001,$F225,'原子事实记录'!$Q$2:$Q$2001,"是",'原子事实记录'!$R$2:$R$2001,"FN"))</f>
        <v/>
      </c>
      <c r="K225" s="5">
        <f>IF(COUNTA(A225:G225)&lt;7,"",COUNTIFS('原子事实记录'!$C$2:$C$2001,$D225,'原子事实记录'!$E$2:$E$2001,$A225,'原子事实记录'!$F$2:$F$2001,$B225,'原子事实记录'!$G$2:$G$2001,$C225,'原子事实记录'!$I$2:$I$2001,$E225,'原子事实记录'!$J$2:$J$2001,$F225,'原子事实记录'!$Q$2:$Q$2001,"是",'原子事实记录'!$R$2:$R$2001,"TN"))</f>
        <v/>
      </c>
      <c r="L225" s="5">
        <f>IF(COUNTA(A225:G225)&lt;7,"",COUNTIFS('原子事实记录'!$C$2:$C$2001,$D225,'原子事实记录'!$E$2:$E$2001,$A225,'原子事实记录'!$F$2:$F$2001,$B225,'原子事实记录'!$G$2:$G$2001,$C225,'原子事实记录'!$I$2:$I$2001,$E225,'原子事实记录'!$J$2:$J$2001,$F225,'原子事实记录'!$Q$2:$Q$2001,"是",'原子事实记录'!$R$2:$R$2001,"未知"))</f>
        <v/>
      </c>
      <c r="M225" s="3" t="n"/>
      <c r="N225" s="3" t="n"/>
      <c r="O225" s="5">
        <f>IF(OR(G225="",M225="",N225=""),"",M225+IF(G225="肯定主张正确率",H225,IF(G225="否定主张正确率",K225,IF(G225="灵敏度",H225,K225))))</f>
        <v/>
      </c>
      <c r="P225" s="5">
        <f>IF(OR(G225="",M225="",N225=""),"",N225+IF(G225="肯定主张正确率",I225,IF(G225="否定主张正确率",J225,IF(G225="灵敏度",J225,I225))))</f>
        <v/>
      </c>
      <c r="Q225" s="7">
        <f>IF(OR(O225="",P225=""),"",O225/(O225+P225))</f>
        <v/>
      </c>
      <c r="R225" s="7">
        <f>IF(Q225="","",BETA.INV(0.025,O225,P225))</f>
        <v/>
      </c>
      <c r="S225" s="7">
        <f>IF(Q225="","",BETA.INV(0.975,O225,P225))</f>
        <v/>
      </c>
      <c r="T225" s="5">
        <f>IF(OR(O225="",P225=""),"",O225+P225-M225-N225)</f>
        <v/>
      </c>
      <c r="U225" s="5">
        <f>IF(T225="","先填完整分组",IF(T225&lt;30,"样本太少：仅描述",IF(T225&lt;100,"只作试点候选","可进入独立验证")))</f>
        <v/>
      </c>
      <c r="V225" s="3" t="n"/>
      <c r="W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5">
        <f>IF(COUNTA(A226:G226)&lt;7,"",COUNTIFS('原子事实记录'!$C$2:$C$2001,$D226,'原子事实记录'!$E$2:$E$2001,$A226,'原子事实记录'!$F$2:$F$2001,$B226,'原子事实记录'!$G$2:$G$2001,$C226,'原子事实记录'!$I$2:$I$2001,$E226,'原子事实记录'!$J$2:$J$2001,$F226,'原子事实记录'!$Q$2:$Q$2001,"是",'原子事实记录'!$R$2:$R$2001,"TP"))</f>
        <v/>
      </c>
      <c r="I226" s="5">
        <f>IF(COUNTA(A226:G226)&lt;7,"",COUNTIFS('原子事实记录'!$C$2:$C$2001,$D226,'原子事实记录'!$E$2:$E$2001,$A226,'原子事实记录'!$F$2:$F$2001,$B226,'原子事实记录'!$G$2:$G$2001,$C226,'原子事实记录'!$I$2:$I$2001,$E226,'原子事实记录'!$J$2:$J$2001,$F226,'原子事实记录'!$Q$2:$Q$2001,"是",'原子事实记录'!$R$2:$R$2001,"FP"))</f>
        <v/>
      </c>
      <c r="J226" s="5">
        <f>IF(COUNTA(A226:G226)&lt;7,"",COUNTIFS('原子事实记录'!$C$2:$C$2001,$D226,'原子事实记录'!$E$2:$E$2001,$A226,'原子事实记录'!$F$2:$F$2001,$B226,'原子事实记录'!$G$2:$G$2001,$C226,'原子事实记录'!$I$2:$I$2001,$E226,'原子事实记录'!$J$2:$J$2001,$F226,'原子事实记录'!$Q$2:$Q$2001,"是",'原子事实记录'!$R$2:$R$2001,"FN"))</f>
        <v/>
      </c>
      <c r="K226" s="5">
        <f>IF(COUNTA(A226:G226)&lt;7,"",COUNTIFS('原子事实记录'!$C$2:$C$2001,$D226,'原子事实记录'!$E$2:$E$2001,$A226,'原子事实记录'!$F$2:$F$2001,$B226,'原子事实记录'!$G$2:$G$2001,$C226,'原子事实记录'!$I$2:$I$2001,$E226,'原子事实记录'!$J$2:$J$2001,$F226,'原子事实记录'!$Q$2:$Q$2001,"是",'原子事实记录'!$R$2:$R$2001,"TN"))</f>
        <v/>
      </c>
      <c r="L226" s="5">
        <f>IF(COUNTA(A226:G226)&lt;7,"",COUNTIFS('原子事实记录'!$C$2:$C$2001,$D226,'原子事实记录'!$E$2:$E$2001,$A226,'原子事实记录'!$F$2:$F$2001,$B226,'原子事实记录'!$G$2:$G$2001,$C226,'原子事实记录'!$I$2:$I$2001,$E226,'原子事实记录'!$J$2:$J$2001,$F226,'原子事实记录'!$Q$2:$Q$2001,"是",'原子事实记录'!$R$2:$R$2001,"未知"))</f>
        <v/>
      </c>
      <c r="M226" s="3" t="n"/>
      <c r="N226" s="3" t="n"/>
      <c r="O226" s="5">
        <f>IF(OR(G226="",M226="",N226=""),"",M226+IF(G226="肯定主张正确率",H226,IF(G226="否定主张正确率",K226,IF(G226="灵敏度",H226,K226))))</f>
        <v/>
      </c>
      <c r="P226" s="5">
        <f>IF(OR(G226="",M226="",N226=""),"",N226+IF(G226="肯定主张正确率",I226,IF(G226="否定主张正确率",J226,IF(G226="灵敏度",J226,I226))))</f>
        <v/>
      </c>
      <c r="Q226" s="7">
        <f>IF(OR(O226="",P226=""),"",O226/(O226+P226))</f>
        <v/>
      </c>
      <c r="R226" s="7">
        <f>IF(Q226="","",BETA.INV(0.025,O226,P226))</f>
        <v/>
      </c>
      <c r="S226" s="7">
        <f>IF(Q226="","",BETA.INV(0.975,O226,P226))</f>
        <v/>
      </c>
      <c r="T226" s="5">
        <f>IF(OR(O226="",P226=""),"",O226+P226-M226-N226)</f>
        <v/>
      </c>
      <c r="U226" s="5">
        <f>IF(T226="","先填完整分组",IF(T226&lt;30,"样本太少：仅描述",IF(T226&lt;100,"只作试点候选","可进入独立验证")))</f>
        <v/>
      </c>
      <c r="V226" s="3" t="n"/>
      <c r="W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5">
        <f>IF(COUNTA(A227:G227)&lt;7,"",COUNTIFS('原子事实记录'!$C$2:$C$2001,$D227,'原子事实记录'!$E$2:$E$2001,$A227,'原子事实记录'!$F$2:$F$2001,$B227,'原子事实记录'!$G$2:$G$2001,$C227,'原子事实记录'!$I$2:$I$2001,$E227,'原子事实记录'!$J$2:$J$2001,$F227,'原子事实记录'!$Q$2:$Q$2001,"是",'原子事实记录'!$R$2:$R$2001,"TP"))</f>
        <v/>
      </c>
      <c r="I227" s="5">
        <f>IF(COUNTA(A227:G227)&lt;7,"",COUNTIFS('原子事实记录'!$C$2:$C$2001,$D227,'原子事实记录'!$E$2:$E$2001,$A227,'原子事实记录'!$F$2:$F$2001,$B227,'原子事实记录'!$G$2:$G$2001,$C227,'原子事实记录'!$I$2:$I$2001,$E227,'原子事实记录'!$J$2:$J$2001,$F227,'原子事实记录'!$Q$2:$Q$2001,"是",'原子事实记录'!$R$2:$R$2001,"FP"))</f>
        <v/>
      </c>
      <c r="J227" s="5">
        <f>IF(COUNTA(A227:G227)&lt;7,"",COUNTIFS('原子事实记录'!$C$2:$C$2001,$D227,'原子事实记录'!$E$2:$E$2001,$A227,'原子事实记录'!$F$2:$F$2001,$B227,'原子事实记录'!$G$2:$G$2001,$C227,'原子事实记录'!$I$2:$I$2001,$E227,'原子事实记录'!$J$2:$J$2001,$F227,'原子事实记录'!$Q$2:$Q$2001,"是",'原子事实记录'!$R$2:$R$2001,"FN"))</f>
        <v/>
      </c>
      <c r="K227" s="5">
        <f>IF(COUNTA(A227:G227)&lt;7,"",COUNTIFS('原子事实记录'!$C$2:$C$2001,$D227,'原子事实记录'!$E$2:$E$2001,$A227,'原子事实记录'!$F$2:$F$2001,$B227,'原子事实记录'!$G$2:$G$2001,$C227,'原子事实记录'!$I$2:$I$2001,$E227,'原子事实记录'!$J$2:$J$2001,$F227,'原子事实记录'!$Q$2:$Q$2001,"是",'原子事实记录'!$R$2:$R$2001,"TN"))</f>
        <v/>
      </c>
      <c r="L227" s="5">
        <f>IF(COUNTA(A227:G227)&lt;7,"",COUNTIFS('原子事实记录'!$C$2:$C$2001,$D227,'原子事实记录'!$E$2:$E$2001,$A227,'原子事实记录'!$F$2:$F$2001,$B227,'原子事实记录'!$G$2:$G$2001,$C227,'原子事实记录'!$I$2:$I$2001,$E227,'原子事实记录'!$J$2:$J$2001,$F227,'原子事实记录'!$Q$2:$Q$2001,"是",'原子事实记录'!$R$2:$R$2001,"未知"))</f>
        <v/>
      </c>
      <c r="M227" s="3" t="n"/>
      <c r="N227" s="3" t="n"/>
      <c r="O227" s="5">
        <f>IF(OR(G227="",M227="",N227=""),"",M227+IF(G227="肯定主张正确率",H227,IF(G227="否定主张正确率",K227,IF(G227="灵敏度",H227,K227))))</f>
        <v/>
      </c>
      <c r="P227" s="5">
        <f>IF(OR(G227="",M227="",N227=""),"",N227+IF(G227="肯定主张正确率",I227,IF(G227="否定主张正确率",J227,IF(G227="灵敏度",J227,I227))))</f>
        <v/>
      </c>
      <c r="Q227" s="7">
        <f>IF(OR(O227="",P227=""),"",O227/(O227+P227))</f>
        <v/>
      </c>
      <c r="R227" s="7">
        <f>IF(Q227="","",BETA.INV(0.025,O227,P227))</f>
        <v/>
      </c>
      <c r="S227" s="7">
        <f>IF(Q227="","",BETA.INV(0.975,O227,P227))</f>
        <v/>
      </c>
      <c r="T227" s="5">
        <f>IF(OR(O227="",P227=""),"",O227+P227-M227-N227)</f>
        <v/>
      </c>
      <c r="U227" s="5">
        <f>IF(T227="","先填完整分组",IF(T227&lt;30,"样本太少：仅描述",IF(T227&lt;100,"只作试点候选","可进入独立验证")))</f>
        <v/>
      </c>
      <c r="V227" s="3" t="n"/>
      <c r="W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5">
        <f>IF(COUNTA(A228:G228)&lt;7,"",COUNTIFS('原子事实记录'!$C$2:$C$2001,$D228,'原子事实记录'!$E$2:$E$2001,$A228,'原子事实记录'!$F$2:$F$2001,$B228,'原子事实记录'!$G$2:$G$2001,$C228,'原子事实记录'!$I$2:$I$2001,$E228,'原子事实记录'!$J$2:$J$2001,$F228,'原子事实记录'!$Q$2:$Q$2001,"是",'原子事实记录'!$R$2:$R$2001,"TP"))</f>
        <v/>
      </c>
      <c r="I228" s="5">
        <f>IF(COUNTA(A228:G228)&lt;7,"",COUNTIFS('原子事实记录'!$C$2:$C$2001,$D228,'原子事实记录'!$E$2:$E$2001,$A228,'原子事实记录'!$F$2:$F$2001,$B228,'原子事实记录'!$G$2:$G$2001,$C228,'原子事实记录'!$I$2:$I$2001,$E228,'原子事实记录'!$J$2:$J$2001,$F228,'原子事实记录'!$Q$2:$Q$2001,"是",'原子事实记录'!$R$2:$R$2001,"FP"))</f>
        <v/>
      </c>
      <c r="J228" s="5">
        <f>IF(COUNTA(A228:G228)&lt;7,"",COUNTIFS('原子事实记录'!$C$2:$C$2001,$D228,'原子事实记录'!$E$2:$E$2001,$A228,'原子事实记录'!$F$2:$F$2001,$B228,'原子事实记录'!$G$2:$G$2001,$C228,'原子事实记录'!$I$2:$I$2001,$E228,'原子事实记录'!$J$2:$J$2001,$F228,'原子事实记录'!$Q$2:$Q$2001,"是",'原子事实记录'!$R$2:$R$2001,"FN"))</f>
        <v/>
      </c>
      <c r="K228" s="5">
        <f>IF(COUNTA(A228:G228)&lt;7,"",COUNTIFS('原子事实记录'!$C$2:$C$2001,$D228,'原子事实记录'!$E$2:$E$2001,$A228,'原子事实记录'!$F$2:$F$2001,$B228,'原子事实记录'!$G$2:$G$2001,$C228,'原子事实记录'!$I$2:$I$2001,$E228,'原子事实记录'!$J$2:$J$2001,$F228,'原子事实记录'!$Q$2:$Q$2001,"是",'原子事实记录'!$R$2:$R$2001,"TN"))</f>
        <v/>
      </c>
      <c r="L228" s="5">
        <f>IF(COUNTA(A228:G228)&lt;7,"",COUNTIFS('原子事实记录'!$C$2:$C$2001,$D228,'原子事实记录'!$E$2:$E$2001,$A228,'原子事实记录'!$F$2:$F$2001,$B228,'原子事实记录'!$G$2:$G$2001,$C228,'原子事实记录'!$I$2:$I$2001,$E228,'原子事实记录'!$J$2:$J$2001,$F228,'原子事实记录'!$Q$2:$Q$2001,"是",'原子事实记录'!$R$2:$R$2001,"未知"))</f>
        <v/>
      </c>
      <c r="M228" s="3" t="n"/>
      <c r="N228" s="3" t="n"/>
      <c r="O228" s="5">
        <f>IF(OR(G228="",M228="",N228=""),"",M228+IF(G228="肯定主张正确率",H228,IF(G228="否定主张正确率",K228,IF(G228="灵敏度",H228,K228))))</f>
        <v/>
      </c>
      <c r="P228" s="5">
        <f>IF(OR(G228="",M228="",N228=""),"",N228+IF(G228="肯定主张正确率",I228,IF(G228="否定主张正确率",J228,IF(G228="灵敏度",J228,I228))))</f>
        <v/>
      </c>
      <c r="Q228" s="7">
        <f>IF(OR(O228="",P228=""),"",O228/(O228+P228))</f>
        <v/>
      </c>
      <c r="R228" s="7">
        <f>IF(Q228="","",BETA.INV(0.025,O228,P228))</f>
        <v/>
      </c>
      <c r="S228" s="7">
        <f>IF(Q228="","",BETA.INV(0.975,O228,P228))</f>
        <v/>
      </c>
      <c r="T228" s="5">
        <f>IF(OR(O228="",P228=""),"",O228+P228-M228-N228)</f>
        <v/>
      </c>
      <c r="U228" s="5">
        <f>IF(T228="","先填完整分组",IF(T228&lt;30,"样本太少：仅描述",IF(T228&lt;100,"只作试点候选","可进入独立验证")))</f>
        <v/>
      </c>
      <c r="V228" s="3" t="n"/>
      <c r="W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5">
        <f>IF(COUNTA(A229:G229)&lt;7,"",COUNTIFS('原子事实记录'!$C$2:$C$2001,$D229,'原子事实记录'!$E$2:$E$2001,$A229,'原子事实记录'!$F$2:$F$2001,$B229,'原子事实记录'!$G$2:$G$2001,$C229,'原子事实记录'!$I$2:$I$2001,$E229,'原子事实记录'!$J$2:$J$2001,$F229,'原子事实记录'!$Q$2:$Q$2001,"是",'原子事实记录'!$R$2:$R$2001,"TP"))</f>
        <v/>
      </c>
      <c r="I229" s="5">
        <f>IF(COUNTA(A229:G229)&lt;7,"",COUNTIFS('原子事实记录'!$C$2:$C$2001,$D229,'原子事实记录'!$E$2:$E$2001,$A229,'原子事实记录'!$F$2:$F$2001,$B229,'原子事实记录'!$G$2:$G$2001,$C229,'原子事实记录'!$I$2:$I$2001,$E229,'原子事实记录'!$J$2:$J$2001,$F229,'原子事实记录'!$Q$2:$Q$2001,"是",'原子事实记录'!$R$2:$R$2001,"FP"))</f>
        <v/>
      </c>
      <c r="J229" s="5">
        <f>IF(COUNTA(A229:G229)&lt;7,"",COUNTIFS('原子事实记录'!$C$2:$C$2001,$D229,'原子事实记录'!$E$2:$E$2001,$A229,'原子事实记录'!$F$2:$F$2001,$B229,'原子事实记录'!$G$2:$G$2001,$C229,'原子事实记录'!$I$2:$I$2001,$E229,'原子事实记录'!$J$2:$J$2001,$F229,'原子事实记录'!$Q$2:$Q$2001,"是",'原子事实记录'!$R$2:$R$2001,"FN"))</f>
        <v/>
      </c>
      <c r="K229" s="5">
        <f>IF(COUNTA(A229:G229)&lt;7,"",COUNTIFS('原子事实记录'!$C$2:$C$2001,$D229,'原子事实记录'!$E$2:$E$2001,$A229,'原子事实记录'!$F$2:$F$2001,$B229,'原子事实记录'!$G$2:$G$2001,$C229,'原子事实记录'!$I$2:$I$2001,$E229,'原子事实记录'!$J$2:$J$2001,$F229,'原子事实记录'!$Q$2:$Q$2001,"是",'原子事实记录'!$R$2:$R$2001,"TN"))</f>
        <v/>
      </c>
      <c r="L229" s="5">
        <f>IF(COUNTA(A229:G229)&lt;7,"",COUNTIFS('原子事实记录'!$C$2:$C$2001,$D229,'原子事实记录'!$E$2:$E$2001,$A229,'原子事实记录'!$F$2:$F$2001,$B229,'原子事实记录'!$G$2:$G$2001,$C229,'原子事实记录'!$I$2:$I$2001,$E229,'原子事实记录'!$J$2:$J$2001,$F229,'原子事实记录'!$Q$2:$Q$2001,"是",'原子事实记录'!$R$2:$R$2001,"未知"))</f>
        <v/>
      </c>
      <c r="M229" s="3" t="n"/>
      <c r="N229" s="3" t="n"/>
      <c r="O229" s="5">
        <f>IF(OR(G229="",M229="",N229=""),"",M229+IF(G229="肯定主张正确率",H229,IF(G229="否定主张正确率",K229,IF(G229="灵敏度",H229,K229))))</f>
        <v/>
      </c>
      <c r="P229" s="5">
        <f>IF(OR(G229="",M229="",N229=""),"",N229+IF(G229="肯定主张正确率",I229,IF(G229="否定主张正确率",J229,IF(G229="灵敏度",J229,I229))))</f>
        <v/>
      </c>
      <c r="Q229" s="7">
        <f>IF(OR(O229="",P229=""),"",O229/(O229+P229))</f>
        <v/>
      </c>
      <c r="R229" s="7">
        <f>IF(Q229="","",BETA.INV(0.025,O229,P229))</f>
        <v/>
      </c>
      <c r="S229" s="7">
        <f>IF(Q229="","",BETA.INV(0.975,O229,P229))</f>
        <v/>
      </c>
      <c r="T229" s="5">
        <f>IF(OR(O229="",P229=""),"",O229+P229-M229-N229)</f>
        <v/>
      </c>
      <c r="U229" s="5">
        <f>IF(T229="","先填完整分组",IF(T229&lt;30,"样本太少：仅描述",IF(T229&lt;100,"只作试点候选","可进入独立验证")))</f>
        <v/>
      </c>
      <c r="V229" s="3" t="n"/>
      <c r="W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5">
        <f>IF(COUNTA(A230:G230)&lt;7,"",COUNTIFS('原子事实记录'!$C$2:$C$2001,$D230,'原子事实记录'!$E$2:$E$2001,$A230,'原子事实记录'!$F$2:$F$2001,$B230,'原子事实记录'!$G$2:$G$2001,$C230,'原子事实记录'!$I$2:$I$2001,$E230,'原子事实记录'!$J$2:$J$2001,$F230,'原子事实记录'!$Q$2:$Q$2001,"是",'原子事实记录'!$R$2:$R$2001,"TP"))</f>
        <v/>
      </c>
      <c r="I230" s="5">
        <f>IF(COUNTA(A230:G230)&lt;7,"",COUNTIFS('原子事实记录'!$C$2:$C$2001,$D230,'原子事实记录'!$E$2:$E$2001,$A230,'原子事实记录'!$F$2:$F$2001,$B230,'原子事实记录'!$G$2:$G$2001,$C230,'原子事实记录'!$I$2:$I$2001,$E230,'原子事实记录'!$J$2:$J$2001,$F230,'原子事实记录'!$Q$2:$Q$2001,"是",'原子事实记录'!$R$2:$R$2001,"FP"))</f>
        <v/>
      </c>
      <c r="J230" s="5">
        <f>IF(COUNTA(A230:G230)&lt;7,"",COUNTIFS('原子事实记录'!$C$2:$C$2001,$D230,'原子事实记录'!$E$2:$E$2001,$A230,'原子事实记录'!$F$2:$F$2001,$B230,'原子事实记录'!$G$2:$G$2001,$C230,'原子事实记录'!$I$2:$I$2001,$E230,'原子事实记录'!$J$2:$J$2001,$F230,'原子事实记录'!$Q$2:$Q$2001,"是",'原子事实记录'!$R$2:$R$2001,"FN"))</f>
        <v/>
      </c>
      <c r="K230" s="5">
        <f>IF(COUNTA(A230:G230)&lt;7,"",COUNTIFS('原子事实记录'!$C$2:$C$2001,$D230,'原子事实记录'!$E$2:$E$2001,$A230,'原子事实记录'!$F$2:$F$2001,$B230,'原子事实记录'!$G$2:$G$2001,$C230,'原子事实记录'!$I$2:$I$2001,$E230,'原子事实记录'!$J$2:$J$2001,$F230,'原子事实记录'!$Q$2:$Q$2001,"是",'原子事实记录'!$R$2:$R$2001,"TN"))</f>
        <v/>
      </c>
      <c r="L230" s="5">
        <f>IF(COUNTA(A230:G230)&lt;7,"",COUNTIFS('原子事实记录'!$C$2:$C$2001,$D230,'原子事实记录'!$E$2:$E$2001,$A230,'原子事实记录'!$F$2:$F$2001,$B230,'原子事实记录'!$G$2:$G$2001,$C230,'原子事实记录'!$I$2:$I$2001,$E230,'原子事实记录'!$J$2:$J$2001,$F230,'原子事实记录'!$Q$2:$Q$2001,"是",'原子事实记录'!$R$2:$R$2001,"未知"))</f>
        <v/>
      </c>
      <c r="M230" s="3" t="n"/>
      <c r="N230" s="3" t="n"/>
      <c r="O230" s="5">
        <f>IF(OR(G230="",M230="",N230=""),"",M230+IF(G230="肯定主张正确率",H230,IF(G230="否定主张正确率",K230,IF(G230="灵敏度",H230,K230))))</f>
        <v/>
      </c>
      <c r="P230" s="5">
        <f>IF(OR(G230="",M230="",N230=""),"",N230+IF(G230="肯定主张正确率",I230,IF(G230="否定主张正确率",J230,IF(G230="灵敏度",J230,I230))))</f>
        <v/>
      </c>
      <c r="Q230" s="7">
        <f>IF(OR(O230="",P230=""),"",O230/(O230+P230))</f>
        <v/>
      </c>
      <c r="R230" s="7">
        <f>IF(Q230="","",BETA.INV(0.025,O230,P230))</f>
        <v/>
      </c>
      <c r="S230" s="7">
        <f>IF(Q230="","",BETA.INV(0.975,O230,P230))</f>
        <v/>
      </c>
      <c r="T230" s="5">
        <f>IF(OR(O230="",P230=""),"",O230+P230-M230-N230)</f>
        <v/>
      </c>
      <c r="U230" s="5">
        <f>IF(T230="","先填完整分组",IF(T230&lt;30,"样本太少：仅描述",IF(T230&lt;100,"只作试点候选","可进入独立验证")))</f>
        <v/>
      </c>
      <c r="V230" s="3" t="n"/>
      <c r="W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5">
        <f>IF(COUNTA(A231:G231)&lt;7,"",COUNTIFS('原子事实记录'!$C$2:$C$2001,$D231,'原子事实记录'!$E$2:$E$2001,$A231,'原子事实记录'!$F$2:$F$2001,$B231,'原子事实记录'!$G$2:$G$2001,$C231,'原子事实记录'!$I$2:$I$2001,$E231,'原子事实记录'!$J$2:$J$2001,$F231,'原子事实记录'!$Q$2:$Q$2001,"是",'原子事实记录'!$R$2:$R$2001,"TP"))</f>
        <v/>
      </c>
      <c r="I231" s="5">
        <f>IF(COUNTA(A231:G231)&lt;7,"",COUNTIFS('原子事实记录'!$C$2:$C$2001,$D231,'原子事实记录'!$E$2:$E$2001,$A231,'原子事实记录'!$F$2:$F$2001,$B231,'原子事实记录'!$G$2:$G$2001,$C231,'原子事实记录'!$I$2:$I$2001,$E231,'原子事实记录'!$J$2:$J$2001,$F231,'原子事实记录'!$Q$2:$Q$2001,"是",'原子事实记录'!$R$2:$R$2001,"FP"))</f>
        <v/>
      </c>
      <c r="J231" s="5">
        <f>IF(COUNTA(A231:G231)&lt;7,"",COUNTIFS('原子事实记录'!$C$2:$C$2001,$D231,'原子事实记录'!$E$2:$E$2001,$A231,'原子事实记录'!$F$2:$F$2001,$B231,'原子事实记录'!$G$2:$G$2001,$C231,'原子事实记录'!$I$2:$I$2001,$E231,'原子事实记录'!$J$2:$J$2001,$F231,'原子事实记录'!$Q$2:$Q$2001,"是",'原子事实记录'!$R$2:$R$2001,"FN"))</f>
        <v/>
      </c>
      <c r="K231" s="5">
        <f>IF(COUNTA(A231:G231)&lt;7,"",COUNTIFS('原子事实记录'!$C$2:$C$2001,$D231,'原子事实记录'!$E$2:$E$2001,$A231,'原子事实记录'!$F$2:$F$2001,$B231,'原子事实记录'!$G$2:$G$2001,$C231,'原子事实记录'!$I$2:$I$2001,$E231,'原子事实记录'!$J$2:$J$2001,$F231,'原子事实记录'!$Q$2:$Q$2001,"是",'原子事实记录'!$R$2:$R$2001,"TN"))</f>
        <v/>
      </c>
      <c r="L231" s="5">
        <f>IF(COUNTA(A231:G231)&lt;7,"",COUNTIFS('原子事实记录'!$C$2:$C$2001,$D231,'原子事实记录'!$E$2:$E$2001,$A231,'原子事实记录'!$F$2:$F$2001,$B231,'原子事实记录'!$G$2:$G$2001,$C231,'原子事实记录'!$I$2:$I$2001,$E231,'原子事实记录'!$J$2:$J$2001,$F231,'原子事实记录'!$Q$2:$Q$2001,"是",'原子事实记录'!$R$2:$R$2001,"未知"))</f>
        <v/>
      </c>
      <c r="M231" s="3" t="n"/>
      <c r="N231" s="3" t="n"/>
      <c r="O231" s="5">
        <f>IF(OR(G231="",M231="",N231=""),"",M231+IF(G231="肯定主张正确率",H231,IF(G231="否定主张正确率",K231,IF(G231="灵敏度",H231,K231))))</f>
        <v/>
      </c>
      <c r="P231" s="5">
        <f>IF(OR(G231="",M231="",N231=""),"",N231+IF(G231="肯定主张正确率",I231,IF(G231="否定主张正确率",J231,IF(G231="灵敏度",J231,I231))))</f>
        <v/>
      </c>
      <c r="Q231" s="7">
        <f>IF(OR(O231="",P231=""),"",O231/(O231+P231))</f>
        <v/>
      </c>
      <c r="R231" s="7">
        <f>IF(Q231="","",BETA.INV(0.025,O231,P231))</f>
        <v/>
      </c>
      <c r="S231" s="7">
        <f>IF(Q231="","",BETA.INV(0.975,O231,P231))</f>
        <v/>
      </c>
      <c r="T231" s="5">
        <f>IF(OR(O231="",P231=""),"",O231+P231-M231-N231)</f>
        <v/>
      </c>
      <c r="U231" s="5">
        <f>IF(T231="","先填完整分组",IF(T231&lt;30,"样本太少：仅描述",IF(T231&lt;100,"只作试点候选","可进入独立验证")))</f>
        <v/>
      </c>
      <c r="V231" s="3" t="n"/>
      <c r="W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5">
        <f>IF(COUNTA(A232:G232)&lt;7,"",COUNTIFS('原子事实记录'!$C$2:$C$2001,$D232,'原子事实记录'!$E$2:$E$2001,$A232,'原子事实记录'!$F$2:$F$2001,$B232,'原子事实记录'!$G$2:$G$2001,$C232,'原子事实记录'!$I$2:$I$2001,$E232,'原子事实记录'!$J$2:$J$2001,$F232,'原子事实记录'!$Q$2:$Q$2001,"是",'原子事实记录'!$R$2:$R$2001,"TP"))</f>
        <v/>
      </c>
      <c r="I232" s="5">
        <f>IF(COUNTA(A232:G232)&lt;7,"",COUNTIFS('原子事实记录'!$C$2:$C$2001,$D232,'原子事实记录'!$E$2:$E$2001,$A232,'原子事实记录'!$F$2:$F$2001,$B232,'原子事实记录'!$G$2:$G$2001,$C232,'原子事实记录'!$I$2:$I$2001,$E232,'原子事实记录'!$J$2:$J$2001,$F232,'原子事实记录'!$Q$2:$Q$2001,"是",'原子事实记录'!$R$2:$R$2001,"FP"))</f>
        <v/>
      </c>
      <c r="J232" s="5">
        <f>IF(COUNTA(A232:G232)&lt;7,"",COUNTIFS('原子事实记录'!$C$2:$C$2001,$D232,'原子事实记录'!$E$2:$E$2001,$A232,'原子事实记录'!$F$2:$F$2001,$B232,'原子事实记录'!$G$2:$G$2001,$C232,'原子事实记录'!$I$2:$I$2001,$E232,'原子事实记录'!$J$2:$J$2001,$F232,'原子事实记录'!$Q$2:$Q$2001,"是",'原子事实记录'!$R$2:$R$2001,"FN"))</f>
        <v/>
      </c>
      <c r="K232" s="5">
        <f>IF(COUNTA(A232:G232)&lt;7,"",COUNTIFS('原子事实记录'!$C$2:$C$2001,$D232,'原子事实记录'!$E$2:$E$2001,$A232,'原子事实记录'!$F$2:$F$2001,$B232,'原子事实记录'!$G$2:$G$2001,$C232,'原子事实记录'!$I$2:$I$2001,$E232,'原子事实记录'!$J$2:$J$2001,$F232,'原子事实记录'!$Q$2:$Q$2001,"是",'原子事实记录'!$R$2:$R$2001,"TN"))</f>
        <v/>
      </c>
      <c r="L232" s="5">
        <f>IF(COUNTA(A232:G232)&lt;7,"",COUNTIFS('原子事实记录'!$C$2:$C$2001,$D232,'原子事实记录'!$E$2:$E$2001,$A232,'原子事实记录'!$F$2:$F$2001,$B232,'原子事实记录'!$G$2:$G$2001,$C232,'原子事实记录'!$I$2:$I$2001,$E232,'原子事实记录'!$J$2:$J$2001,$F232,'原子事实记录'!$Q$2:$Q$2001,"是",'原子事实记录'!$R$2:$R$2001,"未知"))</f>
        <v/>
      </c>
      <c r="M232" s="3" t="n"/>
      <c r="N232" s="3" t="n"/>
      <c r="O232" s="5">
        <f>IF(OR(G232="",M232="",N232=""),"",M232+IF(G232="肯定主张正确率",H232,IF(G232="否定主张正确率",K232,IF(G232="灵敏度",H232,K232))))</f>
        <v/>
      </c>
      <c r="P232" s="5">
        <f>IF(OR(G232="",M232="",N232=""),"",N232+IF(G232="肯定主张正确率",I232,IF(G232="否定主张正确率",J232,IF(G232="灵敏度",J232,I232))))</f>
        <v/>
      </c>
      <c r="Q232" s="7">
        <f>IF(OR(O232="",P232=""),"",O232/(O232+P232))</f>
        <v/>
      </c>
      <c r="R232" s="7">
        <f>IF(Q232="","",BETA.INV(0.025,O232,P232))</f>
        <v/>
      </c>
      <c r="S232" s="7">
        <f>IF(Q232="","",BETA.INV(0.975,O232,P232))</f>
        <v/>
      </c>
      <c r="T232" s="5">
        <f>IF(OR(O232="",P232=""),"",O232+P232-M232-N232)</f>
        <v/>
      </c>
      <c r="U232" s="5">
        <f>IF(T232="","先填完整分组",IF(T232&lt;30,"样本太少：仅描述",IF(T232&lt;100,"只作试点候选","可进入独立验证")))</f>
        <v/>
      </c>
      <c r="V232" s="3" t="n"/>
      <c r="W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5">
        <f>IF(COUNTA(A233:G233)&lt;7,"",COUNTIFS('原子事实记录'!$C$2:$C$2001,$D233,'原子事实记录'!$E$2:$E$2001,$A233,'原子事实记录'!$F$2:$F$2001,$B233,'原子事实记录'!$G$2:$G$2001,$C233,'原子事实记录'!$I$2:$I$2001,$E233,'原子事实记录'!$J$2:$J$2001,$F233,'原子事实记录'!$Q$2:$Q$2001,"是",'原子事实记录'!$R$2:$R$2001,"TP"))</f>
        <v/>
      </c>
      <c r="I233" s="5">
        <f>IF(COUNTA(A233:G233)&lt;7,"",COUNTIFS('原子事实记录'!$C$2:$C$2001,$D233,'原子事实记录'!$E$2:$E$2001,$A233,'原子事实记录'!$F$2:$F$2001,$B233,'原子事实记录'!$G$2:$G$2001,$C233,'原子事实记录'!$I$2:$I$2001,$E233,'原子事实记录'!$J$2:$J$2001,$F233,'原子事实记录'!$Q$2:$Q$2001,"是",'原子事实记录'!$R$2:$R$2001,"FP"))</f>
        <v/>
      </c>
      <c r="J233" s="5">
        <f>IF(COUNTA(A233:G233)&lt;7,"",COUNTIFS('原子事实记录'!$C$2:$C$2001,$D233,'原子事实记录'!$E$2:$E$2001,$A233,'原子事实记录'!$F$2:$F$2001,$B233,'原子事实记录'!$G$2:$G$2001,$C233,'原子事实记录'!$I$2:$I$2001,$E233,'原子事实记录'!$J$2:$J$2001,$F233,'原子事实记录'!$Q$2:$Q$2001,"是",'原子事实记录'!$R$2:$R$2001,"FN"))</f>
        <v/>
      </c>
      <c r="K233" s="5">
        <f>IF(COUNTA(A233:G233)&lt;7,"",COUNTIFS('原子事实记录'!$C$2:$C$2001,$D233,'原子事实记录'!$E$2:$E$2001,$A233,'原子事实记录'!$F$2:$F$2001,$B233,'原子事实记录'!$G$2:$G$2001,$C233,'原子事实记录'!$I$2:$I$2001,$E233,'原子事实记录'!$J$2:$J$2001,$F233,'原子事实记录'!$Q$2:$Q$2001,"是",'原子事实记录'!$R$2:$R$2001,"TN"))</f>
        <v/>
      </c>
      <c r="L233" s="5">
        <f>IF(COUNTA(A233:G233)&lt;7,"",COUNTIFS('原子事实记录'!$C$2:$C$2001,$D233,'原子事实记录'!$E$2:$E$2001,$A233,'原子事实记录'!$F$2:$F$2001,$B233,'原子事实记录'!$G$2:$G$2001,$C233,'原子事实记录'!$I$2:$I$2001,$E233,'原子事实记录'!$J$2:$J$2001,$F233,'原子事实记录'!$Q$2:$Q$2001,"是",'原子事实记录'!$R$2:$R$2001,"未知"))</f>
        <v/>
      </c>
      <c r="M233" s="3" t="n"/>
      <c r="N233" s="3" t="n"/>
      <c r="O233" s="5">
        <f>IF(OR(G233="",M233="",N233=""),"",M233+IF(G233="肯定主张正确率",H233,IF(G233="否定主张正确率",K233,IF(G233="灵敏度",H233,K233))))</f>
        <v/>
      </c>
      <c r="P233" s="5">
        <f>IF(OR(G233="",M233="",N233=""),"",N233+IF(G233="肯定主张正确率",I233,IF(G233="否定主张正确率",J233,IF(G233="灵敏度",J233,I233))))</f>
        <v/>
      </c>
      <c r="Q233" s="7">
        <f>IF(OR(O233="",P233=""),"",O233/(O233+P233))</f>
        <v/>
      </c>
      <c r="R233" s="7">
        <f>IF(Q233="","",BETA.INV(0.025,O233,P233))</f>
        <v/>
      </c>
      <c r="S233" s="7">
        <f>IF(Q233="","",BETA.INV(0.975,O233,P233))</f>
        <v/>
      </c>
      <c r="T233" s="5">
        <f>IF(OR(O233="",P233=""),"",O233+P233-M233-N233)</f>
        <v/>
      </c>
      <c r="U233" s="5">
        <f>IF(T233="","先填完整分组",IF(T233&lt;30,"样本太少：仅描述",IF(T233&lt;100,"只作试点候选","可进入独立验证")))</f>
        <v/>
      </c>
      <c r="V233" s="3" t="n"/>
      <c r="W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5">
        <f>IF(COUNTA(A234:G234)&lt;7,"",COUNTIFS('原子事实记录'!$C$2:$C$2001,$D234,'原子事实记录'!$E$2:$E$2001,$A234,'原子事实记录'!$F$2:$F$2001,$B234,'原子事实记录'!$G$2:$G$2001,$C234,'原子事实记录'!$I$2:$I$2001,$E234,'原子事实记录'!$J$2:$J$2001,$F234,'原子事实记录'!$Q$2:$Q$2001,"是",'原子事实记录'!$R$2:$R$2001,"TP"))</f>
        <v/>
      </c>
      <c r="I234" s="5">
        <f>IF(COUNTA(A234:G234)&lt;7,"",COUNTIFS('原子事实记录'!$C$2:$C$2001,$D234,'原子事实记录'!$E$2:$E$2001,$A234,'原子事实记录'!$F$2:$F$2001,$B234,'原子事实记录'!$G$2:$G$2001,$C234,'原子事实记录'!$I$2:$I$2001,$E234,'原子事实记录'!$J$2:$J$2001,$F234,'原子事实记录'!$Q$2:$Q$2001,"是",'原子事实记录'!$R$2:$R$2001,"FP"))</f>
        <v/>
      </c>
      <c r="J234" s="5">
        <f>IF(COUNTA(A234:G234)&lt;7,"",COUNTIFS('原子事实记录'!$C$2:$C$2001,$D234,'原子事实记录'!$E$2:$E$2001,$A234,'原子事实记录'!$F$2:$F$2001,$B234,'原子事实记录'!$G$2:$G$2001,$C234,'原子事实记录'!$I$2:$I$2001,$E234,'原子事实记录'!$J$2:$J$2001,$F234,'原子事实记录'!$Q$2:$Q$2001,"是",'原子事实记录'!$R$2:$R$2001,"FN"))</f>
        <v/>
      </c>
      <c r="K234" s="5">
        <f>IF(COUNTA(A234:G234)&lt;7,"",COUNTIFS('原子事实记录'!$C$2:$C$2001,$D234,'原子事实记录'!$E$2:$E$2001,$A234,'原子事实记录'!$F$2:$F$2001,$B234,'原子事实记录'!$G$2:$G$2001,$C234,'原子事实记录'!$I$2:$I$2001,$E234,'原子事实记录'!$J$2:$J$2001,$F234,'原子事实记录'!$Q$2:$Q$2001,"是",'原子事实记录'!$R$2:$R$2001,"TN"))</f>
        <v/>
      </c>
      <c r="L234" s="5">
        <f>IF(COUNTA(A234:G234)&lt;7,"",COUNTIFS('原子事实记录'!$C$2:$C$2001,$D234,'原子事实记录'!$E$2:$E$2001,$A234,'原子事实记录'!$F$2:$F$2001,$B234,'原子事实记录'!$G$2:$G$2001,$C234,'原子事实记录'!$I$2:$I$2001,$E234,'原子事实记录'!$J$2:$J$2001,$F234,'原子事实记录'!$Q$2:$Q$2001,"是",'原子事实记录'!$R$2:$R$2001,"未知"))</f>
        <v/>
      </c>
      <c r="M234" s="3" t="n"/>
      <c r="N234" s="3" t="n"/>
      <c r="O234" s="5">
        <f>IF(OR(G234="",M234="",N234=""),"",M234+IF(G234="肯定主张正确率",H234,IF(G234="否定主张正确率",K234,IF(G234="灵敏度",H234,K234))))</f>
        <v/>
      </c>
      <c r="P234" s="5">
        <f>IF(OR(G234="",M234="",N234=""),"",N234+IF(G234="肯定主张正确率",I234,IF(G234="否定主张正确率",J234,IF(G234="灵敏度",J234,I234))))</f>
        <v/>
      </c>
      <c r="Q234" s="7">
        <f>IF(OR(O234="",P234=""),"",O234/(O234+P234))</f>
        <v/>
      </c>
      <c r="R234" s="7">
        <f>IF(Q234="","",BETA.INV(0.025,O234,P234))</f>
        <v/>
      </c>
      <c r="S234" s="7">
        <f>IF(Q234="","",BETA.INV(0.975,O234,P234))</f>
        <v/>
      </c>
      <c r="T234" s="5">
        <f>IF(OR(O234="",P234=""),"",O234+P234-M234-N234)</f>
        <v/>
      </c>
      <c r="U234" s="5">
        <f>IF(T234="","先填完整分组",IF(T234&lt;30,"样本太少：仅描述",IF(T234&lt;100,"只作试点候选","可进入独立验证")))</f>
        <v/>
      </c>
      <c r="V234" s="3" t="n"/>
      <c r="W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5">
        <f>IF(COUNTA(A235:G235)&lt;7,"",COUNTIFS('原子事实记录'!$C$2:$C$2001,$D235,'原子事实记录'!$E$2:$E$2001,$A235,'原子事实记录'!$F$2:$F$2001,$B235,'原子事实记录'!$G$2:$G$2001,$C235,'原子事实记录'!$I$2:$I$2001,$E235,'原子事实记录'!$J$2:$J$2001,$F235,'原子事实记录'!$Q$2:$Q$2001,"是",'原子事实记录'!$R$2:$R$2001,"TP"))</f>
        <v/>
      </c>
      <c r="I235" s="5">
        <f>IF(COUNTA(A235:G235)&lt;7,"",COUNTIFS('原子事实记录'!$C$2:$C$2001,$D235,'原子事实记录'!$E$2:$E$2001,$A235,'原子事实记录'!$F$2:$F$2001,$B235,'原子事实记录'!$G$2:$G$2001,$C235,'原子事实记录'!$I$2:$I$2001,$E235,'原子事实记录'!$J$2:$J$2001,$F235,'原子事实记录'!$Q$2:$Q$2001,"是",'原子事实记录'!$R$2:$R$2001,"FP"))</f>
        <v/>
      </c>
      <c r="J235" s="5">
        <f>IF(COUNTA(A235:G235)&lt;7,"",COUNTIFS('原子事实记录'!$C$2:$C$2001,$D235,'原子事实记录'!$E$2:$E$2001,$A235,'原子事实记录'!$F$2:$F$2001,$B235,'原子事实记录'!$G$2:$G$2001,$C235,'原子事实记录'!$I$2:$I$2001,$E235,'原子事实记录'!$J$2:$J$2001,$F235,'原子事实记录'!$Q$2:$Q$2001,"是",'原子事实记录'!$R$2:$R$2001,"FN"))</f>
        <v/>
      </c>
      <c r="K235" s="5">
        <f>IF(COUNTA(A235:G235)&lt;7,"",COUNTIFS('原子事实记录'!$C$2:$C$2001,$D235,'原子事实记录'!$E$2:$E$2001,$A235,'原子事实记录'!$F$2:$F$2001,$B235,'原子事实记录'!$G$2:$G$2001,$C235,'原子事实记录'!$I$2:$I$2001,$E235,'原子事实记录'!$J$2:$J$2001,$F235,'原子事实记录'!$Q$2:$Q$2001,"是",'原子事实记录'!$R$2:$R$2001,"TN"))</f>
        <v/>
      </c>
      <c r="L235" s="5">
        <f>IF(COUNTA(A235:G235)&lt;7,"",COUNTIFS('原子事实记录'!$C$2:$C$2001,$D235,'原子事实记录'!$E$2:$E$2001,$A235,'原子事实记录'!$F$2:$F$2001,$B235,'原子事实记录'!$G$2:$G$2001,$C235,'原子事实记录'!$I$2:$I$2001,$E235,'原子事实记录'!$J$2:$J$2001,$F235,'原子事实记录'!$Q$2:$Q$2001,"是",'原子事实记录'!$R$2:$R$2001,"未知"))</f>
        <v/>
      </c>
      <c r="M235" s="3" t="n"/>
      <c r="N235" s="3" t="n"/>
      <c r="O235" s="5">
        <f>IF(OR(G235="",M235="",N235=""),"",M235+IF(G235="肯定主张正确率",H235,IF(G235="否定主张正确率",K235,IF(G235="灵敏度",H235,K235))))</f>
        <v/>
      </c>
      <c r="P235" s="5">
        <f>IF(OR(G235="",M235="",N235=""),"",N235+IF(G235="肯定主张正确率",I235,IF(G235="否定主张正确率",J235,IF(G235="灵敏度",J235,I235))))</f>
        <v/>
      </c>
      <c r="Q235" s="7">
        <f>IF(OR(O235="",P235=""),"",O235/(O235+P235))</f>
        <v/>
      </c>
      <c r="R235" s="7">
        <f>IF(Q235="","",BETA.INV(0.025,O235,P235))</f>
        <v/>
      </c>
      <c r="S235" s="7">
        <f>IF(Q235="","",BETA.INV(0.975,O235,P235))</f>
        <v/>
      </c>
      <c r="T235" s="5">
        <f>IF(OR(O235="",P235=""),"",O235+P235-M235-N235)</f>
        <v/>
      </c>
      <c r="U235" s="5">
        <f>IF(T235="","先填完整分组",IF(T235&lt;30,"样本太少：仅描述",IF(T235&lt;100,"只作试点候选","可进入独立验证")))</f>
        <v/>
      </c>
      <c r="V235" s="3" t="n"/>
      <c r="W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5">
        <f>IF(COUNTA(A236:G236)&lt;7,"",COUNTIFS('原子事实记录'!$C$2:$C$2001,$D236,'原子事实记录'!$E$2:$E$2001,$A236,'原子事实记录'!$F$2:$F$2001,$B236,'原子事实记录'!$G$2:$G$2001,$C236,'原子事实记录'!$I$2:$I$2001,$E236,'原子事实记录'!$J$2:$J$2001,$F236,'原子事实记录'!$Q$2:$Q$2001,"是",'原子事实记录'!$R$2:$R$2001,"TP"))</f>
        <v/>
      </c>
      <c r="I236" s="5">
        <f>IF(COUNTA(A236:G236)&lt;7,"",COUNTIFS('原子事实记录'!$C$2:$C$2001,$D236,'原子事实记录'!$E$2:$E$2001,$A236,'原子事实记录'!$F$2:$F$2001,$B236,'原子事实记录'!$G$2:$G$2001,$C236,'原子事实记录'!$I$2:$I$2001,$E236,'原子事实记录'!$J$2:$J$2001,$F236,'原子事实记录'!$Q$2:$Q$2001,"是",'原子事实记录'!$R$2:$R$2001,"FP"))</f>
        <v/>
      </c>
      <c r="J236" s="5">
        <f>IF(COUNTA(A236:G236)&lt;7,"",COUNTIFS('原子事实记录'!$C$2:$C$2001,$D236,'原子事实记录'!$E$2:$E$2001,$A236,'原子事实记录'!$F$2:$F$2001,$B236,'原子事实记录'!$G$2:$G$2001,$C236,'原子事实记录'!$I$2:$I$2001,$E236,'原子事实记录'!$J$2:$J$2001,$F236,'原子事实记录'!$Q$2:$Q$2001,"是",'原子事实记录'!$R$2:$R$2001,"FN"))</f>
        <v/>
      </c>
      <c r="K236" s="5">
        <f>IF(COUNTA(A236:G236)&lt;7,"",COUNTIFS('原子事实记录'!$C$2:$C$2001,$D236,'原子事实记录'!$E$2:$E$2001,$A236,'原子事实记录'!$F$2:$F$2001,$B236,'原子事实记录'!$G$2:$G$2001,$C236,'原子事实记录'!$I$2:$I$2001,$E236,'原子事实记录'!$J$2:$J$2001,$F236,'原子事实记录'!$Q$2:$Q$2001,"是",'原子事实记录'!$R$2:$R$2001,"TN"))</f>
        <v/>
      </c>
      <c r="L236" s="5">
        <f>IF(COUNTA(A236:G236)&lt;7,"",COUNTIFS('原子事实记录'!$C$2:$C$2001,$D236,'原子事实记录'!$E$2:$E$2001,$A236,'原子事实记录'!$F$2:$F$2001,$B236,'原子事实记录'!$G$2:$G$2001,$C236,'原子事实记录'!$I$2:$I$2001,$E236,'原子事实记录'!$J$2:$J$2001,$F236,'原子事实记录'!$Q$2:$Q$2001,"是",'原子事实记录'!$R$2:$R$2001,"未知"))</f>
        <v/>
      </c>
      <c r="M236" s="3" t="n"/>
      <c r="N236" s="3" t="n"/>
      <c r="O236" s="5">
        <f>IF(OR(G236="",M236="",N236=""),"",M236+IF(G236="肯定主张正确率",H236,IF(G236="否定主张正确率",K236,IF(G236="灵敏度",H236,K236))))</f>
        <v/>
      </c>
      <c r="P236" s="5">
        <f>IF(OR(G236="",M236="",N236=""),"",N236+IF(G236="肯定主张正确率",I236,IF(G236="否定主张正确率",J236,IF(G236="灵敏度",J236,I236))))</f>
        <v/>
      </c>
      <c r="Q236" s="7">
        <f>IF(OR(O236="",P236=""),"",O236/(O236+P236))</f>
        <v/>
      </c>
      <c r="R236" s="7">
        <f>IF(Q236="","",BETA.INV(0.025,O236,P236))</f>
        <v/>
      </c>
      <c r="S236" s="7">
        <f>IF(Q236="","",BETA.INV(0.975,O236,P236))</f>
        <v/>
      </c>
      <c r="T236" s="5">
        <f>IF(OR(O236="",P236=""),"",O236+P236-M236-N236)</f>
        <v/>
      </c>
      <c r="U236" s="5">
        <f>IF(T236="","先填完整分组",IF(T236&lt;30,"样本太少：仅描述",IF(T236&lt;100,"只作试点候选","可进入独立验证")))</f>
        <v/>
      </c>
      <c r="V236" s="3" t="n"/>
      <c r="W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5">
        <f>IF(COUNTA(A237:G237)&lt;7,"",COUNTIFS('原子事实记录'!$C$2:$C$2001,$D237,'原子事实记录'!$E$2:$E$2001,$A237,'原子事实记录'!$F$2:$F$2001,$B237,'原子事实记录'!$G$2:$G$2001,$C237,'原子事实记录'!$I$2:$I$2001,$E237,'原子事实记录'!$J$2:$J$2001,$F237,'原子事实记录'!$Q$2:$Q$2001,"是",'原子事实记录'!$R$2:$R$2001,"TP"))</f>
        <v/>
      </c>
      <c r="I237" s="5">
        <f>IF(COUNTA(A237:G237)&lt;7,"",COUNTIFS('原子事实记录'!$C$2:$C$2001,$D237,'原子事实记录'!$E$2:$E$2001,$A237,'原子事实记录'!$F$2:$F$2001,$B237,'原子事实记录'!$G$2:$G$2001,$C237,'原子事实记录'!$I$2:$I$2001,$E237,'原子事实记录'!$J$2:$J$2001,$F237,'原子事实记录'!$Q$2:$Q$2001,"是",'原子事实记录'!$R$2:$R$2001,"FP"))</f>
        <v/>
      </c>
      <c r="J237" s="5">
        <f>IF(COUNTA(A237:G237)&lt;7,"",COUNTIFS('原子事实记录'!$C$2:$C$2001,$D237,'原子事实记录'!$E$2:$E$2001,$A237,'原子事实记录'!$F$2:$F$2001,$B237,'原子事实记录'!$G$2:$G$2001,$C237,'原子事实记录'!$I$2:$I$2001,$E237,'原子事实记录'!$J$2:$J$2001,$F237,'原子事实记录'!$Q$2:$Q$2001,"是",'原子事实记录'!$R$2:$R$2001,"FN"))</f>
        <v/>
      </c>
      <c r="K237" s="5">
        <f>IF(COUNTA(A237:G237)&lt;7,"",COUNTIFS('原子事实记录'!$C$2:$C$2001,$D237,'原子事实记录'!$E$2:$E$2001,$A237,'原子事实记录'!$F$2:$F$2001,$B237,'原子事实记录'!$G$2:$G$2001,$C237,'原子事实记录'!$I$2:$I$2001,$E237,'原子事实记录'!$J$2:$J$2001,$F237,'原子事实记录'!$Q$2:$Q$2001,"是",'原子事实记录'!$R$2:$R$2001,"TN"))</f>
        <v/>
      </c>
      <c r="L237" s="5">
        <f>IF(COUNTA(A237:G237)&lt;7,"",COUNTIFS('原子事实记录'!$C$2:$C$2001,$D237,'原子事实记录'!$E$2:$E$2001,$A237,'原子事实记录'!$F$2:$F$2001,$B237,'原子事实记录'!$G$2:$G$2001,$C237,'原子事实记录'!$I$2:$I$2001,$E237,'原子事实记录'!$J$2:$J$2001,$F237,'原子事实记录'!$Q$2:$Q$2001,"是",'原子事实记录'!$R$2:$R$2001,"未知"))</f>
        <v/>
      </c>
      <c r="M237" s="3" t="n"/>
      <c r="N237" s="3" t="n"/>
      <c r="O237" s="5">
        <f>IF(OR(G237="",M237="",N237=""),"",M237+IF(G237="肯定主张正确率",H237,IF(G237="否定主张正确率",K237,IF(G237="灵敏度",H237,K237))))</f>
        <v/>
      </c>
      <c r="P237" s="5">
        <f>IF(OR(G237="",M237="",N237=""),"",N237+IF(G237="肯定主张正确率",I237,IF(G237="否定主张正确率",J237,IF(G237="灵敏度",J237,I237))))</f>
        <v/>
      </c>
      <c r="Q237" s="7">
        <f>IF(OR(O237="",P237=""),"",O237/(O237+P237))</f>
        <v/>
      </c>
      <c r="R237" s="7">
        <f>IF(Q237="","",BETA.INV(0.025,O237,P237))</f>
        <v/>
      </c>
      <c r="S237" s="7">
        <f>IF(Q237="","",BETA.INV(0.975,O237,P237))</f>
        <v/>
      </c>
      <c r="T237" s="5">
        <f>IF(OR(O237="",P237=""),"",O237+P237-M237-N237)</f>
        <v/>
      </c>
      <c r="U237" s="5">
        <f>IF(T237="","先填完整分组",IF(T237&lt;30,"样本太少：仅描述",IF(T237&lt;100,"只作试点候选","可进入独立验证")))</f>
        <v/>
      </c>
      <c r="V237" s="3" t="n"/>
      <c r="W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5">
        <f>IF(COUNTA(A238:G238)&lt;7,"",COUNTIFS('原子事实记录'!$C$2:$C$2001,$D238,'原子事实记录'!$E$2:$E$2001,$A238,'原子事实记录'!$F$2:$F$2001,$B238,'原子事实记录'!$G$2:$G$2001,$C238,'原子事实记录'!$I$2:$I$2001,$E238,'原子事实记录'!$J$2:$J$2001,$F238,'原子事实记录'!$Q$2:$Q$2001,"是",'原子事实记录'!$R$2:$R$2001,"TP"))</f>
        <v/>
      </c>
      <c r="I238" s="5">
        <f>IF(COUNTA(A238:G238)&lt;7,"",COUNTIFS('原子事实记录'!$C$2:$C$2001,$D238,'原子事实记录'!$E$2:$E$2001,$A238,'原子事实记录'!$F$2:$F$2001,$B238,'原子事实记录'!$G$2:$G$2001,$C238,'原子事实记录'!$I$2:$I$2001,$E238,'原子事实记录'!$J$2:$J$2001,$F238,'原子事实记录'!$Q$2:$Q$2001,"是",'原子事实记录'!$R$2:$R$2001,"FP"))</f>
        <v/>
      </c>
      <c r="J238" s="5">
        <f>IF(COUNTA(A238:G238)&lt;7,"",COUNTIFS('原子事实记录'!$C$2:$C$2001,$D238,'原子事实记录'!$E$2:$E$2001,$A238,'原子事实记录'!$F$2:$F$2001,$B238,'原子事实记录'!$G$2:$G$2001,$C238,'原子事实记录'!$I$2:$I$2001,$E238,'原子事实记录'!$J$2:$J$2001,$F238,'原子事实记录'!$Q$2:$Q$2001,"是",'原子事实记录'!$R$2:$R$2001,"FN"))</f>
        <v/>
      </c>
      <c r="K238" s="5">
        <f>IF(COUNTA(A238:G238)&lt;7,"",COUNTIFS('原子事实记录'!$C$2:$C$2001,$D238,'原子事实记录'!$E$2:$E$2001,$A238,'原子事实记录'!$F$2:$F$2001,$B238,'原子事实记录'!$G$2:$G$2001,$C238,'原子事实记录'!$I$2:$I$2001,$E238,'原子事实记录'!$J$2:$J$2001,$F238,'原子事实记录'!$Q$2:$Q$2001,"是",'原子事实记录'!$R$2:$R$2001,"TN"))</f>
        <v/>
      </c>
      <c r="L238" s="5">
        <f>IF(COUNTA(A238:G238)&lt;7,"",COUNTIFS('原子事实记录'!$C$2:$C$2001,$D238,'原子事实记录'!$E$2:$E$2001,$A238,'原子事实记录'!$F$2:$F$2001,$B238,'原子事实记录'!$G$2:$G$2001,$C238,'原子事实记录'!$I$2:$I$2001,$E238,'原子事实记录'!$J$2:$J$2001,$F238,'原子事实记录'!$Q$2:$Q$2001,"是",'原子事实记录'!$R$2:$R$2001,"未知"))</f>
        <v/>
      </c>
      <c r="M238" s="3" t="n"/>
      <c r="N238" s="3" t="n"/>
      <c r="O238" s="5">
        <f>IF(OR(G238="",M238="",N238=""),"",M238+IF(G238="肯定主张正确率",H238,IF(G238="否定主张正确率",K238,IF(G238="灵敏度",H238,K238))))</f>
        <v/>
      </c>
      <c r="P238" s="5">
        <f>IF(OR(G238="",M238="",N238=""),"",N238+IF(G238="肯定主张正确率",I238,IF(G238="否定主张正确率",J238,IF(G238="灵敏度",J238,I238))))</f>
        <v/>
      </c>
      <c r="Q238" s="7">
        <f>IF(OR(O238="",P238=""),"",O238/(O238+P238))</f>
        <v/>
      </c>
      <c r="R238" s="7">
        <f>IF(Q238="","",BETA.INV(0.025,O238,P238))</f>
        <v/>
      </c>
      <c r="S238" s="7">
        <f>IF(Q238="","",BETA.INV(0.975,O238,P238))</f>
        <v/>
      </c>
      <c r="T238" s="5">
        <f>IF(OR(O238="",P238=""),"",O238+P238-M238-N238)</f>
        <v/>
      </c>
      <c r="U238" s="5">
        <f>IF(T238="","先填完整分组",IF(T238&lt;30,"样本太少：仅描述",IF(T238&lt;100,"只作试点候选","可进入独立验证")))</f>
        <v/>
      </c>
      <c r="V238" s="3" t="n"/>
      <c r="W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5">
        <f>IF(COUNTA(A239:G239)&lt;7,"",COUNTIFS('原子事实记录'!$C$2:$C$2001,$D239,'原子事实记录'!$E$2:$E$2001,$A239,'原子事实记录'!$F$2:$F$2001,$B239,'原子事实记录'!$G$2:$G$2001,$C239,'原子事实记录'!$I$2:$I$2001,$E239,'原子事实记录'!$J$2:$J$2001,$F239,'原子事实记录'!$Q$2:$Q$2001,"是",'原子事实记录'!$R$2:$R$2001,"TP"))</f>
        <v/>
      </c>
      <c r="I239" s="5">
        <f>IF(COUNTA(A239:G239)&lt;7,"",COUNTIFS('原子事实记录'!$C$2:$C$2001,$D239,'原子事实记录'!$E$2:$E$2001,$A239,'原子事实记录'!$F$2:$F$2001,$B239,'原子事实记录'!$G$2:$G$2001,$C239,'原子事实记录'!$I$2:$I$2001,$E239,'原子事实记录'!$J$2:$J$2001,$F239,'原子事实记录'!$Q$2:$Q$2001,"是",'原子事实记录'!$R$2:$R$2001,"FP"))</f>
        <v/>
      </c>
      <c r="J239" s="5">
        <f>IF(COUNTA(A239:G239)&lt;7,"",COUNTIFS('原子事实记录'!$C$2:$C$2001,$D239,'原子事实记录'!$E$2:$E$2001,$A239,'原子事实记录'!$F$2:$F$2001,$B239,'原子事实记录'!$G$2:$G$2001,$C239,'原子事实记录'!$I$2:$I$2001,$E239,'原子事实记录'!$J$2:$J$2001,$F239,'原子事实记录'!$Q$2:$Q$2001,"是",'原子事实记录'!$R$2:$R$2001,"FN"))</f>
        <v/>
      </c>
      <c r="K239" s="5">
        <f>IF(COUNTA(A239:G239)&lt;7,"",COUNTIFS('原子事实记录'!$C$2:$C$2001,$D239,'原子事实记录'!$E$2:$E$2001,$A239,'原子事实记录'!$F$2:$F$2001,$B239,'原子事实记录'!$G$2:$G$2001,$C239,'原子事实记录'!$I$2:$I$2001,$E239,'原子事实记录'!$J$2:$J$2001,$F239,'原子事实记录'!$Q$2:$Q$2001,"是",'原子事实记录'!$R$2:$R$2001,"TN"))</f>
        <v/>
      </c>
      <c r="L239" s="5">
        <f>IF(COUNTA(A239:G239)&lt;7,"",COUNTIFS('原子事实记录'!$C$2:$C$2001,$D239,'原子事实记录'!$E$2:$E$2001,$A239,'原子事实记录'!$F$2:$F$2001,$B239,'原子事实记录'!$G$2:$G$2001,$C239,'原子事实记录'!$I$2:$I$2001,$E239,'原子事实记录'!$J$2:$J$2001,$F239,'原子事实记录'!$Q$2:$Q$2001,"是",'原子事实记录'!$R$2:$R$2001,"未知"))</f>
        <v/>
      </c>
      <c r="M239" s="3" t="n"/>
      <c r="N239" s="3" t="n"/>
      <c r="O239" s="5">
        <f>IF(OR(G239="",M239="",N239=""),"",M239+IF(G239="肯定主张正确率",H239,IF(G239="否定主张正确率",K239,IF(G239="灵敏度",H239,K239))))</f>
        <v/>
      </c>
      <c r="P239" s="5">
        <f>IF(OR(G239="",M239="",N239=""),"",N239+IF(G239="肯定主张正确率",I239,IF(G239="否定主张正确率",J239,IF(G239="灵敏度",J239,I239))))</f>
        <v/>
      </c>
      <c r="Q239" s="7">
        <f>IF(OR(O239="",P239=""),"",O239/(O239+P239))</f>
        <v/>
      </c>
      <c r="R239" s="7">
        <f>IF(Q239="","",BETA.INV(0.025,O239,P239))</f>
        <v/>
      </c>
      <c r="S239" s="7">
        <f>IF(Q239="","",BETA.INV(0.975,O239,P239))</f>
        <v/>
      </c>
      <c r="T239" s="5">
        <f>IF(OR(O239="",P239=""),"",O239+P239-M239-N239)</f>
        <v/>
      </c>
      <c r="U239" s="5">
        <f>IF(T239="","先填完整分组",IF(T239&lt;30,"样本太少：仅描述",IF(T239&lt;100,"只作试点候选","可进入独立验证")))</f>
        <v/>
      </c>
      <c r="V239" s="3" t="n"/>
      <c r="W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5">
        <f>IF(COUNTA(A240:G240)&lt;7,"",COUNTIFS('原子事实记录'!$C$2:$C$2001,$D240,'原子事实记录'!$E$2:$E$2001,$A240,'原子事实记录'!$F$2:$F$2001,$B240,'原子事实记录'!$G$2:$G$2001,$C240,'原子事实记录'!$I$2:$I$2001,$E240,'原子事实记录'!$J$2:$J$2001,$F240,'原子事实记录'!$Q$2:$Q$2001,"是",'原子事实记录'!$R$2:$R$2001,"TP"))</f>
        <v/>
      </c>
      <c r="I240" s="5">
        <f>IF(COUNTA(A240:G240)&lt;7,"",COUNTIFS('原子事实记录'!$C$2:$C$2001,$D240,'原子事实记录'!$E$2:$E$2001,$A240,'原子事实记录'!$F$2:$F$2001,$B240,'原子事实记录'!$G$2:$G$2001,$C240,'原子事实记录'!$I$2:$I$2001,$E240,'原子事实记录'!$J$2:$J$2001,$F240,'原子事实记录'!$Q$2:$Q$2001,"是",'原子事实记录'!$R$2:$R$2001,"FP"))</f>
        <v/>
      </c>
      <c r="J240" s="5">
        <f>IF(COUNTA(A240:G240)&lt;7,"",COUNTIFS('原子事实记录'!$C$2:$C$2001,$D240,'原子事实记录'!$E$2:$E$2001,$A240,'原子事实记录'!$F$2:$F$2001,$B240,'原子事实记录'!$G$2:$G$2001,$C240,'原子事实记录'!$I$2:$I$2001,$E240,'原子事实记录'!$J$2:$J$2001,$F240,'原子事实记录'!$Q$2:$Q$2001,"是",'原子事实记录'!$R$2:$R$2001,"FN"))</f>
        <v/>
      </c>
      <c r="K240" s="5">
        <f>IF(COUNTA(A240:G240)&lt;7,"",COUNTIFS('原子事实记录'!$C$2:$C$2001,$D240,'原子事实记录'!$E$2:$E$2001,$A240,'原子事实记录'!$F$2:$F$2001,$B240,'原子事实记录'!$G$2:$G$2001,$C240,'原子事实记录'!$I$2:$I$2001,$E240,'原子事实记录'!$J$2:$J$2001,$F240,'原子事实记录'!$Q$2:$Q$2001,"是",'原子事实记录'!$R$2:$R$2001,"TN"))</f>
        <v/>
      </c>
      <c r="L240" s="5">
        <f>IF(COUNTA(A240:G240)&lt;7,"",COUNTIFS('原子事实记录'!$C$2:$C$2001,$D240,'原子事实记录'!$E$2:$E$2001,$A240,'原子事实记录'!$F$2:$F$2001,$B240,'原子事实记录'!$G$2:$G$2001,$C240,'原子事实记录'!$I$2:$I$2001,$E240,'原子事实记录'!$J$2:$J$2001,$F240,'原子事实记录'!$Q$2:$Q$2001,"是",'原子事实记录'!$R$2:$R$2001,"未知"))</f>
        <v/>
      </c>
      <c r="M240" s="3" t="n"/>
      <c r="N240" s="3" t="n"/>
      <c r="O240" s="5">
        <f>IF(OR(G240="",M240="",N240=""),"",M240+IF(G240="肯定主张正确率",H240,IF(G240="否定主张正确率",K240,IF(G240="灵敏度",H240,K240))))</f>
        <v/>
      </c>
      <c r="P240" s="5">
        <f>IF(OR(G240="",M240="",N240=""),"",N240+IF(G240="肯定主张正确率",I240,IF(G240="否定主张正确率",J240,IF(G240="灵敏度",J240,I240))))</f>
        <v/>
      </c>
      <c r="Q240" s="7">
        <f>IF(OR(O240="",P240=""),"",O240/(O240+P240))</f>
        <v/>
      </c>
      <c r="R240" s="7">
        <f>IF(Q240="","",BETA.INV(0.025,O240,P240))</f>
        <v/>
      </c>
      <c r="S240" s="7">
        <f>IF(Q240="","",BETA.INV(0.975,O240,P240))</f>
        <v/>
      </c>
      <c r="T240" s="5">
        <f>IF(OR(O240="",P240=""),"",O240+P240-M240-N240)</f>
        <v/>
      </c>
      <c r="U240" s="5">
        <f>IF(T240="","先填完整分组",IF(T240&lt;30,"样本太少：仅描述",IF(T240&lt;100,"只作试点候选","可进入独立验证")))</f>
        <v/>
      </c>
      <c r="V240" s="3" t="n"/>
      <c r="W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5">
        <f>IF(COUNTA(A241:G241)&lt;7,"",COUNTIFS('原子事实记录'!$C$2:$C$2001,$D241,'原子事实记录'!$E$2:$E$2001,$A241,'原子事实记录'!$F$2:$F$2001,$B241,'原子事实记录'!$G$2:$G$2001,$C241,'原子事实记录'!$I$2:$I$2001,$E241,'原子事实记录'!$J$2:$J$2001,$F241,'原子事实记录'!$Q$2:$Q$2001,"是",'原子事实记录'!$R$2:$R$2001,"TP"))</f>
        <v/>
      </c>
      <c r="I241" s="5">
        <f>IF(COUNTA(A241:G241)&lt;7,"",COUNTIFS('原子事实记录'!$C$2:$C$2001,$D241,'原子事实记录'!$E$2:$E$2001,$A241,'原子事实记录'!$F$2:$F$2001,$B241,'原子事实记录'!$G$2:$G$2001,$C241,'原子事实记录'!$I$2:$I$2001,$E241,'原子事实记录'!$J$2:$J$2001,$F241,'原子事实记录'!$Q$2:$Q$2001,"是",'原子事实记录'!$R$2:$R$2001,"FP"))</f>
        <v/>
      </c>
      <c r="J241" s="5">
        <f>IF(COUNTA(A241:G241)&lt;7,"",COUNTIFS('原子事实记录'!$C$2:$C$2001,$D241,'原子事实记录'!$E$2:$E$2001,$A241,'原子事实记录'!$F$2:$F$2001,$B241,'原子事实记录'!$G$2:$G$2001,$C241,'原子事实记录'!$I$2:$I$2001,$E241,'原子事实记录'!$J$2:$J$2001,$F241,'原子事实记录'!$Q$2:$Q$2001,"是",'原子事实记录'!$R$2:$R$2001,"FN"))</f>
        <v/>
      </c>
      <c r="K241" s="5">
        <f>IF(COUNTA(A241:G241)&lt;7,"",COUNTIFS('原子事实记录'!$C$2:$C$2001,$D241,'原子事实记录'!$E$2:$E$2001,$A241,'原子事实记录'!$F$2:$F$2001,$B241,'原子事实记录'!$G$2:$G$2001,$C241,'原子事实记录'!$I$2:$I$2001,$E241,'原子事实记录'!$J$2:$J$2001,$F241,'原子事实记录'!$Q$2:$Q$2001,"是",'原子事实记录'!$R$2:$R$2001,"TN"))</f>
        <v/>
      </c>
      <c r="L241" s="5">
        <f>IF(COUNTA(A241:G241)&lt;7,"",COUNTIFS('原子事实记录'!$C$2:$C$2001,$D241,'原子事实记录'!$E$2:$E$2001,$A241,'原子事实记录'!$F$2:$F$2001,$B241,'原子事实记录'!$G$2:$G$2001,$C241,'原子事实记录'!$I$2:$I$2001,$E241,'原子事实记录'!$J$2:$J$2001,$F241,'原子事实记录'!$Q$2:$Q$2001,"是",'原子事实记录'!$R$2:$R$2001,"未知"))</f>
        <v/>
      </c>
      <c r="M241" s="3" t="n"/>
      <c r="N241" s="3" t="n"/>
      <c r="O241" s="5">
        <f>IF(OR(G241="",M241="",N241=""),"",M241+IF(G241="肯定主张正确率",H241,IF(G241="否定主张正确率",K241,IF(G241="灵敏度",H241,K241))))</f>
        <v/>
      </c>
      <c r="P241" s="5">
        <f>IF(OR(G241="",M241="",N241=""),"",N241+IF(G241="肯定主张正确率",I241,IF(G241="否定主张正确率",J241,IF(G241="灵敏度",J241,I241))))</f>
        <v/>
      </c>
      <c r="Q241" s="7">
        <f>IF(OR(O241="",P241=""),"",O241/(O241+P241))</f>
        <v/>
      </c>
      <c r="R241" s="7">
        <f>IF(Q241="","",BETA.INV(0.025,O241,P241))</f>
        <v/>
      </c>
      <c r="S241" s="7">
        <f>IF(Q241="","",BETA.INV(0.975,O241,P241))</f>
        <v/>
      </c>
      <c r="T241" s="5">
        <f>IF(OR(O241="",P241=""),"",O241+P241-M241-N241)</f>
        <v/>
      </c>
      <c r="U241" s="5">
        <f>IF(T241="","先填完整分组",IF(T241&lt;30,"样本太少：仅描述",IF(T241&lt;100,"只作试点候选","可进入独立验证")))</f>
        <v/>
      </c>
      <c r="V241" s="3" t="n"/>
      <c r="W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5">
        <f>IF(COUNTA(A242:G242)&lt;7,"",COUNTIFS('原子事实记录'!$C$2:$C$2001,$D242,'原子事实记录'!$E$2:$E$2001,$A242,'原子事实记录'!$F$2:$F$2001,$B242,'原子事实记录'!$G$2:$G$2001,$C242,'原子事实记录'!$I$2:$I$2001,$E242,'原子事实记录'!$J$2:$J$2001,$F242,'原子事实记录'!$Q$2:$Q$2001,"是",'原子事实记录'!$R$2:$R$2001,"TP"))</f>
        <v/>
      </c>
      <c r="I242" s="5">
        <f>IF(COUNTA(A242:G242)&lt;7,"",COUNTIFS('原子事实记录'!$C$2:$C$2001,$D242,'原子事实记录'!$E$2:$E$2001,$A242,'原子事实记录'!$F$2:$F$2001,$B242,'原子事实记录'!$G$2:$G$2001,$C242,'原子事实记录'!$I$2:$I$2001,$E242,'原子事实记录'!$J$2:$J$2001,$F242,'原子事实记录'!$Q$2:$Q$2001,"是",'原子事实记录'!$R$2:$R$2001,"FP"))</f>
        <v/>
      </c>
      <c r="J242" s="5">
        <f>IF(COUNTA(A242:G242)&lt;7,"",COUNTIFS('原子事实记录'!$C$2:$C$2001,$D242,'原子事实记录'!$E$2:$E$2001,$A242,'原子事实记录'!$F$2:$F$2001,$B242,'原子事实记录'!$G$2:$G$2001,$C242,'原子事实记录'!$I$2:$I$2001,$E242,'原子事实记录'!$J$2:$J$2001,$F242,'原子事实记录'!$Q$2:$Q$2001,"是",'原子事实记录'!$R$2:$R$2001,"FN"))</f>
        <v/>
      </c>
      <c r="K242" s="5">
        <f>IF(COUNTA(A242:G242)&lt;7,"",COUNTIFS('原子事实记录'!$C$2:$C$2001,$D242,'原子事实记录'!$E$2:$E$2001,$A242,'原子事实记录'!$F$2:$F$2001,$B242,'原子事实记录'!$G$2:$G$2001,$C242,'原子事实记录'!$I$2:$I$2001,$E242,'原子事实记录'!$J$2:$J$2001,$F242,'原子事实记录'!$Q$2:$Q$2001,"是",'原子事实记录'!$R$2:$R$2001,"TN"))</f>
        <v/>
      </c>
      <c r="L242" s="5">
        <f>IF(COUNTA(A242:G242)&lt;7,"",COUNTIFS('原子事实记录'!$C$2:$C$2001,$D242,'原子事实记录'!$E$2:$E$2001,$A242,'原子事实记录'!$F$2:$F$2001,$B242,'原子事实记录'!$G$2:$G$2001,$C242,'原子事实记录'!$I$2:$I$2001,$E242,'原子事实记录'!$J$2:$J$2001,$F242,'原子事实记录'!$Q$2:$Q$2001,"是",'原子事实记录'!$R$2:$R$2001,"未知"))</f>
        <v/>
      </c>
      <c r="M242" s="3" t="n"/>
      <c r="N242" s="3" t="n"/>
      <c r="O242" s="5">
        <f>IF(OR(G242="",M242="",N242=""),"",M242+IF(G242="肯定主张正确率",H242,IF(G242="否定主张正确率",K242,IF(G242="灵敏度",H242,K242))))</f>
        <v/>
      </c>
      <c r="P242" s="5">
        <f>IF(OR(G242="",M242="",N242=""),"",N242+IF(G242="肯定主张正确率",I242,IF(G242="否定主张正确率",J242,IF(G242="灵敏度",J242,I242))))</f>
        <v/>
      </c>
      <c r="Q242" s="7">
        <f>IF(OR(O242="",P242=""),"",O242/(O242+P242))</f>
        <v/>
      </c>
      <c r="R242" s="7">
        <f>IF(Q242="","",BETA.INV(0.025,O242,P242))</f>
        <v/>
      </c>
      <c r="S242" s="7">
        <f>IF(Q242="","",BETA.INV(0.975,O242,P242))</f>
        <v/>
      </c>
      <c r="T242" s="5">
        <f>IF(OR(O242="",P242=""),"",O242+P242-M242-N242)</f>
        <v/>
      </c>
      <c r="U242" s="5">
        <f>IF(T242="","先填完整分组",IF(T242&lt;30,"样本太少：仅描述",IF(T242&lt;100,"只作试点候选","可进入独立验证")))</f>
        <v/>
      </c>
      <c r="V242" s="3" t="n"/>
      <c r="W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5">
        <f>IF(COUNTA(A243:G243)&lt;7,"",COUNTIFS('原子事实记录'!$C$2:$C$2001,$D243,'原子事实记录'!$E$2:$E$2001,$A243,'原子事实记录'!$F$2:$F$2001,$B243,'原子事实记录'!$G$2:$G$2001,$C243,'原子事实记录'!$I$2:$I$2001,$E243,'原子事实记录'!$J$2:$J$2001,$F243,'原子事实记录'!$Q$2:$Q$2001,"是",'原子事实记录'!$R$2:$R$2001,"TP"))</f>
        <v/>
      </c>
      <c r="I243" s="5">
        <f>IF(COUNTA(A243:G243)&lt;7,"",COUNTIFS('原子事实记录'!$C$2:$C$2001,$D243,'原子事实记录'!$E$2:$E$2001,$A243,'原子事实记录'!$F$2:$F$2001,$B243,'原子事实记录'!$G$2:$G$2001,$C243,'原子事实记录'!$I$2:$I$2001,$E243,'原子事实记录'!$J$2:$J$2001,$F243,'原子事实记录'!$Q$2:$Q$2001,"是",'原子事实记录'!$R$2:$R$2001,"FP"))</f>
        <v/>
      </c>
      <c r="J243" s="5">
        <f>IF(COUNTA(A243:G243)&lt;7,"",COUNTIFS('原子事实记录'!$C$2:$C$2001,$D243,'原子事实记录'!$E$2:$E$2001,$A243,'原子事实记录'!$F$2:$F$2001,$B243,'原子事实记录'!$G$2:$G$2001,$C243,'原子事实记录'!$I$2:$I$2001,$E243,'原子事实记录'!$J$2:$J$2001,$F243,'原子事实记录'!$Q$2:$Q$2001,"是",'原子事实记录'!$R$2:$R$2001,"FN"))</f>
        <v/>
      </c>
      <c r="K243" s="5">
        <f>IF(COUNTA(A243:G243)&lt;7,"",COUNTIFS('原子事实记录'!$C$2:$C$2001,$D243,'原子事实记录'!$E$2:$E$2001,$A243,'原子事实记录'!$F$2:$F$2001,$B243,'原子事实记录'!$G$2:$G$2001,$C243,'原子事实记录'!$I$2:$I$2001,$E243,'原子事实记录'!$J$2:$J$2001,$F243,'原子事实记录'!$Q$2:$Q$2001,"是",'原子事实记录'!$R$2:$R$2001,"TN"))</f>
        <v/>
      </c>
      <c r="L243" s="5">
        <f>IF(COUNTA(A243:G243)&lt;7,"",COUNTIFS('原子事实记录'!$C$2:$C$2001,$D243,'原子事实记录'!$E$2:$E$2001,$A243,'原子事实记录'!$F$2:$F$2001,$B243,'原子事实记录'!$G$2:$G$2001,$C243,'原子事实记录'!$I$2:$I$2001,$E243,'原子事实记录'!$J$2:$J$2001,$F243,'原子事实记录'!$Q$2:$Q$2001,"是",'原子事实记录'!$R$2:$R$2001,"未知"))</f>
        <v/>
      </c>
      <c r="M243" s="3" t="n"/>
      <c r="N243" s="3" t="n"/>
      <c r="O243" s="5">
        <f>IF(OR(G243="",M243="",N243=""),"",M243+IF(G243="肯定主张正确率",H243,IF(G243="否定主张正确率",K243,IF(G243="灵敏度",H243,K243))))</f>
        <v/>
      </c>
      <c r="P243" s="5">
        <f>IF(OR(G243="",M243="",N243=""),"",N243+IF(G243="肯定主张正确率",I243,IF(G243="否定主张正确率",J243,IF(G243="灵敏度",J243,I243))))</f>
        <v/>
      </c>
      <c r="Q243" s="7">
        <f>IF(OR(O243="",P243=""),"",O243/(O243+P243))</f>
        <v/>
      </c>
      <c r="R243" s="7">
        <f>IF(Q243="","",BETA.INV(0.025,O243,P243))</f>
        <v/>
      </c>
      <c r="S243" s="7">
        <f>IF(Q243="","",BETA.INV(0.975,O243,P243))</f>
        <v/>
      </c>
      <c r="T243" s="5">
        <f>IF(OR(O243="",P243=""),"",O243+P243-M243-N243)</f>
        <v/>
      </c>
      <c r="U243" s="5">
        <f>IF(T243="","先填完整分组",IF(T243&lt;30,"样本太少：仅描述",IF(T243&lt;100,"只作试点候选","可进入独立验证")))</f>
        <v/>
      </c>
      <c r="V243" s="3" t="n"/>
      <c r="W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5">
        <f>IF(COUNTA(A244:G244)&lt;7,"",COUNTIFS('原子事实记录'!$C$2:$C$2001,$D244,'原子事实记录'!$E$2:$E$2001,$A244,'原子事实记录'!$F$2:$F$2001,$B244,'原子事实记录'!$G$2:$G$2001,$C244,'原子事实记录'!$I$2:$I$2001,$E244,'原子事实记录'!$J$2:$J$2001,$F244,'原子事实记录'!$Q$2:$Q$2001,"是",'原子事实记录'!$R$2:$R$2001,"TP"))</f>
        <v/>
      </c>
      <c r="I244" s="5">
        <f>IF(COUNTA(A244:G244)&lt;7,"",COUNTIFS('原子事实记录'!$C$2:$C$2001,$D244,'原子事实记录'!$E$2:$E$2001,$A244,'原子事实记录'!$F$2:$F$2001,$B244,'原子事实记录'!$G$2:$G$2001,$C244,'原子事实记录'!$I$2:$I$2001,$E244,'原子事实记录'!$J$2:$J$2001,$F244,'原子事实记录'!$Q$2:$Q$2001,"是",'原子事实记录'!$R$2:$R$2001,"FP"))</f>
        <v/>
      </c>
      <c r="J244" s="5">
        <f>IF(COUNTA(A244:G244)&lt;7,"",COUNTIFS('原子事实记录'!$C$2:$C$2001,$D244,'原子事实记录'!$E$2:$E$2001,$A244,'原子事实记录'!$F$2:$F$2001,$B244,'原子事实记录'!$G$2:$G$2001,$C244,'原子事实记录'!$I$2:$I$2001,$E244,'原子事实记录'!$J$2:$J$2001,$F244,'原子事实记录'!$Q$2:$Q$2001,"是",'原子事实记录'!$R$2:$R$2001,"FN"))</f>
        <v/>
      </c>
      <c r="K244" s="5">
        <f>IF(COUNTA(A244:G244)&lt;7,"",COUNTIFS('原子事实记录'!$C$2:$C$2001,$D244,'原子事实记录'!$E$2:$E$2001,$A244,'原子事实记录'!$F$2:$F$2001,$B244,'原子事实记录'!$G$2:$G$2001,$C244,'原子事实记录'!$I$2:$I$2001,$E244,'原子事实记录'!$J$2:$J$2001,$F244,'原子事实记录'!$Q$2:$Q$2001,"是",'原子事实记录'!$R$2:$R$2001,"TN"))</f>
        <v/>
      </c>
      <c r="L244" s="5">
        <f>IF(COUNTA(A244:G244)&lt;7,"",COUNTIFS('原子事实记录'!$C$2:$C$2001,$D244,'原子事实记录'!$E$2:$E$2001,$A244,'原子事实记录'!$F$2:$F$2001,$B244,'原子事实记录'!$G$2:$G$2001,$C244,'原子事实记录'!$I$2:$I$2001,$E244,'原子事实记录'!$J$2:$J$2001,$F244,'原子事实记录'!$Q$2:$Q$2001,"是",'原子事实记录'!$R$2:$R$2001,"未知"))</f>
        <v/>
      </c>
      <c r="M244" s="3" t="n"/>
      <c r="N244" s="3" t="n"/>
      <c r="O244" s="5">
        <f>IF(OR(G244="",M244="",N244=""),"",M244+IF(G244="肯定主张正确率",H244,IF(G244="否定主张正确率",K244,IF(G244="灵敏度",H244,K244))))</f>
        <v/>
      </c>
      <c r="P244" s="5">
        <f>IF(OR(G244="",M244="",N244=""),"",N244+IF(G244="肯定主张正确率",I244,IF(G244="否定主张正确率",J244,IF(G244="灵敏度",J244,I244))))</f>
        <v/>
      </c>
      <c r="Q244" s="7">
        <f>IF(OR(O244="",P244=""),"",O244/(O244+P244))</f>
        <v/>
      </c>
      <c r="R244" s="7">
        <f>IF(Q244="","",BETA.INV(0.025,O244,P244))</f>
        <v/>
      </c>
      <c r="S244" s="7">
        <f>IF(Q244="","",BETA.INV(0.975,O244,P244))</f>
        <v/>
      </c>
      <c r="T244" s="5">
        <f>IF(OR(O244="",P244=""),"",O244+P244-M244-N244)</f>
        <v/>
      </c>
      <c r="U244" s="5">
        <f>IF(T244="","先填完整分组",IF(T244&lt;30,"样本太少：仅描述",IF(T244&lt;100,"只作试点候选","可进入独立验证")))</f>
        <v/>
      </c>
      <c r="V244" s="3" t="n"/>
      <c r="W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5">
        <f>IF(COUNTA(A245:G245)&lt;7,"",COUNTIFS('原子事实记录'!$C$2:$C$2001,$D245,'原子事实记录'!$E$2:$E$2001,$A245,'原子事实记录'!$F$2:$F$2001,$B245,'原子事实记录'!$G$2:$G$2001,$C245,'原子事实记录'!$I$2:$I$2001,$E245,'原子事实记录'!$J$2:$J$2001,$F245,'原子事实记录'!$Q$2:$Q$2001,"是",'原子事实记录'!$R$2:$R$2001,"TP"))</f>
        <v/>
      </c>
      <c r="I245" s="5">
        <f>IF(COUNTA(A245:G245)&lt;7,"",COUNTIFS('原子事实记录'!$C$2:$C$2001,$D245,'原子事实记录'!$E$2:$E$2001,$A245,'原子事实记录'!$F$2:$F$2001,$B245,'原子事实记录'!$G$2:$G$2001,$C245,'原子事实记录'!$I$2:$I$2001,$E245,'原子事实记录'!$J$2:$J$2001,$F245,'原子事实记录'!$Q$2:$Q$2001,"是",'原子事实记录'!$R$2:$R$2001,"FP"))</f>
        <v/>
      </c>
      <c r="J245" s="5">
        <f>IF(COUNTA(A245:G245)&lt;7,"",COUNTIFS('原子事实记录'!$C$2:$C$2001,$D245,'原子事实记录'!$E$2:$E$2001,$A245,'原子事实记录'!$F$2:$F$2001,$B245,'原子事实记录'!$G$2:$G$2001,$C245,'原子事实记录'!$I$2:$I$2001,$E245,'原子事实记录'!$J$2:$J$2001,$F245,'原子事实记录'!$Q$2:$Q$2001,"是",'原子事实记录'!$R$2:$R$2001,"FN"))</f>
        <v/>
      </c>
      <c r="K245" s="5">
        <f>IF(COUNTA(A245:G245)&lt;7,"",COUNTIFS('原子事实记录'!$C$2:$C$2001,$D245,'原子事实记录'!$E$2:$E$2001,$A245,'原子事实记录'!$F$2:$F$2001,$B245,'原子事实记录'!$G$2:$G$2001,$C245,'原子事实记录'!$I$2:$I$2001,$E245,'原子事实记录'!$J$2:$J$2001,$F245,'原子事实记录'!$Q$2:$Q$2001,"是",'原子事实记录'!$R$2:$R$2001,"TN"))</f>
        <v/>
      </c>
      <c r="L245" s="5">
        <f>IF(COUNTA(A245:G245)&lt;7,"",COUNTIFS('原子事实记录'!$C$2:$C$2001,$D245,'原子事实记录'!$E$2:$E$2001,$A245,'原子事实记录'!$F$2:$F$2001,$B245,'原子事实记录'!$G$2:$G$2001,$C245,'原子事实记录'!$I$2:$I$2001,$E245,'原子事实记录'!$J$2:$J$2001,$F245,'原子事实记录'!$Q$2:$Q$2001,"是",'原子事实记录'!$R$2:$R$2001,"未知"))</f>
        <v/>
      </c>
      <c r="M245" s="3" t="n"/>
      <c r="N245" s="3" t="n"/>
      <c r="O245" s="5">
        <f>IF(OR(G245="",M245="",N245=""),"",M245+IF(G245="肯定主张正确率",H245,IF(G245="否定主张正确率",K245,IF(G245="灵敏度",H245,K245))))</f>
        <v/>
      </c>
      <c r="P245" s="5">
        <f>IF(OR(G245="",M245="",N245=""),"",N245+IF(G245="肯定主张正确率",I245,IF(G245="否定主张正确率",J245,IF(G245="灵敏度",J245,I245))))</f>
        <v/>
      </c>
      <c r="Q245" s="7">
        <f>IF(OR(O245="",P245=""),"",O245/(O245+P245))</f>
        <v/>
      </c>
      <c r="R245" s="7">
        <f>IF(Q245="","",BETA.INV(0.025,O245,P245))</f>
        <v/>
      </c>
      <c r="S245" s="7">
        <f>IF(Q245="","",BETA.INV(0.975,O245,P245))</f>
        <v/>
      </c>
      <c r="T245" s="5">
        <f>IF(OR(O245="",P245=""),"",O245+P245-M245-N245)</f>
        <v/>
      </c>
      <c r="U245" s="5">
        <f>IF(T245="","先填完整分组",IF(T245&lt;30,"样本太少：仅描述",IF(T245&lt;100,"只作试点候选","可进入独立验证")))</f>
        <v/>
      </c>
      <c r="V245" s="3" t="n"/>
      <c r="W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5">
        <f>IF(COUNTA(A246:G246)&lt;7,"",COUNTIFS('原子事实记录'!$C$2:$C$2001,$D246,'原子事实记录'!$E$2:$E$2001,$A246,'原子事实记录'!$F$2:$F$2001,$B246,'原子事实记录'!$G$2:$G$2001,$C246,'原子事实记录'!$I$2:$I$2001,$E246,'原子事实记录'!$J$2:$J$2001,$F246,'原子事实记录'!$Q$2:$Q$2001,"是",'原子事实记录'!$R$2:$R$2001,"TP"))</f>
        <v/>
      </c>
      <c r="I246" s="5">
        <f>IF(COUNTA(A246:G246)&lt;7,"",COUNTIFS('原子事实记录'!$C$2:$C$2001,$D246,'原子事实记录'!$E$2:$E$2001,$A246,'原子事实记录'!$F$2:$F$2001,$B246,'原子事实记录'!$G$2:$G$2001,$C246,'原子事实记录'!$I$2:$I$2001,$E246,'原子事实记录'!$J$2:$J$2001,$F246,'原子事实记录'!$Q$2:$Q$2001,"是",'原子事实记录'!$R$2:$R$2001,"FP"))</f>
        <v/>
      </c>
      <c r="J246" s="5">
        <f>IF(COUNTA(A246:G246)&lt;7,"",COUNTIFS('原子事实记录'!$C$2:$C$2001,$D246,'原子事实记录'!$E$2:$E$2001,$A246,'原子事实记录'!$F$2:$F$2001,$B246,'原子事实记录'!$G$2:$G$2001,$C246,'原子事实记录'!$I$2:$I$2001,$E246,'原子事实记录'!$J$2:$J$2001,$F246,'原子事实记录'!$Q$2:$Q$2001,"是",'原子事实记录'!$R$2:$R$2001,"FN"))</f>
        <v/>
      </c>
      <c r="K246" s="5">
        <f>IF(COUNTA(A246:G246)&lt;7,"",COUNTIFS('原子事实记录'!$C$2:$C$2001,$D246,'原子事实记录'!$E$2:$E$2001,$A246,'原子事实记录'!$F$2:$F$2001,$B246,'原子事实记录'!$G$2:$G$2001,$C246,'原子事实记录'!$I$2:$I$2001,$E246,'原子事实记录'!$J$2:$J$2001,$F246,'原子事实记录'!$Q$2:$Q$2001,"是",'原子事实记录'!$R$2:$R$2001,"TN"))</f>
        <v/>
      </c>
      <c r="L246" s="5">
        <f>IF(COUNTA(A246:G246)&lt;7,"",COUNTIFS('原子事实记录'!$C$2:$C$2001,$D246,'原子事实记录'!$E$2:$E$2001,$A246,'原子事实记录'!$F$2:$F$2001,$B246,'原子事实记录'!$G$2:$G$2001,$C246,'原子事实记录'!$I$2:$I$2001,$E246,'原子事实记录'!$J$2:$J$2001,$F246,'原子事实记录'!$Q$2:$Q$2001,"是",'原子事实记录'!$R$2:$R$2001,"未知"))</f>
        <v/>
      </c>
      <c r="M246" s="3" t="n"/>
      <c r="N246" s="3" t="n"/>
      <c r="O246" s="5">
        <f>IF(OR(G246="",M246="",N246=""),"",M246+IF(G246="肯定主张正确率",H246,IF(G246="否定主张正确率",K246,IF(G246="灵敏度",H246,K246))))</f>
        <v/>
      </c>
      <c r="P246" s="5">
        <f>IF(OR(G246="",M246="",N246=""),"",N246+IF(G246="肯定主张正确率",I246,IF(G246="否定主张正确率",J246,IF(G246="灵敏度",J246,I246))))</f>
        <v/>
      </c>
      <c r="Q246" s="7">
        <f>IF(OR(O246="",P246=""),"",O246/(O246+P246))</f>
        <v/>
      </c>
      <c r="R246" s="7">
        <f>IF(Q246="","",BETA.INV(0.025,O246,P246))</f>
        <v/>
      </c>
      <c r="S246" s="7">
        <f>IF(Q246="","",BETA.INV(0.975,O246,P246))</f>
        <v/>
      </c>
      <c r="T246" s="5">
        <f>IF(OR(O246="",P246=""),"",O246+P246-M246-N246)</f>
        <v/>
      </c>
      <c r="U246" s="5">
        <f>IF(T246="","先填完整分组",IF(T246&lt;30,"样本太少：仅描述",IF(T246&lt;100,"只作试点候选","可进入独立验证")))</f>
        <v/>
      </c>
      <c r="V246" s="3" t="n"/>
      <c r="W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5">
        <f>IF(COUNTA(A247:G247)&lt;7,"",COUNTIFS('原子事实记录'!$C$2:$C$2001,$D247,'原子事实记录'!$E$2:$E$2001,$A247,'原子事实记录'!$F$2:$F$2001,$B247,'原子事实记录'!$G$2:$G$2001,$C247,'原子事实记录'!$I$2:$I$2001,$E247,'原子事实记录'!$J$2:$J$2001,$F247,'原子事实记录'!$Q$2:$Q$2001,"是",'原子事实记录'!$R$2:$R$2001,"TP"))</f>
        <v/>
      </c>
      <c r="I247" s="5">
        <f>IF(COUNTA(A247:G247)&lt;7,"",COUNTIFS('原子事实记录'!$C$2:$C$2001,$D247,'原子事实记录'!$E$2:$E$2001,$A247,'原子事实记录'!$F$2:$F$2001,$B247,'原子事实记录'!$G$2:$G$2001,$C247,'原子事实记录'!$I$2:$I$2001,$E247,'原子事实记录'!$J$2:$J$2001,$F247,'原子事实记录'!$Q$2:$Q$2001,"是",'原子事实记录'!$R$2:$R$2001,"FP"))</f>
        <v/>
      </c>
      <c r="J247" s="5">
        <f>IF(COUNTA(A247:G247)&lt;7,"",COUNTIFS('原子事实记录'!$C$2:$C$2001,$D247,'原子事实记录'!$E$2:$E$2001,$A247,'原子事实记录'!$F$2:$F$2001,$B247,'原子事实记录'!$G$2:$G$2001,$C247,'原子事实记录'!$I$2:$I$2001,$E247,'原子事实记录'!$J$2:$J$2001,$F247,'原子事实记录'!$Q$2:$Q$2001,"是",'原子事实记录'!$R$2:$R$2001,"FN"))</f>
        <v/>
      </c>
      <c r="K247" s="5">
        <f>IF(COUNTA(A247:G247)&lt;7,"",COUNTIFS('原子事实记录'!$C$2:$C$2001,$D247,'原子事实记录'!$E$2:$E$2001,$A247,'原子事实记录'!$F$2:$F$2001,$B247,'原子事实记录'!$G$2:$G$2001,$C247,'原子事实记录'!$I$2:$I$2001,$E247,'原子事实记录'!$J$2:$J$2001,$F247,'原子事实记录'!$Q$2:$Q$2001,"是",'原子事实记录'!$R$2:$R$2001,"TN"))</f>
        <v/>
      </c>
      <c r="L247" s="5">
        <f>IF(COUNTA(A247:G247)&lt;7,"",COUNTIFS('原子事实记录'!$C$2:$C$2001,$D247,'原子事实记录'!$E$2:$E$2001,$A247,'原子事实记录'!$F$2:$F$2001,$B247,'原子事实记录'!$G$2:$G$2001,$C247,'原子事实记录'!$I$2:$I$2001,$E247,'原子事实记录'!$J$2:$J$2001,$F247,'原子事实记录'!$Q$2:$Q$2001,"是",'原子事实记录'!$R$2:$R$2001,"未知"))</f>
        <v/>
      </c>
      <c r="M247" s="3" t="n"/>
      <c r="N247" s="3" t="n"/>
      <c r="O247" s="5">
        <f>IF(OR(G247="",M247="",N247=""),"",M247+IF(G247="肯定主张正确率",H247,IF(G247="否定主张正确率",K247,IF(G247="灵敏度",H247,K247))))</f>
        <v/>
      </c>
      <c r="P247" s="5">
        <f>IF(OR(G247="",M247="",N247=""),"",N247+IF(G247="肯定主张正确率",I247,IF(G247="否定主张正确率",J247,IF(G247="灵敏度",J247,I247))))</f>
        <v/>
      </c>
      <c r="Q247" s="7">
        <f>IF(OR(O247="",P247=""),"",O247/(O247+P247))</f>
        <v/>
      </c>
      <c r="R247" s="7">
        <f>IF(Q247="","",BETA.INV(0.025,O247,P247))</f>
        <v/>
      </c>
      <c r="S247" s="7">
        <f>IF(Q247="","",BETA.INV(0.975,O247,P247))</f>
        <v/>
      </c>
      <c r="T247" s="5">
        <f>IF(OR(O247="",P247=""),"",O247+P247-M247-N247)</f>
        <v/>
      </c>
      <c r="U247" s="5">
        <f>IF(T247="","先填完整分组",IF(T247&lt;30,"样本太少：仅描述",IF(T247&lt;100,"只作试点候选","可进入独立验证")))</f>
        <v/>
      </c>
      <c r="V247" s="3" t="n"/>
      <c r="W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5">
        <f>IF(COUNTA(A248:G248)&lt;7,"",COUNTIFS('原子事实记录'!$C$2:$C$2001,$D248,'原子事实记录'!$E$2:$E$2001,$A248,'原子事实记录'!$F$2:$F$2001,$B248,'原子事实记录'!$G$2:$G$2001,$C248,'原子事实记录'!$I$2:$I$2001,$E248,'原子事实记录'!$J$2:$J$2001,$F248,'原子事实记录'!$Q$2:$Q$2001,"是",'原子事实记录'!$R$2:$R$2001,"TP"))</f>
        <v/>
      </c>
      <c r="I248" s="5">
        <f>IF(COUNTA(A248:G248)&lt;7,"",COUNTIFS('原子事实记录'!$C$2:$C$2001,$D248,'原子事实记录'!$E$2:$E$2001,$A248,'原子事实记录'!$F$2:$F$2001,$B248,'原子事实记录'!$G$2:$G$2001,$C248,'原子事实记录'!$I$2:$I$2001,$E248,'原子事实记录'!$J$2:$J$2001,$F248,'原子事实记录'!$Q$2:$Q$2001,"是",'原子事实记录'!$R$2:$R$2001,"FP"))</f>
        <v/>
      </c>
      <c r="J248" s="5">
        <f>IF(COUNTA(A248:G248)&lt;7,"",COUNTIFS('原子事实记录'!$C$2:$C$2001,$D248,'原子事实记录'!$E$2:$E$2001,$A248,'原子事实记录'!$F$2:$F$2001,$B248,'原子事实记录'!$G$2:$G$2001,$C248,'原子事实记录'!$I$2:$I$2001,$E248,'原子事实记录'!$J$2:$J$2001,$F248,'原子事实记录'!$Q$2:$Q$2001,"是",'原子事实记录'!$R$2:$R$2001,"FN"))</f>
        <v/>
      </c>
      <c r="K248" s="5">
        <f>IF(COUNTA(A248:G248)&lt;7,"",COUNTIFS('原子事实记录'!$C$2:$C$2001,$D248,'原子事实记录'!$E$2:$E$2001,$A248,'原子事实记录'!$F$2:$F$2001,$B248,'原子事实记录'!$G$2:$G$2001,$C248,'原子事实记录'!$I$2:$I$2001,$E248,'原子事实记录'!$J$2:$J$2001,$F248,'原子事实记录'!$Q$2:$Q$2001,"是",'原子事实记录'!$R$2:$R$2001,"TN"))</f>
        <v/>
      </c>
      <c r="L248" s="5">
        <f>IF(COUNTA(A248:G248)&lt;7,"",COUNTIFS('原子事实记录'!$C$2:$C$2001,$D248,'原子事实记录'!$E$2:$E$2001,$A248,'原子事实记录'!$F$2:$F$2001,$B248,'原子事实记录'!$G$2:$G$2001,$C248,'原子事实记录'!$I$2:$I$2001,$E248,'原子事实记录'!$J$2:$J$2001,$F248,'原子事实记录'!$Q$2:$Q$2001,"是",'原子事实记录'!$R$2:$R$2001,"未知"))</f>
        <v/>
      </c>
      <c r="M248" s="3" t="n"/>
      <c r="N248" s="3" t="n"/>
      <c r="O248" s="5">
        <f>IF(OR(G248="",M248="",N248=""),"",M248+IF(G248="肯定主张正确率",H248,IF(G248="否定主张正确率",K248,IF(G248="灵敏度",H248,K248))))</f>
        <v/>
      </c>
      <c r="P248" s="5">
        <f>IF(OR(G248="",M248="",N248=""),"",N248+IF(G248="肯定主张正确率",I248,IF(G248="否定主张正确率",J248,IF(G248="灵敏度",J248,I248))))</f>
        <v/>
      </c>
      <c r="Q248" s="7">
        <f>IF(OR(O248="",P248=""),"",O248/(O248+P248))</f>
        <v/>
      </c>
      <c r="R248" s="7">
        <f>IF(Q248="","",BETA.INV(0.025,O248,P248))</f>
        <v/>
      </c>
      <c r="S248" s="7">
        <f>IF(Q248="","",BETA.INV(0.975,O248,P248))</f>
        <v/>
      </c>
      <c r="T248" s="5">
        <f>IF(OR(O248="",P248=""),"",O248+P248-M248-N248)</f>
        <v/>
      </c>
      <c r="U248" s="5">
        <f>IF(T248="","先填完整分组",IF(T248&lt;30,"样本太少：仅描述",IF(T248&lt;100,"只作试点候选","可进入独立验证")))</f>
        <v/>
      </c>
      <c r="V248" s="3" t="n"/>
      <c r="W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5">
        <f>IF(COUNTA(A249:G249)&lt;7,"",COUNTIFS('原子事实记录'!$C$2:$C$2001,$D249,'原子事实记录'!$E$2:$E$2001,$A249,'原子事实记录'!$F$2:$F$2001,$B249,'原子事实记录'!$G$2:$G$2001,$C249,'原子事实记录'!$I$2:$I$2001,$E249,'原子事实记录'!$J$2:$J$2001,$F249,'原子事实记录'!$Q$2:$Q$2001,"是",'原子事实记录'!$R$2:$R$2001,"TP"))</f>
        <v/>
      </c>
      <c r="I249" s="5">
        <f>IF(COUNTA(A249:G249)&lt;7,"",COUNTIFS('原子事实记录'!$C$2:$C$2001,$D249,'原子事实记录'!$E$2:$E$2001,$A249,'原子事实记录'!$F$2:$F$2001,$B249,'原子事实记录'!$G$2:$G$2001,$C249,'原子事实记录'!$I$2:$I$2001,$E249,'原子事实记录'!$J$2:$J$2001,$F249,'原子事实记录'!$Q$2:$Q$2001,"是",'原子事实记录'!$R$2:$R$2001,"FP"))</f>
        <v/>
      </c>
      <c r="J249" s="5">
        <f>IF(COUNTA(A249:G249)&lt;7,"",COUNTIFS('原子事实记录'!$C$2:$C$2001,$D249,'原子事实记录'!$E$2:$E$2001,$A249,'原子事实记录'!$F$2:$F$2001,$B249,'原子事实记录'!$G$2:$G$2001,$C249,'原子事实记录'!$I$2:$I$2001,$E249,'原子事实记录'!$J$2:$J$2001,$F249,'原子事实记录'!$Q$2:$Q$2001,"是",'原子事实记录'!$R$2:$R$2001,"FN"))</f>
        <v/>
      </c>
      <c r="K249" s="5">
        <f>IF(COUNTA(A249:G249)&lt;7,"",COUNTIFS('原子事实记录'!$C$2:$C$2001,$D249,'原子事实记录'!$E$2:$E$2001,$A249,'原子事实记录'!$F$2:$F$2001,$B249,'原子事实记录'!$G$2:$G$2001,$C249,'原子事实记录'!$I$2:$I$2001,$E249,'原子事实记录'!$J$2:$J$2001,$F249,'原子事实记录'!$Q$2:$Q$2001,"是",'原子事实记录'!$R$2:$R$2001,"TN"))</f>
        <v/>
      </c>
      <c r="L249" s="5">
        <f>IF(COUNTA(A249:G249)&lt;7,"",COUNTIFS('原子事实记录'!$C$2:$C$2001,$D249,'原子事实记录'!$E$2:$E$2001,$A249,'原子事实记录'!$F$2:$F$2001,$B249,'原子事实记录'!$G$2:$G$2001,$C249,'原子事实记录'!$I$2:$I$2001,$E249,'原子事实记录'!$J$2:$J$2001,$F249,'原子事实记录'!$Q$2:$Q$2001,"是",'原子事实记录'!$R$2:$R$2001,"未知"))</f>
        <v/>
      </c>
      <c r="M249" s="3" t="n"/>
      <c r="N249" s="3" t="n"/>
      <c r="O249" s="5">
        <f>IF(OR(G249="",M249="",N249=""),"",M249+IF(G249="肯定主张正确率",H249,IF(G249="否定主张正确率",K249,IF(G249="灵敏度",H249,K249))))</f>
        <v/>
      </c>
      <c r="P249" s="5">
        <f>IF(OR(G249="",M249="",N249=""),"",N249+IF(G249="肯定主张正确率",I249,IF(G249="否定主张正确率",J249,IF(G249="灵敏度",J249,I249))))</f>
        <v/>
      </c>
      <c r="Q249" s="7">
        <f>IF(OR(O249="",P249=""),"",O249/(O249+P249))</f>
        <v/>
      </c>
      <c r="R249" s="7">
        <f>IF(Q249="","",BETA.INV(0.025,O249,P249))</f>
        <v/>
      </c>
      <c r="S249" s="7">
        <f>IF(Q249="","",BETA.INV(0.975,O249,P249))</f>
        <v/>
      </c>
      <c r="T249" s="5">
        <f>IF(OR(O249="",P249=""),"",O249+P249-M249-N249)</f>
        <v/>
      </c>
      <c r="U249" s="5">
        <f>IF(T249="","先填完整分组",IF(T249&lt;30,"样本太少：仅描述",IF(T249&lt;100,"只作试点候选","可进入独立验证")))</f>
        <v/>
      </c>
      <c r="V249" s="3" t="n"/>
      <c r="W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5">
        <f>IF(COUNTA(A250:G250)&lt;7,"",COUNTIFS('原子事实记录'!$C$2:$C$2001,$D250,'原子事实记录'!$E$2:$E$2001,$A250,'原子事实记录'!$F$2:$F$2001,$B250,'原子事实记录'!$G$2:$G$2001,$C250,'原子事实记录'!$I$2:$I$2001,$E250,'原子事实记录'!$J$2:$J$2001,$F250,'原子事实记录'!$Q$2:$Q$2001,"是",'原子事实记录'!$R$2:$R$2001,"TP"))</f>
        <v/>
      </c>
      <c r="I250" s="5">
        <f>IF(COUNTA(A250:G250)&lt;7,"",COUNTIFS('原子事实记录'!$C$2:$C$2001,$D250,'原子事实记录'!$E$2:$E$2001,$A250,'原子事实记录'!$F$2:$F$2001,$B250,'原子事实记录'!$G$2:$G$2001,$C250,'原子事实记录'!$I$2:$I$2001,$E250,'原子事实记录'!$J$2:$J$2001,$F250,'原子事实记录'!$Q$2:$Q$2001,"是",'原子事实记录'!$R$2:$R$2001,"FP"))</f>
        <v/>
      </c>
      <c r="J250" s="5">
        <f>IF(COUNTA(A250:G250)&lt;7,"",COUNTIFS('原子事实记录'!$C$2:$C$2001,$D250,'原子事实记录'!$E$2:$E$2001,$A250,'原子事实记录'!$F$2:$F$2001,$B250,'原子事实记录'!$G$2:$G$2001,$C250,'原子事实记录'!$I$2:$I$2001,$E250,'原子事实记录'!$J$2:$J$2001,$F250,'原子事实记录'!$Q$2:$Q$2001,"是",'原子事实记录'!$R$2:$R$2001,"FN"))</f>
        <v/>
      </c>
      <c r="K250" s="5">
        <f>IF(COUNTA(A250:G250)&lt;7,"",COUNTIFS('原子事实记录'!$C$2:$C$2001,$D250,'原子事实记录'!$E$2:$E$2001,$A250,'原子事实记录'!$F$2:$F$2001,$B250,'原子事实记录'!$G$2:$G$2001,$C250,'原子事实记录'!$I$2:$I$2001,$E250,'原子事实记录'!$J$2:$J$2001,$F250,'原子事实记录'!$Q$2:$Q$2001,"是",'原子事实记录'!$R$2:$R$2001,"TN"))</f>
        <v/>
      </c>
      <c r="L250" s="5">
        <f>IF(COUNTA(A250:G250)&lt;7,"",COUNTIFS('原子事实记录'!$C$2:$C$2001,$D250,'原子事实记录'!$E$2:$E$2001,$A250,'原子事实记录'!$F$2:$F$2001,$B250,'原子事实记录'!$G$2:$G$2001,$C250,'原子事实记录'!$I$2:$I$2001,$E250,'原子事实记录'!$J$2:$J$2001,$F250,'原子事实记录'!$Q$2:$Q$2001,"是",'原子事实记录'!$R$2:$R$2001,"未知"))</f>
        <v/>
      </c>
      <c r="M250" s="3" t="n"/>
      <c r="N250" s="3" t="n"/>
      <c r="O250" s="5">
        <f>IF(OR(G250="",M250="",N250=""),"",M250+IF(G250="肯定主张正确率",H250,IF(G250="否定主张正确率",K250,IF(G250="灵敏度",H250,K250))))</f>
        <v/>
      </c>
      <c r="P250" s="5">
        <f>IF(OR(G250="",M250="",N250=""),"",N250+IF(G250="肯定主张正确率",I250,IF(G250="否定主张正确率",J250,IF(G250="灵敏度",J250,I250))))</f>
        <v/>
      </c>
      <c r="Q250" s="7">
        <f>IF(OR(O250="",P250=""),"",O250/(O250+P250))</f>
        <v/>
      </c>
      <c r="R250" s="7">
        <f>IF(Q250="","",BETA.INV(0.025,O250,P250))</f>
        <v/>
      </c>
      <c r="S250" s="7">
        <f>IF(Q250="","",BETA.INV(0.975,O250,P250))</f>
        <v/>
      </c>
      <c r="T250" s="5">
        <f>IF(OR(O250="",P250=""),"",O250+P250-M250-N250)</f>
        <v/>
      </c>
      <c r="U250" s="5">
        <f>IF(T250="","先填完整分组",IF(T250&lt;30,"样本太少：仅描述",IF(T250&lt;100,"只作试点候选","可进入独立验证")))</f>
        <v/>
      </c>
      <c r="V250" s="3" t="n"/>
      <c r="W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5">
        <f>IF(COUNTA(A251:G251)&lt;7,"",COUNTIFS('原子事实记录'!$C$2:$C$2001,$D251,'原子事实记录'!$E$2:$E$2001,$A251,'原子事实记录'!$F$2:$F$2001,$B251,'原子事实记录'!$G$2:$G$2001,$C251,'原子事实记录'!$I$2:$I$2001,$E251,'原子事实记录'!$J$2:$J$2001,$F251,'原子事实记录'!$Q$2:$Q$2001,"是",'原子事实记录'!$R$2:$R$2001,"TP"))</f>
        <v/>
      </c>
      <c r="I251" s="5">
        <f>IF(COUNTA(A251:G251)&lt;7,"",COUNTIFS('原子事实记录'!$C$2:$C$2001,$D251,'原子事实记录'!$E$2:$E$2001,$A251,'原子事实记录'!$F$2:$F$2001,$B251,'原子事实记录'!$G$2:$G$2001,$C251,'原子事实记录'!$I$2:$I$2001,$E251,'原子事实记录'!$J$2:$J$2001,$F251,'原子事实记录'!$Q$2:$Q$2001,"是",'原子事实记录'!$R$2:$R$2001,"FP"))</f>
        <v/>
      </c>
      <c r="J251" s="5">
        <f>IF(COUNTA(A251:G251)&lt;7,"",COUNTIFS('原子事实记录'!$C$2:$C$2001,$D251,'原子事实记录'!$E$2:$E$2001,$A251,'原子事实记录'!$F$2:$F$2001,$B251,'原子事实记录'!$G$2:$G$2001,$C251,'原子事实记录'!$I$2:$I$2001,$E251,'原子事实记录'!$J$2:$J$2001,$F251,'原子事实记录'!$Q$2:$Q$2001,"是",'原子事实记录'!$R$2:$R$2001,"FN"))</f>
        <v/>
      </c>
      <c r="K251" s="5">
        <f>IF(COUNTA(A251:G251)&lt;7,"",COUNTIFS('原子事实记录'!$C$2:$C$2001,$D251,'原子事实记录'!$E$2:$E$2001,$A251,'原子事实记录'!$F$2:$F$2001,$B251,'原子事实记录'!$G$2:$G$2001,$C251,'原子事实记录'!$I$2:$I$2001,$E251,'原子事实记录'!$J$2:$J$2001,$F251,'原子事实记录'!$Q$2:$Q$2001,"是",'原子事实记录'!$R$2:$R$2001,"TN"))</f>
        <v/>
      </c>
      <c r="L251" s="5">
        <f>IF(COUNTA(A251:G251)&lt;7,"",COUNTIFS('原子事实记录'!$C$2:$C$2001,$D251,'原子事实记录'!$E$2:$E$2001,$A251,'原子事实记录'!$F$2:$F$2001,$B251,'原子事实记录'!$G$2:$G$2001,$C251,'原子事实记录'!$I$2:$I$2001,$E251,'原子事实记录'!$J$2:$J$2001,$F251,'原子事实记录'!$Q$2:$Q$2001,"是",'原子事实记录'!$R$2:$R$2001,"未知"))</f>
        <v/>
      </c>
      <c r="M251" s="3" t="n"/>
      <c r="N251" s="3" t="n"/>
      <c r="O251" s="5">
        <f>IF(OR(G251="",M251="",N251=""),"",M251+IF(G251="肯定主张正确率",H251,IF(G251="否定主张正确率",K251,IF(G251="灵敏度",H251,K251))))</f>
        <v/>
      </c>
      <c r="P251" s="5">
        <f>IF(OR(G251="",M251="",N251=""),"",N251+IF(G251="肯定主张正确率",I251,IF(G251="否定主张正确率",J251,IF(G251="灵敏度",J251,I251))))</f>
        <v/>
      </c>
      <c r="Q251" s="7">
        <f>IF(OR(O251="",P251=""),"",O251/(O251+P251))</f>
        <v/>
      </c>
      <c r="R251" s="7">
        <f>IF(Q251="","",BETA.INV(0.025,O251,P251))</f>
        <v/>
      </c>
      <c r="S251" s="7">
        <f>IF(Q251="","",BETA.INV(0.975,O251,P251))</f>
        <v/>
      </c>
      <c r="T251" s="5">
        <f>IF(OR(O251="",P251=""),"",O251+P251-M251-N251)</f>
        <v/>
      </c>
      <c r="U251" s="5">
        <f>IF(T251="","先填完整分组",IF(T251&lt;30,"样本太少：仅描述",IF(T251&lt;100,"只作试点候选","可进入独立验证")))</f>
        <v/>
      </c>
      <c r="V251" s="3" t="n"/>
      <c r="W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5">
        <f>IF(COUNTA(A252:G252)&lt;7,"",COUNTIFS('原子事实记录'!$C$2:$C$2001,$D252,'原子事实记录'!$E$2:$E$2001,$A252,'原子事实记录'!$F$2:$F$2001,$B252,'原子事实记录'!$G$2:$G$2001,$C252,'原子事实记录'!$I$2:$I$2001,$E252,'原子事实记录'!$J$2:$J$2001,$F252,'原子事实记录'!$Q$2:$Q$2001,"是",'原子事实记录'!$R$2:$R$2001,"TP"))</f>
        <v/>
      </c>
      <c r="I252" s="5">
        <f>IF(COUNTA(A252:G252)&lt;7,"",COUNTIFS('原子事实记录'!$C$2:$C$2001,$D252,'原子事实记录'!$E$2:$E$2001,$A252,'原子事实记录'!$F$2:$F$2001,$B252,'原子事实记录'!$G$2:$G$2001,$C252,'原子事实记录'!$I$2:$I$2001,$E252,'原子事实记录'!$J$2:$J$2001,$F252,'原子事实记录'!$Q$2:$Q$2001,"是",'原子事实记录'!$R$2:$R$2001,"FP"))</f>
        <v/>
      </c>
      <c r="J252" s="5">
        <f>IF(COUNTA(A252:G252)&lt;7,"",COUNTIFS('原子事实记录'!$C$2:$C$2001,$D252,'原子事实记录'!$E$2:$E$2001,$A252,'原子事实记录'!$F$2:$F$2001,$B252,'原子事实记录'!$G$2:$G$2001,$C252,'原子事实记录'!$I$2:$I$2001,$E252,'原子事实记录'!$J$2:$J$2001,$F252,'原子事实记录'!$Q$2:$Q$2001,"是",'原子事实记录'!$R$2:$R$2001,"FN"))</f>
        <v/>
      </c>
      <c r="K252" s="5">
        <f>IF(COUNTA(A252:G252)&lt;7,"",COUNTIFS('原子事实记录'!$C$2:$C$2001,$D252,'原子事实记录'!$E$2:$E$2001,$A252,'原子事实记录'!$F$2:$F$2001,$B252,'原子事实记录'!$G$2:$G$2001,$C252,'原子事实记录'!$I$2:$I$2001,$E252,'原子事实记录'!$J$2:$J$2001,$F252,'原子事实记录'!$Q$2:$Q$2001,"是",'原子事实记录'!$R$2:$R$2001,"TN"))</f>
        <v/>
      </c>
      <c r="L252" s="5">
        <f>IF(COUNTA(A252:G252)&lt;7,"",COUNTIFS('原子事实记录'!$C$2:$C$2001,$D252,'原子事实记录'!$E$2:$E$2001,$A252,'原子事实记录'!$F$2:$F$2001,$B252,'原子事实记录'!$G$2:$G$2001,$C252,'原子事实记录'!$I$2:$I$2001,$E252,'原子事实记录'!$J$2:$J$2001,$F252,'原子事实记录'!$Q$2:$Q$2001,"是",'原子事实记录'!$R$2:$R$2001,"未知"))</f>
        <v/>
      </c>
      <c r="M252" s="3" t="n"/>
      <c r="N252" s="3" t="n"/>
      <c r="O252" s="5">
        <f>IF(OR(G252="",M252="",N252=""),"",M252+IF(G252="肯定主张正确率",H252,IF(G252="否定主张正确率",K252,IF(G252="灵敏度",H252,K252))))</f>
        <v/>
      </c>
      <c r="P252" s="5">
        <f>IF(OR(G252="",M252="",N252=""),"",N252+IF(G252="肯定主张正确率",I252,IF(G252="否定主张正确率",J252,IF(G252="灵敏度",J252,I252))))</f>
        <v/>
      </c>
      <c r="Q252" s="7">
        <f>IF(OR(O252="",P252=""),"",O252/(O252+P252))</f>
        <v/>
      </c>
      <c r="R252" s="7">
        <f>IF(Q252="","",BETA.INV(0.025,O252,P252))</f>
        <v/>
      </c>
      <c r="S252" s="7">
        <f>IF(Q252="","",BETA.INV(0.975,O252,P252))</f>
        <v/>
      </c>
      <c r="T252" s="5">
        <f>IF(OR(O252="",P252=""),"",O252+P252-M252-N252)</f>
        <v/>
      </c>
      <c r="U252" s="5">
        <f>IF(T252="","先填完整分组",IF(T252&lt;30,"样本太少：仅描述",IF(T252&lt;100,"只作试点候选","可进入独立验证")))</f>
        <v/>
      </c>
      <c r="V252" s="3" t="n"/>
      <c r="W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5">
        <f>IF(COUNTA(A253:G253)&lt;7,"",COUNTIFS('原子事实记录'!$C$2:$C$2001,$D253,'原子事实记录'!$E$2:$E$2001,$A253,'原子事实记录'!$F$2:$F$2001,$B253,'原子事实记录'!$G$2:$G$2001,$C253,'原子事实记录'!$I$2:$I$2001,$E253,'原子事实记录'!$J$2:$J$2001,$F253,'原子事实记录'!$Q$2:$Q$2001,"是",'原子事实记录'!$R$2:$R$2001,"TP"))</f>
        <v/>
      </c>
      <c r="I253" s="5">
        <f>IF(COUNTA(A253:G253)&lt;7,"",COUNTIFS('原子事实记录'!$C$2:$C$2001,$D253,'原子事实记录'!$E$2:$E$2001,$A253,'原子事实记录'!$F$2:$F$2001,$B253,'原子事实记录'!$G$2:$G$2001,$C253,'原子事实记录'!$I$2:$I$2001,$E253,'原子事实记录'!$J$2:$J$2001,$F253,'原子事实记录'!$Q$2:$Q$2001,"是",'原子事实记录'!$R$2:$R$2001,"FP"))</f>
        <v/>
      </c>
      <c r="J253" s="5">
        <f>IF(COUNTA(A253:G253)&lt;7,"",COUNTIFS('原子事实记录'!$C$2:$C$2001,$D253,'原子事实记录'!$E$2:$E$2001,$A253,'原子事实记录'!$F$2:$F$2001,$B253,'原子事实记录'!$G$2:$G$2001,$C253,'原子事实记录'!$I$2:$I$2001,$E253,'原子事实记录'!$J$2:$J$2001,$F253,'原子事实记录'!$Q$2:$Q$2001,"是",'原子事实记录'!$R$2:$R$2001,"FN"))</f>
        <v/>
      </c>
      <c r="K253" s="5">
        <f>IF(COUNTA(A253:G253)&lt;7,"",COUNTIFS('原子事实记录'!$C$2:$C$2001,$D253,'原子事实记录'!$E$2:$E$2001,$A253,'原子事实记录'!$F$2:$F$2001,$B253,'原子事实记录'!$G$2:$G$2001,$C253,'原子事实记录'!$I$2:$I$2001,$E253,'原子事实记录'!$J$2:$J$2001,$F253,'原子事实记录'!$Q$2:$Q$2001,"是",'原子事实记录'!$R$2:$R$2001,"TN"))</f>
        <v/>
      </c>
      <c r="L253" s="5">
        <f>IF(COUNTA(A253:G253)&lt;7,"",COUNTIFS('原子事实记录'!$C$2:$C$2001,$D253,'原子事实记录'!$E$2:$E$2001,$A253,'原子事实记录'!$F$2:$F$2001,$B253,'原子事实记录'!$G$2:$G$2001,$C253,'原子事实记录'!$I$2:$I$2001,$E253,'原子事实记录'!$J$2:$J$2001,$F253,'原子事实记录'!$Q$2:$Q$2001,"是",'原子事实记录'!$R$2:$R$2001,"未知"))</f>
        <v/>
      </c>
      <c r="M253" s="3" t="n"/>
      <c r="N253" s="3" t="n"/>
      <c r="O253" s="5">
        <f>IF(OR(G253="",M253="",N253=""),"",M253+IF(G253="肯定主张正确率",H253,IF(G253="否定主张正确率",K253,IF(G253="灵敏度",H253,K253))))</f>
        <v/>
      </c>
      <c r="P253" s="5">
        <f>IF(OR(G253="",M253="",N253=""),"",N253+IF(G253="肯定主张正确率",I253,IF(G253="否定主张正确率",J253,IF(G253="灵敏度",J253,I253))))</f>
        <v/>
      </c>
      <c r="Q253" s="7">
        <f>IF(OR(O253="",P253=""),"",O253/(O253+P253))</f>
        <v/>
      </c>
      <c r="R253" s="7">
        <f>IF(Q253="","",BETA.INV(0.025,O253,P253))</f>
        <v/>
      </c>
      <c r="S253" s="7">
        <f>IF(Q253="","",BETA.INV(0.975,O253,P253))</f>
        <v/>
      </c>
      <c r="T253" s="5">
        <f>IF(OR(O253="",P253=""),"",O253+P253-M253-N253)</f>
        <v/>
      </c>
      <c r="U253" s="5">
        <f>IF(T253="","先填完整分组",IF(T253&lt;30,"样本太少：仅描述",IF(T253&lt;100,"只作试点候选","可进入独立验证")))</f>
        <v/>
      </c>
      <c r="V253" s="3" t="n"/>
      <c r="W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5">
        <f>IF(COUNTA(A254:G254)&lt;7,"",COUNTIFS('原子事实记录'!$C$2:$C$2001,$D254,'原子事实记录'!$E$2:$E$2001,$A254,'原子事实记录'!$F$2:$F$2001,$B254,'原子事实记录'!$G$2:$G$2001,$C254,'原子事实记录'!$I$2:$I$2001,$E254,'原子事实记录'!$J$2:$J$2001,$F254,'原子事实记录'!$Q$2:$Q$2001,"是",'原子事实记录'!$R$2:$R$2001,"TP"))</f>
        <v/>
      </c>
      <c r="I254" s="5">
        <f>IF(COUNTA(A254:G254)&lt;7,"",COUNTIFS('原子事实记录'!$C$2:$C$2001,$D254,'原子事实记录'!$E$2:$E$2001,$A254,'原子事实记录'!$F$2:$F$2001,$B254,'原子事实记录'!$G$2:$G$2001,$C254,'原子事实记录'!$I$2:$I$2001,$E254,'原子事实记录'!$J$2:$J$2001,$F254,'原子事实记录'!$Q$2:$Q$2001,"是",'原子事实记录'!$R$2:$R$2001,"FP"))</f>
        <v/>
      </c>
      <c r="J254" s="5">
        <f>IF(COUNTA(A254:G254)&lt;7,"",COUNTIFS('原子事实记录'!$C$2:$C$2001,$D254,'原子事实记录'!$E$2:$E$2001,$A254,'原子事实记录'!$F$2:$F$2001,$B254,'原子事实记录'!$G$2:$G$2001,$C254,'原子事实记录'!$I$2:$I$2001,$E254,'原子事实记录'!$J$2:$J$2001,$F254,'原子事实记录'!$Q$2:$Q$2001,"是",'原子事实记录'!$R$2:$R$2001,"FN"))</f>
        <v/>
      </c>
      <c r="K254" s="5">
        <f>IF(COUNTA(A254:G254)&lt;7,"",COUNTIFS('原子事实记录'!$C$2:$C$2001,$D254,'原子事实记录'!$E$2:$E$2001,$A254,'原子事实记录'!$F$2:$F$2001,$B254,'原子事实记录'!$G$2:$G$2001,$C254,'原子事实记录'!$I$2:$I$2001,$E254,'原子事实记录'!$J$2:$J$2001,$F254,'原子事实记录'!$Q$2:$Q$2001,"是",'原子事实记录'!$R$2:$R$2001,"TN"))</f>
        <v/>
      </c>
      <c r="L254" s="5">
        <f>IF(COUNTA(A254:G254)&lt;7,"",COUNTIFS('原子事实记录'!$C$2:$C$2001,$D254,'原子事实记录'!$E$2:$E$2001,$A254,'原子事实记录'!$F$2:$F$2001,$B254,'原子事实记录'!$G$2:$G$2001,$C254,'原子事实记录'!$I$2:$I$2001,$E254,'原子事实记录'!$J$2:$J$2001,$F254,'原子事实记录'!$Q$2:$Q$2001,"是",'原子事实记录'!$R$2:$R$2001,"未知"))</f>
        <v/>
      </c>
      <c r="M254" s="3" t="n"/>
      <c r="N254" s="3" t="n"/>
      <c r="O254" s="5">
        <f>IF(OR(G254="",M254="",N254=""),"",M254+IF(G254="肯定主张正确率",H254,IF(G254="否定主张正确率",K254,IF(G254="灵敏度",H254,K254))))</f>
        <v/>
      </c>
      <c r="P254" s="5">
        <f>IF(OR(G254="",M254="",N254=""),"",N254+IF(G254="肯定主张正确率",I254,IF(G254="否定主张正确率",J254,IF(G254="灵敏度",J254,I254))))</f>
        <v/>
      </c>
      <c r="Q254" s="7">
        <f>IF(OR(O254="",P254=""),"",O254/(O254+P254))</f>
        <v/>
      </c>
      <c r="R254" s="7">
        <f>IF(Q254="","",BETA.INV(0.025,O254,P254))</f>
        <v/>
      </c>
      <c r="S254" s="7">
        <f>IF(Q254="","",BETA.INV(0.975,O254,P254))</f>
        <v/>
      </c>
      <c r="T254" s="5">
        <f>IF(OR(O254="",P254=""),"",O254+P254-M254-N254)</f>
        <v/>
      </c>
      <c r="U254" s="5">
        <f>IF(T254="","先填完整分组",IF(T254&lt;30,"样本太少：仅描述",IF(T254&lt;100,"只作试点候选","可进入独立验证")))</f>
        <v/>
      </c>
      <c r="V254" s="3" t="n"/>
      <c r="W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5">
        <f>IF(COUNTA(A255:G255)&lt;7,"",COUNTIFS('原子事实记录'!$C$2:$C$2001,$D255,'原子事实记录'!$E$2:$E$2001,$A255,'原子事实记录'!$F$2:$F$2001,$B255,'原子事实记录'!$G$2:$G$2001,$C255,'原子事实记录'!$I$2:$I$2001,$E255,'原子事实记录'!$J$2:$J$2001,$F255,'原子事实记录'!$Q$2:$Q$2001,"是",'原子事实记录'!$R$2:$R$2001,"TP"))</f>
        <v/>
      </c>
      <c r="I255" s="5">
        <f>IF(COUNTA(A255:G255)&lt;7,"",COUNTIFS('原子事实记录'!$C$2:$C$2001,$D255,'原子事实记录'!$E$2:$E$2001,$A255,'原子事实记录'!$F$2:$F$2001,$B255,'原子事实记录'!$G$2:$G$2001,$C255,'原子事实记录'!$I$2:$I$2001,$E255,'原子事实记录'!$J$2:$J$2001,$F255,'原子事实记录'!$Q$2:$Q$2001,"是",'原子事实记录'!$R$2:$R$2001,"FP"))</f>
        <v/>
      </c>
      <c r="J255" s="5">
        <f>IF(COUNTA(A255:G255)&lt;7,"",COUNTIFS('原子事实记录'!$C$2:$C$2001,$D255,'原子事实记录'!$E$2:$E$2001,$A255,'原子事实记录'!$F$2:$F$2001,$B255,'原子事实记录'!$G$2:$G$2001,$C255,'原子事实记录'!$I$2:$I$2001,$E255,'原子事实记录'!$J$2:$J$2001,$F255,'原子事实记录'!$Q$2:$Q$2001,"是",'原子事实记录'!$R$2:$R$2001,"FN"))</f>
        <v/>
      </c>
      <c r="K255" s="5">
        <f>IF(COUNTA(A255:G255)&lt;7,"",COUNTIFS('原子事实记录'!$C$2:$C$2001,$D255,'原子事实记录'!$E$2:$E$2001,$A255,'原子事实记录'!$F$2:$F$2001,$B255,'原子事实记录'!$G$2:$G$2001,$C255,'原子事实记录'!$I$2:$I$2001,$E255,'原子事实记录'!$J$2:$J$2001,$F255,'原子事实记录'!$Q$2:$Q$2001,"是",'原子事实记录'!$R$2:$R$2001,"TN"))</f>
        <v/>
      </c>
      <c r="L255" s="5">
        <f>IF(COUNTA(A255:G255)&lt;7,"",COUNTIFS('原子事实记录'!$C$2:$C$2001,$D255,'原子事实记录'!$E$2:$E$2001,$A255,'原子事实记录'!$F$2:$F$2001,$B255,'原子事实记录'!$G$2:$G$2001,$C255,'原子事实记录'!$I$2:$I$2001,$E255,'原子事实记录'!$J$2:$J$2001,$F255,'原子事实记录'!$Q$2:$Q$2001,"是",'原子事实记录'!$R$2:$R$2001,"未知"))</f>
        <v/>
      </c>
      <c r="M255" s="3" t="n"/>
      <c r="N255" s="3" t="n"/>
      <c r="O255" s="5">
        <f>IF(OR(G255="",M255="",N255=""),"",M255+IF(G255="肯定主张正确率",H255,IF(G255="否定主张正确率",K255,IF(G255="灵敏度",H255,K255))))</f>
        <v/>
      </c>
      <c r="P255" s="5">
        <f>IF(OR(G255="",M255="",N255=""),"",N255+IF(G255="肯定主张正确率",I255,IF(G255="否定主张正确率",J255,IF(G255="灵敏度",J255,I255))))</f>
        <v/>
      </c>
      <c r="Q255" s="7">
        <f>IF(OR(O255="",P255=""),"",O255/(O255+P255))</f>
        <v/>
      </c>
      <c r="R255" s="7">
        <f>IF(Q255="","",BETA.INV(0.025,O255,P255))</f>
        <v/>
      </c>
      <c r="S255" s="7">
        <f>IF(Q255="","",BETA.INV(0.975,O255,P255))</f>
        <v/>
      </c>
      <c r="T255" s="5">
        <f>IF(OR(O255="",P255=""),"",O255+P255-M255-N255)</f>
        <v/>
      </c>
      <c r="U255" s="5">
        <f>IF(T255="","先填完整分组",IF(T255&lt;30,"样本太少：仅描述",IF(T255&lt;100,"只作试点候选","可进入独立验证")))</f>
        <v/>
      </c>
      <c r="V255" s="3" t="n"/>
      <c r="W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5">
        <f>IF(COUNTA(A256:G256)&lt;7,"",COUNTIFS('原子事实记录'!$C$2:$C$2001,$D256,'原子事实记录'!$E$2:$E$2001,$A256,'原子事实记录'!$F$2:$F$2001,$B256,'原子事实记录'!$G$2:$G$2001,$C256,'原子事实记录'!$I$2:$I$2001,$E256,'原子事实记录'!$J$2:$J$2001,$F256,'原子事实记录'!$Q$2:$Q$2001,"是",'原子事实记录'!$R$2:$R$2001,"TP"))</f>
        <v/>
      </c>
      <c r="I256" s="5">
        <f>IF(COUNTA(A256:G256)&lt;7,"",COUNTIFS('原子事实记录'!$C$2:$C$2001,$D256,'原子事实记录'!$E$2:$E$2001,$A256,'原子事实记录'!$F$2:$F$2001,$B256,'原子事实记录'!$G$2:$G$2001,$C256,'原子事实记录'!$I$2:$I$2001,$E256,'原子事实记录'!$J$2:$J$2001,$F256,'原子事实记录'!$Q$2:$Q$2001,"是",'原子事实记录'!$R$2:$R$2001,"FP"))</f>
        <v/>
      </c>
      <c r="J256" s="5">
        <f>IF(COUNTA(A256:G256)&lt;7,"",COUNTIFS('原子事实记录'!$C$2:$C$2001,$D256,'原子事实记录'!$E$2:$E$2001,$A256,'原子事实记录'!$F$2:$F$2001,$B256,'原子事实记录'!$G$2:$G$2001,$C256,'原子事实记录'!$I$2:$I$2001,$E256,'原子事实记录'!$J$2:$J$2001,$F256,'原子事实记录'!$Q$2:$Q$2001,"是",'原子事实记录'!$R$2:$R$2001,"FN"))</f>
        <v/>
      </c>
      <c r="K256" s="5">
        <f>IF(COUNTA(A256:G256)&lt;7,"",COUNTIFS('原子事实记录'!$C$2:$C$2001,$D256,'原子事实记录'!$E$2:$E$2001,$A256,'原子事实记录'!$F$2:$F$2001,$B256,'原子事实记录'!$G$2:$G$2001,$C256,'原子事实记录'!$I$2:$I$2001,$E256,'原子事实记录'!$J$2:$J$2001,$F256,'原子事实记录'!$Q$2:$Q$2001,"是",'原子事实记录'!$R$2:$R$2001,"TN"))</f>
        <v/>
      </c>
      <c r="L256" s="5">
        <f>IF(COUNTA(A256:G256)&lt;7,"",COUNTIFS('原子事实记录'!$C$2:$C$2001,$D256,'原子事实记录'!$E$2:$E$2001,$A256,'原子事实记录'!$F$2:$F$2001,$B256,'原子事实记录'!$G$2:$G$2001,$C256,'原子事实记录'!$I$2:$I$2001,$E256,'原子事实记录'!$J$2:$J$2001,$F256,'原子事实记录'!$Q$2:$Q$2001,"是",'原子事实记录'!$R$2:$R$2001,"未知"))</f>
        <v/>
      </c>
      <c r="M256" s="3" t="n"/>
      <c r="N256" s="3" t="n"/>
      <c r="O256" s="5">
        <f>IF(OR(G256="",M256="",N256=""),"",M256+IF(G256="肯定主张正确率",H256,IF(G256="否定主张正确率",K256,IF(G256="灵敏度",H256,K256))))</f>
        <v/>
      </c>
      <c r="P256" s="5">
        <f>IF(OR(G256="",M256="",N256=""),"",N256+IF(G256="肯定主张正确率",I256,IF(G256="否定主张正确率",J256,IF(G256="灵敏度",J256,I256))))</f>
        <v/>
      </c>
      <c r="Q256" s="7">
        <f>IF(OR(O256="",P256=""),"",O256/(O256+P256))</f>
        <v/>
      </c>
      <c r="R256" s="7">
        <f>IF(Q256="","",BETA.INV(0.025,O256,P256))</f>
        <v/>
      </c>
      <c r="S256" s="7">
        <f>IF(Q256="","",BETA.INV(0.975,O256,P256))</f>
        <v/>
      </c>
      <c r="T256" s="5">
        <f>IF(OR(O256="",P256=""),"",O256+P256-M256-N256)</f>
        <v/>
      </c>
      <c r="U256" s="5">
        <f>IF(T256="","先填完整分组",IF(T256&lt;30,"样本太少：仅描述",IF(T256&lt;100,"只作试点候选","可进入独立验证")))</f>
        <v/>
      </c>
      <c r="V256" s="3" t="n"/>
      <c r="W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5">
        <f>IF(COUNTA(A257:G257)&lt;7,"",COUNTIFS('原子事实记录'!$C$2:$C$2001,$D257,'原子事实记录'!$E$2:$E$2001,$A257,'原子事实记录'!$F$2:$F$2001,$B257,'原子事实记录'!$G$2:$G$2001,$C257,'原子事实记录'!$I$2:$I$2001,$E257,'原子事实记录'!$J$2:$J$2001,$F257,'原子事实记录'!$Q$2:$Q$2001,"是",'原子事实记录'!$R$2:$R$2001,"TP"))</f>
        <v/>
      </c>
      <c r="I257" s="5">
        <f>IF(COUNTA(A257:G257)&lt;7,"",COUNTIFS('原子事实记录'!$C$2:$C$2001,$D257,'原子事实记录'!$E$2:$E$2001,$A257,'原子事实记录'!$F$2:$F$2001,$B257,'原子事实记录'!$G$2:$G$2001,$C257,'原子事实记录'!$I$2:$I$2001,$E257,'原子事实记录'!$J$2:$J$2001,$F257,'原子事实记录'!$Q$2:$Q$2001,"是",'原子事实记录'!$R$2:$R$2001,"FP"))</f>
        <v/>
      </c>
      <c r="J257" s="5">
        <f>IF(COUNTA(A257:G257)&lt;7,"",COUNTIFS('原子事实记录'!$C$2:$C$2001,$D257,'原子事实记录'!$E$2:$E$2001,$A257,'原子事实记录'!$F$2:$F$2001,$B257,'原子事实记录'!$G$2:$G$2001,$C257,'原子事实记录'!$I$2:$I$2001,$E257,'原子事实记录'!$J$2:$J$2001,$F257,'原子事实记录'!$Q$2:$Q$2001,"是",'原子事实记录'!$R$2:$R$2001,"FN"))</f>
        <v/>
      </c>
      <c r="K257" s="5">
        <f>IF(COUNTA(A257:G257)&lt;7,"",COUNTIFS('原子事实记录'!$C$2:$C$2001,$D257,'原子事实记录'!$E$2:$E$2001,$A257,'原子事实记录'!$F$2:$F$2001,$B257,'原子事实记录'!$G$2:$G$2001,$C257,'原子事实记录'!$I$2:$I$2001,$E257,'原子事实记录'!$J$2:$J$2001,$F257,'原子事实记录'!$Q$2:$Q$2001,"是",'原子事实记录'!$R$2:$R$2001,"TN"))</f>
        <v/>
      </c>
      <c r="L257" s="5">
        <f>IF(COUNTA(A257:G257)&lt;7,"",COUNTIFS('原子事实记录'!$C$2:$C$2001,$D257,'原子事实记录'!$E$2:$E$2001,$A257,'原子事实记录'!$F$2:$F$2001,$B257,'原子事实记录'!$G$2:$G$2001,$C257,'原子事实记录'!$I$2:$I$2001,$E257,'原子事实记录'!$J$2:$J$2001,$F257,'原子事实记录'!$Q$2:$Q$2001,"是",'原子事实记录'!$R$2:$R$2001,"未知"))</f>
        <v/>
      </c>
      <c r="M257" s="3" t="n"/>
      <c r="N257" s="3" t="n"/>
      <c r="O257" s="5">
        <f>IF(OR(G257="",M257="",N257=""),"",M257+IF(G257="肯定主张正确率",H257,IF(G257="否定主张正确率",K257,IF(G257="灵敏度",H257,K257))))</f>
        <v/>
      </c>
      <c r="P257" s="5">
        <f>IF(OR(G257="",M257="",N257=""),"",N257+IF(G257="肯定主张正确率",I257,IF(G257="否定主张正确率",J257,IF(G257="灵敏度",J257,I257))))</f>
        <v/>
      </c>
      <c r="Q257" s="7">
        <f>IF(OR(O257="",P257=""),"",O257/(O257+P257))</f>
        <v/>
      </c>
      <c r="R257" s="7">
        <f>IF(Q257="","",BETA.INV(0.025,O257,P257))</f>
        <v/>
      </c>
      <c r="S257" s="7">
        <f>IF(Q257="","",BETA.INV(0.975,O257,P257))</f>
        <v/>
      </c>
      <c r="T257" s="5">
        <f>IF(OR(O257="",P257=""),"",O257+P257-M257-N257)</f>
        <v/>
      </c>
      <c r="U257" s="5">
        <f>IF(T257="","先填完整分组",IF(T257&lt;30,"样本太少：仅描述",IF(T257&lt;100,"只作试点候选","可进入独立验证")))</f>
        <v/>
      </c>
      <c r="V257" s="3" t="n"/>
      <c r="W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5">
        <f>IF(COUNTA(A258:G258)&lt;7,"",COUNTIFS('原子事实记录'!$C$2:$C$2001,$D258,'原子事实记录'!$E$2:$E$2001,$A258,'原子事实记录'!$F$2:$F$2001,$B258,'原子事实记录'!$G$2:$G$2001,$C258,'原子事实记录'!$I$2:$I$2001,$E258,'原子事实记录'!$J$2:$J$2001,$F258,'原子事实记录'!$Q$2:$Q$2001,"是",'原子事实记录'!$R$2:$R$2001,"TP"))</f>
        <v/>
      </c>
      <c r="I258" s="5">
        <f>IF(COUNTA(A258:G258)&lt;7,"",COUNTIFS('原子事实记录'!$C$2:$C$2001,$D258,'原子事实记录'!$E$2:$E$2001,$A258,'原子事实记录'!$F$2:$F$2001,$B258,'原子事实记录'!$G$2:$G$2001,$C258,'原子事实记录'!$I$2:$I$2001,$E258,'原子事实记录'!$J$2:$J$2001,$F258,'原子事实记录'!$Q$2:$Q$2001,"是",'原子事实记录'!$R$2:$R$2001,"FP"))</f>
        <v/>
      </c>
      <c r="J258" s="5">
        <f>IF(COUNTA(A258:G258)&lt;7,"",COUNTIFS('原子事实记录'!$C$2:$C$2001,$D258,'原子事实记录'!$E$2:$E$2001,$A258,'原子事实记录'!$F$2:$F$2001,$B258,'原子事实记录'!$G$2:$G$2001,$C258,'原子事实记录'!$I$2:$I$2001,$E258,'原子事实记录'!$J$2:$J$2001,$F258,'原子事实记录'!$Q$2:$Q$2001,"是",'原子事实记录'!$R$2:$R$2001,"FN"))</f>
        <v/>
      </c>
      <c r="K258" s="5">
        <f>IF(COUNTA(A258:G258)&lt;7,"",COUNTIFS('原子事实记录'!$C$2:$C$2001,$D258,'原子事实记录'!$E$2:$E$2001,$A258,'原子事实记录'!$F$2:$F$2001,$B258,'原子事实记录'!$G$2:$G$2001,$C258,'原子事实记录'!$I$2:$I$2001,$E258,'原子事实记录'!$J$2:$J$2001,$F258,'原子事实记录'!$Q$2:$Q$2001,"是",'原子事实记录'!$R$2:$R$2001,"TN"))</f>
        <v/>
      </c>
      <c r="L258" s="5">
        <f>IF(COUNTA(A258:G258)&lt;7,"",COUNTIFS('原子事实记录'!$C$2:$C$2001,$D258,'原子事实记录'!$E$2:$E$2001,$A258,'原子事实记录'!$F$2:$F$2001,$B258,'原子事实记录'!$G$2:$G$2001,$C258,'原子事实记录'!$I$2:$I$2001,$E258,'原子事实记录'!$J$2:$J$2001,$F258,'原子事实记录'!$Q$2:$Q$2001,"是",'原子事实记录'!$R$2:$R$2001,"未知"))</f>
        <v/>
      </c>
      <c r="M258" s="3" t="n"/>
      <c r="N258" s="3" t="n"/>
      <c r="O258" s="5">
        <f>IF(OR(G258="",M258="",N258=""),"",M258+IF(G258="肯定主张正确率",H258,IF(G258="否定主张正确率",K258,IF(G258="灵敏度",H258,K258))))</f>
        <v/>
      </c>
      <c r="P258" s="5">
        <f>IF(OR(G258="",M258="",N258=""),"",N258+IF(G258="肯定主张正确率",I258,IF(G258="否定主张正确率",J258,IF(G258="灵敏度",J258,I258))))</f>
        <v/>
      </c>
      <c r="Q258" s="7">
        <f>IF(OR(O258="",P258=""),"",O258/(O258+P258))</f>
        <v/>
      </c>
      <c r="R258" s="7">
        <f>IF(Q258="","",BETA.INV(0.025,O258,P258))</f>
        <v/>
      </c>
      <c r="S258" s="7">
        <f>IF(Q258="","",BETA.INV(0.975,O258,P258))</f>
        <v/>
      </c>
      <c r="T258" s="5">
        <f>IF(OR(O258="",P258=""),"",O258+P258-M258-N258)</f>
        <v/>
      </c>
      <c r="U258" s="5">
        <f>IF(T258="","先填完整分组",IF(T258&lt;30,"样本太少：仅描述",IF(T258&lt;100,"只作试点候选","可进入独立验证")))</f>
        <v/>
      </c>
      <c r="V258" s="3" t="n"/>
      <c r="W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5">
        <f>IF(COUNTA(A259:G259)&lt;7,"",COUNTIFS('原子事实记录'!$C$2:$C$2001,$D259,'原子事实记录'!$E$2:$E$2001,$A259,'原子事实记录'!$F$2:$F$2001,$B259,'原子事实记录'!$G$2:$G$2001,$C259,'原子事实记录'!$I$2:$I$2001,$E259,'原子事实记录'!$J$2:$J$2001,$F259,'原子事实记录'!$Q$2:$Q$2001,"是",'原子事实记录'!$R$2:$R$2001,"TP"))</f>
        <v/>
      </c>
      <c r="I259" s="5">
        <f>IF(COUNTA(A259:G259)&lt;7,"",COUNTIFS('原子事实记录'!$C$2:$C$2001,$D259,'原子事实记录'!$E$2:$E$2001,$A259,'原子事实记录'!$F$2:$F$2001,$B259,'原子事实记录'!$G$2:$G$2001,$C259,'原子事实记录'!$I$2:$I$2001,$E259,'原子事实记录'!$J$2:$J$2001,$F259,'原子事实记录'!$Q$2:$Q$2001,"是",'原子事实记录'!$R$2:$R$2001,"FP"))</f>
        <v/>
      </c>
      <c r="J259" s="5">
        <f>IF(COUNTA(A259:G259)&lt;7,"",COUNTIFS('原子事实记录'!$C$2:$C$2001,$D259,'原子事实记录'!$E$2:$E$2001,$A259,'原子事实记录'!$F$2:$F$2001,$B259,'原子事实记录'!$G$2:$G$2001,$C259,'原子事实记录'!$I$2:$I$2001,$E259,'原子事实记录'!$J$2:$J$2001,$F259,'原子事实记录'!$Q$2:$Q$2001,"是",'原子事实记录'!$R$2:$R$2001,"FN"))</f>
        <v/>
      </c>
      <c r="K259" s="5">
        <f>IF(COUNTA(A259:G259)&lt;7,"",COUNTIFS('原子事实记录'!$C$2:$C$2001,$D259,'原子事实记录'!$E$2:$E$2001,$A259,'原子事实记录'!$F$2:$F$2001,$B259,'原子事实记录'!$G$2:$G$2001,$C259,'原子事实记录'!$I$2:$I$2001,$E259,'原子事实记录'!$J$2:$J$2001,$F259,'原子事实记录'!$Q$2:$Q$2001,"是",'原子事实记录'!$R$2:$R$2001,"TN"))</f>
        <v/>
      </c>
      <c r="L259" s="5">
        <f>IF(COUNTA(A259:G259)&lt;7,"",COUNTIFS('原子事实记录'!$C$2:$C$2001,$D259,'原子事实记录'!$E$2:$E$2001,$A259,'原子事实记录'!$F$2:$F$2001,$B259,'原子事实记录'!$G$2:$G$2001,$C259,'原子事实记录'!$I$2:$I$2001,$E259,'原子事实记录'!$J$2:$J$2001,$F259,'原子事实记录'!$Q$2:$Q$2001,"是",'原子事实记录'!$R$2:$R$2001,"未知"))</f>
        <v/>
      </c>
      <c r="M259" s="3" t="n"/>
      <c r="N259" s="3" t="n"/>
      <c r="O259" s="5">
        <f>IF(OR(G259="",M259="",N259=""),"",M259+IF(G259="肯定主张正确率",H259,IF(G259="否定主张正确率",K259,IF(G259="灵敏度",H259,K259))))</f>
        <v/>
      </c>
      <c r="P259" s="5">
        <f>IF(OR(G259="",M259="",N259=""),"",N259+IF(G259="肯定主张正确率",I259,IF(G259="否定主张正确率",J259,IF(G259="灵敏度",J259,I259))))</f>
        <v/>
      </c>
      <c r="Q259" s="7">
        <f>IF(OR(O259="",P259=""),"",O259/(O259+P259))</f>
        <v/>
      </c>
      <c r="R259" s="7">
        <f>IF(Q259="","",BETA.INV(0.025,O259,P259))</f>
        <v/>
      </c>
      <c r="S259" s="7">
        <f>IF(Q259="","",BETA.INV(0.975,O259,P259))</f>
        <v/>
      </c>
      <c r="T259" s="5">
        <f>IF(OR(O259="",P259=""),"",O259+P259-M259-N259)</f>
        <v/>
      </c>
      <c r="U259" s="5">
        <f>IF(T259="","先填完整分组",IF(T259&lt;30,"样本太少：仅描述",IF(T259&lt;100,"只作试点候选","可进入独立验证")))</f>
        <v/>
      </c>
      <c r="V259" s="3" t="n"/>
      <c r="W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5">
        <f>IF(COUNTA(A260:G260)&lt;7,"",COUNTIFS('原子事实记录'!$C$2:$C$2001,$D260,'原子事实记录'!$E$2:$E$2001,$A260,'原子事实记录'!$F$2:$F$2001,$B260,'原子事实记录'!$G$2:$G$2001,$C260,'原子事实记录'!$I$2:$I$2001,$E260,'原子事实记录'!$J$2:$J$2001,$F260,'原子事实记录'!$Q$2:$Q$2001,"是",'原子事实记录'!$R$2:$R$2001,"TP"))</f>
        <v/>
      </c>
      <c r="I260" s="5">
        <f>IF(COUNTA(A260:G260)&lt;7,"",COUNTIFS('原子事实记录'!$C$2:$C$2001,$D260,'原子事实记录'!$E$2:$E$2001,$A260,'原子事实记录'!$F$2:$F$2001,$B260,'原子事实记录'!$G$2:$G$2001,$C260,'原子事实记录'!$I$2:$I$2001,$E260,'原子事实记录'!$J$2:$J$2001,$F260,'原子事实记录'!$Q$2:$Q$2001,"是",'原子事实记录'!$R$2:$R$2001,"FP"))</f>
        <v/>
      </c>
      <c r="J260" s="5">
        <f>IF(COUNTA(A260:G260)&lt;7,"",COUNTIFS('原子事实记录'!$C$2:$C$2001,$D260,'原子事实记录'!$E$2:$E$2001,$A260,'原子事实记录'!$F$2:$F$2001,$B260,'原子事实记录'!$G$2:$G$2001,$C260,'原子事实记录'!$I$2:$I$2001,$E260,'原子事实记录'!$J$2:$J$2001,$F260,'原子事实记录'!$Q$2:$Q$2001,"是",'原子事实记录'!$R$2:$R$2001,"FN"))</f>
        <v/>
      </c>
      <c r="K260" s="5">
        <f>IF(COUNTA(A260:G260)&lt;7,"",COUNTIFS('原子事实记录'!$C$2:$C$2001,$D260,'原子事实记录'!$E$2:$E$2001,$A260,'原子事实记录'!$F$2:$F$2001,$B260,'原子事实记录'!$G$2:$G$2001,$C260,'原子事实记录'!$I$2:$I$2001,$E260,'原子事实记录'!$J$2:$J$2001,$F260,'原子事实记录'!$Q$2:$Q$2001,"是",'原子事实记录'!$R$2:$R$2001,"TN"))</f>
        <v/>
      </c>
      <c r="L260" s="5">
        <f>IF(COUNTA(A260:G260)&lt;7,"",COUNTIFS('原子事实记录'!$C$2:$C$2001,$D260,'原子事实记录'!$E$2:$E$2001,$A260,'原子事实记录'!$F$2:$F$2001,$B260,'原子事实记录'!$G$2:$G$2001,$C260,'原子事实记录'!$I$2:$I$2001,$E260,'原子事实记录'!$J$2:$J$2001,$F260,'原子事实记录'!$Q$2:$Q$2001,"是",'原子事实记录'!$R$2:$R$2001,"未知"))</f>
        <v/>
      </c>
      <c r="M260" s="3" t="n"/>
      <c r="N260" s="3" t="n"/>
      <c r="O260" s="5">
        <f>IF(OR(G260="",M260="",N260=""),"",M260+IF(G260="肯定主张正确率",H260,IF(G260="否定主张正确率",K260,IF(G260="灵敏度",H260,K260))))</f>
        <v/>
      </c>
      <c r="P260" s="5">
        <f>IF(OR(G260="",M260="",N260=""),"",N260+IF(G260="肯定主张正确率",I260,IF(G260="否定主张正确率",J260,IF(G260="灵敏度",J260,I260))))</f>
        <v/>
      </c>
      <c r="Q260" s="7">
        <f>IF(OR(O260="",P260=""),"",O260/(O260+P260))</f>
        <v/>
      </c>
      <c r="R260" s="7">
        <f>IF(Q260="","",BETA.INV(0.025,O260,P260))</f>
        <v/>
      </c>
      <c r="S260" s="7">
        <f>IF(Q260="","",BETA.INV(0.975,O260,P260))</f>
        <v/>
      </c>
      <c r="T260" s="5">
        <f>IF(OR(O260="",P260=""),"",O260+P260-M260-N260)</f>
        <v/>
      </c>
      <c r="U260" s="5">
        <f>IF(T260="","先填完整分组",IF(T260&lt;30,"样本太少：仅描述",IF(T260&lt;100,"只作试点候选","可进入独立验证")))</f>
        <v/>
      </c>
      <c r="V260" s="3" t="n"/>
      <c r="W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5">
        <f>IF(COUNTA(A261:G261)&lt;7,"",COUNTIFS('原子事实记录'!$C$2:$C$2001,$D261,'原子事实记录'!$E$2:$E$2001,$A261,'原子事实记录'!$F$2:$F$2001,$B261,'原子事实记录'!$G$2:$G$2001,$C261,'原子事实记录'!$I$2:$I$2001,$E261,'原子事实记录'!$J$2:$J$2001,$F261,'原子事实记录'!$Q$2:$Q$2001,"是",'原子事实记录'!$R$2:$R$2001,"TP"))</f>
        <v/>
      </c>
      <c r="I261" s="5">
        <f>IF(COUNTA(A261:G261)&lt;7,"",COUNTIFS('原子事实记录'!$C$2:$C$2001,$D261,'原子事实记录'!$E$2:$E$2001,$A261,'原子事实记录'!$F$2:$F$2001,$B261,'原子事实记录'!$G$2:$G$2001,$C261,'原子事实记录'!$I$2:$I$2001,$E261,'原子事实记录'!$J$2:$J$2001,$F261,'原子事实记录'!$Q$2:$Q$2001,"是",'原子事实记录'!$R$2:$R$2001,"FP"))</f>
        <v/>
      </c>
      <c r="J261" s="5">
        <f>IF(COUNTA(A261:G261)&lt;7,"",COUNTIFS('原子事实记录'!$C$2:$C$2001,$D261,'原子事实记录'!$E$2:$E$2001,$A261,'原子事实记录'!$F$2:$F$2001,$B261,'原子事实记录'!$G$2:$G$2001,$C261,'原子事实记录'!$I$2:$I$2001,$E261,'原子事实记录'!$J$2:$J$2001,$F261,'原子事实记录'!$Q$2:$Q$2001,"是",'原子事实记录'!$R$2:$R$2001,"FN"))</f>
        <v/>
      </c>
      <c r="K261" s="5">
        <f>IF(COUNTA(A261:G261)&lt;7,"",COUNTIFS('原子事实记录'!$C$2:$C$2001,$D261,'原子事实记录'!$E$2:$E$2001,$A261,'原子事实记录'!$F$2:$F$2001,$B261,'原子事实记录'!$G$2:$G$2001,$C261,'原子事实记录'!$I$2:$I$2001,$E261,'原子事实记录'!$J$2:$J$2001,$F261,'原子事实记录'!$Q$2:$Q$2001,"是",'原子事实记录'!$R$2:$R$2001,"TN"))</f>
        <v/>
      </c>
      <c r="L261" s="5">
        <f>IF(COUNTA(A261:G261)&lt;7,"",COUNTIFS('原子事实记录'!$C$2:$C$2001,$D261,'原子事实记录'!$E$2:$E$2001,$A261,'原子事实记录'!$F$2:$F$2001,$B261,'原子事实记录'!$G$2:$G$2001,$C261,'原子事实记录'!$I$2:$I$2001,$E261,'原子事实记录'!$J$2:$J$2001,$F261,'原子事实记录'!$Q$2:$Q$2001,"是",'原子事实记录'!$R$2:$R$2001,"未知"))</f>
        <v/>
      </c>
      <c r="M261" s="3" t="n"/>
      <c r="N261" s="3" t="n"/>
      <c r="O261" s="5">
        <f>IF(OR(G261="",M261="",N261=""),"",M261+IF(G261="肯定主张正确率",H261,IF(G261="否定主张正确率",K261,IF(G261="灵敏度",H261,K261))))</f>
        <v/>
      </c>
      <c r="P261" s="5">
        <f>IF(OR(G261="",M261="",N261=""),"",N261+IF(G261="肯定主张正确率",I261,IF(G261="否定主张正确率",J261,IF(G261="灵敏度",J261,I261))))</f>
        <v/>
      </c>
      <c r="Q261" s="7">
        <f>IF(OR(O261="",P261=""),"",O261/(O261+P261))</f>
        <v/>
      </c>
      <c r="R261" s="7">
        <f>IF(Q261="","",BETA.INV(0.025,O261,P261))</f>
        <v/>
      </c>
      <c r="S261" s="7">
        <f>IF(Q261="","",BETA.INV(0.975,O261,P261))</f>
        <v/>
      </c>
      <c r="T261" s="5">
        <f>IF(OR(O261="",P261=""),"",O261+P261-M261-N261)</f>
        <v/>
      </c>
      <c r="U261" s="5">
        <f>IF(T261="","先填完整分组",IF(T261&lt;30,"样本太少：仅描述",IF(T261&lt;100,"只作试点候选","可进入独立验证")))</f>
        <v/>
      </c>
      <c r="V261" s="3" t="n"/>
      <c r="W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5">
        <f>IF(COUNTA(A262:G262)&lt;7,"",COUNTIFS('原子事实记录'!$C$2:$C$2001,$D262,'原子事实记录'!$E$2:$E$2001,$A262,'原子事实记录'!$F$2:$F$2001,$B262,'原子事实记录'!$G$2:$G$2001,$C262,'原子事实记录'!$I$2:$I$2001,$E262,'原子事实记录'!$J$2:$J$2001,$F262,'原子事实记录'!$Q$2:$Q$2001,"是",'原子事实记录'!$R$2:$R$2001,"TP"))</f>
        <v/>
      </c>
      <c r="I262" s="5">
        <f>IF(COUNTA(A262:G262)&lt;7,"",COUNTIFS('原子事实记录'!$C$2:$C$2001,$D262,'原子事实记录'!$E$2:$E$2001,$A262,'原子事实记录'!$F$2:$F$2001,$B262,'原子事实记录'!$G$2:$G$2001,$C262,'原子事实记录'!$I$2:$I$2001,$E262,'原子事实记录'!$J$2:$J$2001,$F262,'原子事实记录'!$Q$2:$Q$2001,"是",'原子事实记录'!$R$2:$R$2001,"FP"))</f>
        <v/>
      </c>
      <c r="J262" s="5">
        <f>IF(COUNTA(A262:G262)&lt;7,"",COUNTIFS('原子事实记录'!$C$2:$C$2001,$D262,'原子事实记录'!$E$2:$E$2001,$A262,'原子事实记录'!$F$2:$F$2001,$B262,'原子事实记录'!$G$2:$G$2001,$C262,'原子事实记录'!$I$2:$I$2001,$E262,'原子事实记录'!$J$2:$J$2001,$F262,'原子事实记录'!$Q$2:$Q$2001,"是",'原子事实记录'!$R$2:$R$2001,"FN"))</f>
        <v/>
      </c>
      <c r="K262" s="5">
        <f>IF(COUNTA(A262:G262)&lt;7,"",COUNTIFS('原子事实记录'!$C$2:$C$2001,$D262,'原子事实记录'!$E$2:$E$2001,$A262,'原子事实记录'!$F$2:$F$2001,$B262,'原子事实记录'!$G$2:$G$2001,$C262,'原子事实记录'!$I$2:$I$2001,$E262,'原子事实记录'!$J$2:$J$2001,$F262,'原子事实记录'!$Q$2:$Q$2001,"是",'原子事实记录'!$R$2:$R$2001,"TN"))</f>
        <v/>
      </c>
      <c r="L262" s="5">
        <f>IF(COUNTA(A262:G262)&lt;7,"",COUNTIFS('原子事实记录'!$C$2:$C$2001,$D262,'原子事实记录'!$E$2:$E$2001,$A262,'原子事实记录'!$F$2:$F$2001,$B262,'原子事实记录'!$G$2:$G$2001,$C262,'原子事实记录'!$I$2:$I$2001,$E262,'原子事实记录'!$J$2:$J$2001,$F262,'原子事实记录'!$Q$2:$Q$2001,"是",'原子事实记录'!$R$2:$R$2001,"未知"))</f>
        <v/>
      </c>
      <c r="M262" s="3" t="n"/>
      <c r="N262" s="3" t="n"/>
      <c r="O262" s="5">
        <f>IF(OR(G262="",M262="",N262=""),"",M262+IF(G262="肯定主张正确率",H262,IF(G262="否定主张正确率",K262,IF(G262="灵敏度",H262,K262))))</f>
        <v/>
      </c>
      <c r="P262" s="5">
        <f>IF(OR(G262="",M262="",N262=""),"",N262+IF(G262="肯定主张正确率",I262,IF(G262="否定主张正确率",J262,IF(G262="灵敏度",J262,I262))))</f>
        <v/>
      </c>
      <c r="Q262" s="7">
        <f>IF(OR(O262="",P262=""),"",O262/(O262+P262))</f>
        <v/>
      </c>
      <c r="R262" s="7">
        <f>IF(Q262="","",BETA.INV(0.025,O262,P262))</f>
        <v/>
      </c>
      <c r="S262" s="7">
        <f>IF(Q262="","",BETA.INV(0.975,O262,P262))</f>
        <v/>
      </c>
      <c r="T262" s="5">
        <f>IF(OR(O262="",P262=""),"",O262+P262-M262-N262)</f>
        <v/>
      </c>
      <c r="U262" s="5">
        <f>IF(T262="","先填完整分组",IF(T262&lt;30,"样本太少：仅描述",IF(T262&lt;100,"只作试点候选","可进入独立验证")))</f>
        <v/>
      </c>
      <c r="V262" s="3" t="n"/>
      <c r="W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5">
        <f>IF(COUNTA(A263:G263)&lt;7,"",COUNTIFS('原子事实记录'!$C$2:$C$2001,$D263,'原子事实记录'!$E$2:$E$2001,$A263,'原子事实记录'!$F$2:$F$2001,$B263,'原子事实记录'!$G$2:$G$2001,$C263,'原子事实记录'!$I$2:$I$2001,$E263,'原子事实记录'!$J$2:$J$2001,$F263,'原子事实记录'!$Q$2:$Q$2001,"是",'原子事实记录'!$R$2:$R$2001,"TP"))</f>
        <v/>
      </c>
      <c r="I263" s="5">
        <f>IF(COUNTA(A263:G263)&lt;7,"",COUNTIFS('原子事实记录'!$C$2:$C$2001,$D263,'原子事实记录'!$E$2:$E$2001,$A263,'原子事实记录'!$F$2:$F$2001,$B263,'原子事实记录'!$G$2:$G$2001,$C263,'原子事实记录'!$I$2:$I$2001,$E263,'原子事实记录'!$J$2:$J$2001,$F263,'原子事实记录'!$Q$2:$Q$2001,"是",'原子事实记录'!$R$2:$R$2001,"FP"))</f>
        <v/>
      </c>
      <c r="J263" s="5">
        <f>IF(COUNTA(A263:G263)&lt;7,"",COUNTIFS('原子事实记录'!$C$2:$C$2001,$D263,'原子事实记录'!$E$2:$E$2001,$A263,'原子事实记录'!$F$2:$F$2001,$B263,'原子事实记录'!$G$2:$G$2001,$C263,'原子事实记录'!$I$2:$I$2001,$E263,'原子事实记录'!$J$2:$J$2001,$F263,'原子事实记录'!$Q$2:$Q$2001,"是",'原子事实记录'!$R$2:$R$2001,"FN"))</f>
        <v/>
      </c>
      <c r="K263" s="5">
        <f>IF(COUNTA(A263:G263)&lt;7,"",COUNTIFS('原子事实记录'!$C$2:$C$2001,$D263,'原子事实记录'!$E$2:$E$2001,$A263,'原子事实记录'!$F$2:$F$2001,$B263,'原子事实记录'!$G$2:$G$2001,$C263,'原子事实记录'!$I$2:$I$2001,$E263,'原子事实记录'!$J$2:$J$2001,$F263,'原子事实记录'!$Q$2:$Q$2001,"是",'原子事实记录'!$R$2:$R$2001,"TN"))</f>
        <v/>
      </c>
      <c r="L263" s="5">
        <f>IF(COUNTA(A263:G263)&lt;7,"",COUNTIFS('原子事实记录'!$C$2:$C$2001,$D263,'原子事实记录'!$E$2:$E$2001,$A263,'原子事实记录'!$F$2:$F$2001,$B263,'原子事实记录'!$G$2:$G$2001,$C263,'原子事实记录'!$I$2:$I$2001,$E263,'原子事实记录'!$J$2:$J$2001,$F263,'原子事实记录'!$Q$2:$Q$2001,"是",'原子事实记录'!$R$2:$R$2001,"未知"))</f>
        <v/>
      </c>
      <c r="M263" s="3" t="n"/>
      <c r="N263" s="3" t="n"/>
      <c r="O263" s="5">
        <f>IF(OR(G263="",M263="",N263=""),"",M263+IF(G263="肯定主张正确率",H263,IF(G263="否定主张正确率",K263,IF(G263="灵敏度",H263,K263))))</f>
        <v/>
      </c>
      <c r="P263" s="5">
        <f>IF(OR(G263="",M263="",N263=""),"",N263+IF(G263="肯定主张正确率",I263,IF(G263="否定主张正确率",J263,IF(G263="灵敏度",J263,I263))))</f>
        <v/>
      </c>
      <c r="Q263" s="7">
        <f>IF(OR(O263="",P263=""),"",O263/(O263+P263))</f>
        <v/>
      </c>
      <c r="R263" s="7">
        <f>IF(Q263="","",BETA.INV(0.025,O263,P263))</f>
        <v/>
      </c>
      <c r="S263" s="7">
        <f>IF(Q263="","",BETA.INV(0.975,O263,P263))</f>
        <v/>
      </c>
      <c r="T263" s="5">
        <f>IF(OR(O263="",P263=""),"",O263+P263-M263-N263)</f>
        <v/>
      </c>
      <c r="U263" s="5">
        <f>IF(T263="","先填完整分组",IF(T263&lt;30,"样本太少：仅描述",IF(T263&lt;100,"只作试点候选","可进入独立验证")))</f>
        <v/>
      </c>
      <c r="V263" s="3" t="n"/>
      <c r="W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5">
        <f>IF(COUNTA(A264:G264)&lt;7,"",COUNTIFS('原子事实记录'!$C$2:$C$2001,$D264,'原子事实记录'!$E$2:$E$2001,$A264,'原子事实记录'!$F$2:$F$2001,$B264,'原子事实记录'!$G$2:$G$2001,$C264,'原子事实记录'!$I$2:$I$2001,$E264,'原子事实记录'!$J$2:$J$2001,$F264,'原子事实记录'!$Q$2:$Q$2001,"是",'原子事实记录'!$R$2:$R$2001,"TP"))</f>
        <v/>
      </c>
      <c r="I264" s="5">
        <f>IF(COUNTA(A264:G264)&lt;7,"",COUNTIFS('原子事实记录'!$C$2:$C$2001,$D264,'原子事实记录'!$E$2:$E$2001,$A264,'原子事实记录'!$F$2:$F$2001,$B264,'原子事实记录'!$G$2:$G$2001,$C264,'原子事实记录'!$I$2:$I$2001,$E264,'原子事实记录'!$J$2:$J$2001,$F264,'原子事实记录'!$Q$2:$Q$2001,"是",'原子事实记录'!$R$2:$R$2001,"FP"))</f>
        <v/>
      </c>
      <c r="J264" s="5">
        <f>IF(COUNTA(A264:G264)&lt;7,"",COUNTIFS('原子事实记录'!$C$2:$C$2001,$D264,'原子事实记录'!$E$2:$E$2001,$A264,'原子事实记录'!$F$2:$F$2001,$B264,'原子事实记录'!$G$2:$G$2001,$C264,'原子事实记录'!$I$2:$I$2001,$E264,'原子事实记录'!$J$2:$J$2001,$F264,'原子事实记录'!$Q$2:$Q$2001,"是",'原子事实记录'!$R$2:$R$2001,"FN"))</f>
        <v/>
      </c>
      <c r="K264" s="5">
        <f>IF(COUNTA(A264:G264)&lt;7,"",COUNTIFS('原子事实记录'!$C$2:$C$2001,$D264,'原子事实记录'!$E$2:$E$2001,$A264,'原子事实记录'!$F$2:$F$2001,$B264,'原子事实记录'!$G$2:$G$2001,$C264,'原子事实记录'!$I$2:$I$2001,$E264,'原子事实记录'!$J$2:$J$2001,$F264,'原子事实记录'!$Q$2:$Q$2001,"是",'原子事实记录'!$R$2:$R$2001,"TN"))</f>
        <v/>
      </c>
      <c r="L264" s="5">
        <f>IF(COUNTA(A264:G264)&lt;7,"",COUNTIFS('原子事实记录'!$C$2:$C$2001,$D264,'原子事实记录'!$E$2:$E$2001,$A264,'原子事实记录'!$F$2:$F$2001,$B264,'原子事实记录'!$G$2:$G$2001,$C264,'原子事实记录'!$I$2:$I$2001,$E264,'原子事实记录'!$J$2:$J$2001,$F264,'原子事实记录'!$Q$2:$Q$2001,"是",'原子事实记录'!$R$2:$R$2001,"未知"))</f>
        <v/>
      </c>
      <c r="M264" s="3" t="n"/>
      <c r="N264" s="3" t="n"/>
      <c r="O264" s="5">
        <f>IF(OR(G264="",M264="",N264=""),"",M264+IF(G264="肯定主张正确率",H264,IF(G264="否定主张正确率",K264,IF(G264="灵敏度",H264,K264))))</f>
        <v/>
      </c>
      <c r="P264" s="5">
        <f>IF(OR(G264="",M264="",N264=""),"",N264+IF(G264="肯定主张正确率",I264,IF(G264="否定主张正确率",J264,IF(G264="灵敏度",J264,I264))))</f>
        <v/>
      </c>
      <c r="Q264" s="7">
        <f>IF(OR(O264="",P264=""),"",O264/(O264+P264))</f>
        <v/>
      </c>
      <c r="R264" s="7">
        <f>IF(Q264="","",BETA.INV(0.025,O264,P264))</f>
        <v/>
      </c>
      <c r="S264" s="7">
        <f>IF(Q264="","",BETA.INV(0.975,O264,P264))</f>
        <v/>
      </c>
      <c r="T264" s="5">
        <f>IF(OR(O264="",P264=""),"",O264+P264-M264-N264)</f>
        <v/>
      </c>
      <c r="U264" s="5">
        <f>IF(T264="","先填完整分组",IF(T264&lt;30,"样本太少：仅描述",IF(T264&lt;100,"只作试点候选","可进入独立验证")))</f>
        <v/>
      </c>
      <c r="V264" s="3" t="n"/>
      <c r="W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5">
        <f>IF(COUNTA(A265:G265)&lt;7,"",COUNTIFS('原子事实记录'!$C$2:$C$2001,$D265,'原子事实记录'!$E$2:$E$2001,$A265,'原子事实记录'!$F$2:$F$2001,$B265,'原子事实记录'!$G$2:$G$2001,$C265,'原子事实记录'!$I$2:$I$2001,$E265,'原子事实记录'!$J$2:$J$2001,$F265,'原子事实记录'!$Q$2:$Q$2001,"是",'原子事实记录'!$R$2:$R$2001,"TP"))</f>
        <v/>
      </c>
      <c r="I265" s="5">
        <f>IF(COUNTA(A265:G265)&lt;7,"",COUNTIFS('原子事实记录'!$C$2:$C$2001,$D265,'原子事实记录'!$E$2:$E$2001,$A265,'原子事实记录'!$F$2:$F$2001,$B265,'原子事实记录'!$G$2:$G$2001,$C265,'原子事实记录'!$I$2:$I$2001,$E265,'原子事实记录'!$J$2:$J$2001,$F265,'原子事实记录'!$Q$2:$Q$2001,"是",'原子事实记录'!$R$2:$R$2001,"FP"))</f>
        <v/>
      </c>
      <c r="J265" s="5">
        <f>IF(COUNTA(A265:G265)&lt;7,"",COUNTIFS('原子事实记录'!$C$2:$C$2001,$D265,'原子事实记录'!$E$2:$E$2001,$A265,'原子事实记录'!$F$2:$F$2001,$B265,'原子事实记录'!$G$2:$G$2001,$C265,'原子事实记录'!$I$2:$I$2001,$E265,'原子事实记录'!$J$2:$J$2001,$F265,'原子事实记录'!$Q$2:$Q$2001,"是",'原子事实记录'!$R$2:$R$2001,"FN"))</f>
        <v/>
      </c>
      <c r="K265" s="5">
        <f>IF(COUNTA(A265:G265)&lt;7,"",COUNTIFS('原子事实记录'!$C$2:$C$2001,$D265,'原子事实记录'!$E$2:$E$2001,$A265,'原子事实记录'!$F$2:$F$2001,$B265,'原子事实记录'!$G$2:$G$2001,$C265,'原子事实记录'!$I$2:$I$2001,$E265,'原子事实记录'!$J$2:$J$2001,$F265,'原子事实记录'!$Q$2:$Q$2001,"是",'原子事实记录'!$R$2:$R$2001,"TN"))</f>
        <v/>
      </c>
      <c r="L265" s="5">
        <f>IF(COUNTA(A265:G265)&lt;7,"",COUNTIFS('原子事实记录'!$C$2:$C$2001,$D265,'原子事实记录'!$E$2:$E$2001,$A265,'原子事实记录'!$F$2:$F$2001,$B265,'原子事实记录'!$G$2:$G$2001,$C265,'原子事实记录'!$I$2:$I$2001,$E265,'原子事实记录'!$J$2:$J$2001,$F265,'原子事实记录'!$Q$2:$Q$2001,"是",'原子事实记录'!$R$2:$R$2001,"未知"))</f>
        <v/>
      </c>
      <c r="M265" s="3" t="n"/>
      <c r="N265" s="3" t="n"/>
      <c r="O265" s="5">
        <f>IF(OR(G265="",M265="",N265=""),"",M265+IF(G265="肯定主张正确率",H265,IF(G265="否定主张正确率",K265,IF(G265="灵敏度",H265,K265))))</f>
        <v/>
      </c>
      <c r="P265" s="5">
        <f>IF(OR(G265="",M265="",N265=""),"",N265+IF(G265="肯定主张正确率",I265,IF(G265="否定主张正确率",J265,IF(G265="灵敏度",J265,I265))))</f>
        <v/>
      </c>
      <c r="Q265" s="7">
        <f>IF(OR(O265="",P265=""),"",O265/(O265+P265))</f>
        <v/>
      </c>
      <c r="R265" s="7">
        <f>IF(Q265="","",BETA.INV(0.025,O265,P265))</f>
        <v/>
      </c>
      <c r="S265" s="7">
        <f>IF(Q265="","",BETA.INV(0.975,O265,P265))</f>
        <v/>
      </c>
      <c r="T265" s="5">
        <f>IF(OR(O265="",P265=""),"",O265+P265-M265-N265)</f>
        <v/>
      </c>
      <c r="U265" s="5">
        <f>IF(T265="","先填完整分组",IF(T265&lt;30,"样本太少：仅描述",IF(T265&lt;100,"只作试点候选","可进入独立验证")))</f>
        <v/>
      </c>
      <c r="V265" s="3" t="n"/>
      <c r="W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5">
        <f>IF(COUNTA(A266:G266)&lt;7,"",COUNTIFS('原子事实记录'!$C$2:$C$2001,$D266,'原子事实记录'!$E$2:$E$2001,$A266,'原子事实记录'!$F$2:$F$2001,$B266,'原子事实记录'!$G$2:$G$2001,$C266,'原子事实记录'!$I$2:$I$2001,$E266,'原子事实记录'!$J$2:$J$2001,$F266,'原子事实记录'!$Q$2:$Q$2001,"是",'原子事实记录'!$R$2:$R$2001,"TP"))</f>
        <v/>
      </c>
      <c r="I266" s="5">
        <f>IF(COUNTA(A266:G266)&lt;7,"",COUNTIFS('原子事实记录'!$C$2:$C$2001,$D266,'原子事实记录'!$E$2:$E$2001,$A266,'原子事实记录'!$F$2:$F$2001,$B266,'原子事实记录'!$G$2:$G$2001,$C266,'原子事实记录'!$I$2:$I$2001,$E266,'原子事实记录'!$J$2:$J$2001,$F266,'原子事实记录'!$Q$2:$Q$2001,"是",'原子事实记录'!$R$2:$R$2001,"FP"))</f>
        <v/>
      </c>
      <c r="J266" s="5">
        <f>IF(COUNTA(A266:G266)&lt;7,"",COUNTIFS('原子事实记录'!$C$2:$C$2001,$D266,'原子事实记录'!$E$2:$E$2001,$A266,'原子事实记录'!$F$2:$F$2001,$B266,'原子事实记录'!$G$2:$G$2001,$C266,'原子事实记录'!$I$2:$I$2001,$E266,'原子事实记录'!$J$2:$J$2001,$F266,'原子事实记录'!$Q$2:$Q$2001,"是",'原子事实记录'!$R$2:$R$2001,"FN"))</f>
        <v/>
      </c>
      <c r="K266" s="5">
        <f>IF(COUNTA(A266:G266)&lt;7,"",COUNTIFS('原子事实记录'!$C$2:$C$2001,$D266,'原子事实记录'!$E$2:$E$2001,$A266,'原子事实记录'!$F$2:$F$2001,$B266,'原子事实记录'!$G$2:$G$2001,$C266,'原子事实记录'!$I$2:$I$2001,$E266,'原子事实记录'!$J$2:$J$2001,$F266,'原子事实记录'!$Q$2:$Q$2001,"是",'原子事实记录'!$R$2:$R$2001,"TN"))</f>
        <v/>
      </c>
      <c r="L266" s="5">
        <f>IF(COUNTA(A266:G266)&lt;7,"",COUNTIFS('原子事实记录'!$C$2:$C$2001,$D266,'原子事实记录'!$E$2:$E$2001,$A266,'原子事实记录'!$F$2:$F$2001,$B266,'原子事实记录'!$G$2:$G$2001,$C266,'原子事实记录'!$I$2:$I$2001,$E266,'原子事实记录'!$J$2:$J$2001,$F266,'原子事实记录'!$Q$2:$Q$2001,"是",'原子事实记录'!$R$2:$R$2001,"未知"))</f>
        <v/>
      </c>
      <c r="M266" s="3" t="n"/>
      <c r="N266" s="3" t="n"/>
      <c r="O266" s="5">
        <f>IF(OR(G266="",M266="",N266=""),"",M266+IF(G266="肯定主张正确率",H266,IF(G266="否定主张正确率",K266,IF(G266="灵敏度",H266,K266))))</f>
        <v/>
      </c>
      <c r="P266" s="5">
        <f>IF(OR(G266="",M266="",N266=""),"",N266+IF(G266="肯定主张正确率",I266,IF(G266="否定主张正确率",J266,IF(G266="灵敏度",J266,I266))))</f>
        <v/>
      </c>
      <c r="Q266" s="7">
        <f>IF(OR(O266="",P266=""),"",O266/(O266+P266))</f>
        <v/>
      </c>
      <c r="R266" s="7">
        <f>IF(Q266="","",BETA.INV(0.025,O266,P266))</f>
        <v/>
      </c>
      <c r="S266" s="7">
        <f>IF(Q266="","",BETA.INV(0.975,O266,P266))</f>
        <v/>
      </c>
      <c r="T266" s="5">
        <f>IF(OR(O266="",P266=""),"",O266+P266-M266-N266)</f>
        <v/>
      </c>
      <c r="U266" s="5">
        <f>IF(T266="","先填完整分组",IF(T266&lt;30,"样本太少：仅描述",IF(T266&lt;100,"只作试点候选","可进入独立验证")))</f>
        <v/>
      </c>
      <c r="V266" s="3" t="n"/>
      <c r="W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5">
        <f>IF(COUNTA(A267:G267)&lt;7,"",COUNTIFS('原子事实记录'!$C$2:$C$2001,$D267,'原子事实记录'!$E$2:$E$2001,$A267,'原子事实记录'!$F$2:$F$2001,$B267,'原子事实记录'!$G$2:$G$2001,$C267,'原子事实记录'!$I$2:$I$2001,$E267,'原子事实记录'!$J$2:$J$2001,$F267,'原子事实记录'!$Q$2:$Q$2001,"是",'原子事实记录'!$R$2:$R$2001,"TP"))</f>
        <v/>
      </c>
      <c r="I267" s="5">
        <f>IF(COUNTA(A267:G267)&lt;7,"",COUNTIFS('原子事实记录'!$C$2:$C$2001,$D267,'原子事实记录'!$E$2:$E$2001,$A267,'原子事实记录'!$F$2:$F$2001,$B267,'原子事实记录'!$G$2:$G$2001,$C267,'原子事实记录'!$I$2:$I$2001,$E267,'原子事实记录'!$J$2:$J$2001,$F267,'原子事实记录'!$Q$2:$Q$2001,"是",'原子事实记录'!$R$2:$R$2001,"FP"))</f>
        <v/>
      </c>
      <c r="J267" s="5">
        <f>IF(COUNTA(A267:G267)&lt;7,"",COUNTIFS('原子事实记录'!$C$2:$C$2001,$D267,'原子事实记录'!$E$2:$E$2001,$A267,'原子事实记录'!$F$2:$F$2001,$B267,'原子事实记录'!$G$2:$G$2001,$C267,'原子事实记录'!$I$2:$I$2001,$E267,'原子事实记录'!$J$2:$J$2001,$F267,'原子事实记录'!$Q$2:$Q$2001,"是",'原子事实记录'!$R$2:$R$2001,"FN"))</f>
        <v/>
      </c>
      <c r="K267" s="5">
        <f>IF(COUNTA(A267:G267)&lt;7,"",COUNTIFS('原子事实记录'!$C$2:$C$2001,$D267,'原子事实记录'!$E$2:$E$2001,$A267,'原子事实记录'!$F$2:$F$2001,$B267,'原子事实记录'!$G$2:$G$2001,$C267,'原子事实记录'!$I$2:$I$2001,$E267,'原子事实记录'!$J$2:$J$2001,$F267,'原子事实记录'!$Q$2:$Q$2001,"是",'原子事实记录'!$R$2:$R$2001,"TN"))</f>
        <v/>
      </c>
      <c r="L267" s="5">
        <f>IF(COUNTA(A267:G267)&lt;7,"",COUNTIFS('原子事实记录'!$C$2:$C$2001,$D267,'原子事实记录'!$E$2:$E$2001,$A267,'原子事实记录'!$F$2:$F$2001,$B267,'原子事实记录'!$G$2:$G$2001,$C267,'原子事实记录'!$I$2:$I$2001,$E267,'原子事实记录'!$J$2:$J$2001,$F267,'原子事实记录'!$Q$2:$Q$2001,"是",'原子事实记录'!$R$2:$R$2001,"未知"))</f>
        <v/>
      </c>
      <c r="M267" s="3" t="n"/>
      <c r="N267" s="3" t="n"/>
      <c r="O267" s="5">
        <f>IF(OR(G267="",M267="",N267=""),"",M267+IF(G267="肯定主张正确率",H267,IF(G267="否定主张正确率",K267,IF(G267="灵敏度",H267,K267))))</f>
        <v/>
      </c>
      <c r="P267" s="5">
        <f>IF(OR(G267="",M267="",N267=""),"",N267+IF(G267="肯定主张正确率",I267,IF(G267="否定主张正确率",J267,IF(G267="灵敏度",J267,I267))))</f>
        <v/>
      </c>
      <c r="Q267" s="7">
        <f>IF(OR(O267="",P267=""),"",O267/(O267+P267))</f>
        <v/>
      </c>
      <c r="R267" s="7">
        <f>IF(Q267="","",BETA.INV(0.025,O267,P267))</f>
        <v/>
      </c>
      <c r="S267" s="7">
        <f>IF(Q267="","",BETA.INV(0.975,O267,P267))</f>
        <v/>
      </c>
      <c r="T267" s="5">
        <f>IF(OR(O267="",P267=""),"",O267+P267-M267-N267)</f>
        <v/>
      </c>
      <c r="U267" s="5">
        <f>IF(T267="","先填完整分组",IF(T267&lt;30,"样本太少：仅描述",IF(T267&lt;100,"只作试点候选","可进入独立验证")))</f>
        <v/>
      </c>
      <c r="V267" s="3" t="n"/>
      <c r="W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5">
        <f>IF(COUNTA(A268:G268)&lt;7,"",COUNTIFS('原子事实记录'!$C$2:$C$2001,$D268,'原子事实记录'!$E$2:$E$2001,$A268,'原子事实记录'!$F$2:$F$2001,$B268,'原子事实记录'!$G$2:$G$2001,$C268,'原子事实记录'!$I$2:$I$2001,$E268,'原子事实记录'!$J$2:$J$2001,$F268,'原子事实记录'!$Q$2:$Q$2001,"是",'原子事实记录'!$R$2:$R$2001,"TP"))</f>
        <v/>
      </c>
      <c r="I268" s="5">
        <f>IF(COUNTA(A268:G268)&lt;7,"",COUNTIFS('原子事实记录'!$C$2:$C$2001,$D268,'原子事实记录'!$E$2:$E$2001,$A268,'原子事实记录'!$F$2:$F$2001,$B268,'原子事实记录'!$G$2:$G$2001,$C268,'原子事实记录'!$I$2:$I$2001,$E268,'原子事实记录'!$J$2:$J$2001,$F268,'原子事实记录'!$Q$2:$Q$2001,"是",'原子事实记录'!$R$2:$R$2001,"FP"))</f>
        <v/>
      </c>
      <c r="J268" s="5">
        <f>IF(COUNTA(A268:G268)&lt;7,"",COUNTIFS('原子事实记录'!$C$2:$C$2001,$D268,'原子事实记录'!$E$2:$E$2001,$A268,'原子事实记录'!$F$2:$F$2001,$B268,'原子事实记录'!$G$2:$G$2001,$C268,'原子事实记录'!$I$2:$I$2001,$E268,'原子事实记录'!$J$2:$J$2001,$F268,'原子事实记录'!$Q$2:$Q$2001,"是",'原子事实记录'!$R$2:$R$2001,"FN"))</f>
        <v/>
      </c>
      <c r="K268" s="5">
        <f>IF(COUNTA(A268:G268)&lt;7,"",COUNTIFS('原子事实记录'!$C$2:$C$2001,$D268,'原子事实记录'!$E$2:$E$2001,$A268,'原子事实记录'!$F$2:$F$2001,$B268,'原子事实记录'!$G$2:$G$2001,$C268,'原子事实记录'!$I$2:$I$2001,$E268,'原子事实记录'!$J$2:$J$2001,$F268,'原子事实记录'!$Q$2:$Q$2001,"是",'原子事实记录'!$R$2:$R$2001,"TN"))</f>
        <v/>
      </c>
      <c r="L268" s="5">
        <f>IF(COUNTA(A268:G268)&lt;7,"",COUNTIFS('原子事实记录'!$C$2:$C$2001,$D268,'原子事实记录'!$E$2:$E$2001,$A268,'原子事实记录'!$F$2:$F$2001,$B268,'原子事实记录'!$G$2:$G$2001,$C268,'原子事实记录'!$I$2:$I$2001,$E268,'原子事实记录'!$J$2:$J$2001,$F268,'原子事实记录'!$Q$2:$Q$2001,"是",'原子事实记录'!$R$2:$R$2001,"未知"))</f>
        <v/>
      </c>
      <c r="M268" s="3" t="n"/>
      <c r="N268" s="3" t="n"/>
      <c r="O268" s="5">
        <f>IF(OR(G268="",M268="",N268=""),"",M268+IF(G268="肯定主张正确率",H268,IF(G268="否定主张正确率",K268,IF(G268="灵敏度",H268,K268))))</f>
        <v/>
      </c>
      <c r="P268" s="5">
        <f>IF(OR(G268="",M268="",N268=""),"",N268+IF(G268="肯定主张正确率",I268,IF(G268="否定主张正确率",J268,IF(G268="灵敏度",J268,I268))))</f>
        <v/>
      </c>
      <c r="Q268" s="7">
        <f>IF(OR(O268="",P268=""),"",O268/(O268+P268))</f>
        <v/>
      </c>
      <c r="R268" s="7">
        <f>IF(Q268="","",BETA.INV(0.025,O268,P268))</f>
        <v/>
      </c>
      <c r="S268" s="7">
        <f>IF(Q268="","",BETA.INV(0.975,O268,P268))</f>
        <v/>
      </c>
      <c r="T268" s="5">
        <f>IF(OR(O268="",P268=""),"",O268+P268-M268-N268)</f>
        <v/>
      </c>
      <c r="U268" s="5">
        <f>IF(T268="","先填完整分组",IF(T268&lt;30,"样本太少：仅描述",IF(T268&lt;100,"只作试点候选","可进入独立验证")))</f>
        <v/>
      </c>
      <c r="V268" s="3" t="n"/>
      <c r="W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5">
        <f>IF(COUNTA(A269:G269)&lt;7,"",COUNTIFS('原子事实记录'!$C$2:$C$2001,$D269,'原子事实记录'!$E$2:$E$2001,$A269,'原子事实记录'!$F$2:$F$2001,$B269,'原子事实记录'!$G$2:$G$2001,$C269,'原子事实记录'!$I$2:$I$2001,$E269,'原子事实记录'!$J$2:$J$2001,$F269,'原子事实记录'!$Q$2:$Q$2001,"是",'原子事实记录'!$R$2:$R$2001,"TP"))</f>
        <v/>
      </c>
      <c r="I269" s="5">
        <f>IF(COUNTA(A269:G269)&lt;7,"",COUNTIFS('原子事实记录'!$C$2:$C$2001,$D269,'原子事实记录'!$E$2:$E$2001,$A269,'原子事实记录'!$F$2:$F$2001,$B269,'原子事实记录'!$G$2:$G$2001,$C269,'原子事实记录'!$I$2:$I$2001,$E269,'原子事实记录'!$J$2:$J$2001,$F269,'原子事实记录'!$Q$2:$Q$2001,"是",'原子事实记录'!$R$2:$R$2001,"FP"))</f>
        <v/>
      </c>
      <c r="J269" s="5">
        <f>IF(COUNTA(A269:G269)&lt;7,"",COUNTIFS('原子事实记录'!$C$2:$C$2001,$D269,'原子事实记录'!$E$2:$E$2001,$A269,'原子事实记录'!$F$2:$F$2001,$B269,'原子事实记录'!$G$2:$G$2001,$C269,'原子事实记录'!$I$2:$I$2001,$E269,'原子事实记录'!$J$2:$J$2001,$F269,'原子事实记录'!$Q$2:$Q$2001,"是",'原子事实记录'!$R$2:$R$2001,"FN"))</f>
        <v/>
      </c>
      <c r="K269" s="5">
        <f>IF(COUNTA(A269:G269)&lt;7,"",COUNTIFS('原子事实记录'!$C$2:$C$2001,$D269,'原子事实记录'!$E$2:$E$2001,$A269,'原子事实记录'!$F$2:$F$2001,$B269,'原子事实记录'!$G$2:$G$2001,$C269,'原子事实记录'!$I$2:$I$2001,$E269,'原子事实记录'!$J$2:$J$2001,$F269,'原子事实记录'!$Q$2:$Q$2001,"是",'原子事实记录'!$R$2:$R$2001,"TN"))</f>
        <v/>
      </c>
      <c r="L269" s="5">
        <f>IF(COUNTA(A269:G269)&lt;7,"",COUNTIFS('原子事实记录'!$C$2:$C$2001,$D269,'原子事实记录'!$E$2:$E$2001,$A269,'原子事实记录'!$F$2:$F$2001,$B269,'原子事实记录'!$G$2:$G$2001,$C269,'原子事实记录'!$I$2:$I$2001,$E269,'原子事实记录'!$J$2:$J$2001,$F269,'原子事实记录'!$Q$2:$Q$2001,"是",'原子事实记录'!$R$2:$R$2001,"未知"))</f>
        <v/>
      </c>
      <c r="M269" s="3" t="n"/>
      <c r="N269" s="3" t="n"/>
      <c r="O269" s="5">
        <f>IF(OR(G269="",M269="",N269=""),"",M269+IF(G269="肯定主张正确率",H269,IF(G269="否定主张正确率",K269,IF(G269="灵敏度",H269,K269))))</f>
        <v/>
      </c>
      <c r="P269" s="5">
        <f>IF(OR(G269="",M269="",N269=""),"",N269+IF(G269="肯定主张正确率",I269,IF(G269="否定主张正确率",J269,IF(G269="灵敏度",J269,I269))))</f>
        <v/>
      </c>
      <c r="Q269" s="7">
        <f>IF(OR(O269="",P269=""),"",O269/(O269+P269))</f>
        <v/>
      </c>
      <c r="R269" s="7">
        <f>IF(Q269="","",BETA.INV(0.025,O269,P269))</f>
        <v/>
      </c>
      <c r="S269" s="7">
        <f>IF(Q269="","",BETA.INV(0.975,O269,P269))</f>
        <v/>
      </c>
      <c r="T269" s="5">
        <f>IF(OR(O269="",P269=""),"",O269+P269-M269-N269)</f>
        <v/>
      </c>
      <c r="U269" s="5">
        <f>IF(T269="","先填完整分组",IF(T269&lt;30,"样本太少：仅描述",IF(T269&lt;100,"只作试点候选","可进入独立验证")))</f>
        <v/>
      </c>
      <c r="V269" s="3" t="n"/>
      <c r="W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5">
        <f>IF(COUNTA(A270:G270)&lt;7,"",COUNTIFS('原子事实记录'!$C$2:$C$2001,$D270,'原子事实记录'!$E$2:$E$2001,$A270,'原子事实记录'!$F$2:$F$2001,$B270,'原子事实记录'!$G$2:$G$2001,$C270,'原子事实记录'!$I$2:$I$2001,$E270,'原子事实记录'!$J$2:$J$2001,$F270,'原子事实记录'!$Q$2:$Q$2001,"是",'原子事实记录'!$R$2:$R$2001,"TP"))</f>
        <v/>
      </c>
      <c r="I270" s="5">
        <f>IF(COUNTA(A270:G270)&lt;7,"",COUNTIFS('原子事实记录'!$C$2:$C$2001,$D270,'原子事实记录'!$E$2:$E$2001,$A270,'原子事实记录'!$F$2:$F$2001,$B270,'原子事实记录'!$G$2:$G$2001,$C270,'原子事实记录'!$I$2:$I$2001,$E270,'原子事实记录'!$J$2:$J$2001,$F270,'原子事实记录'!$Q$2:$Q$2001,"是",'原子事实记录'!$R$2:$R$2001,"FP"))</f>
        <v/>
      </c>
      <c r="J270" s="5">
        <f>IF(COUNTA(A270:G270)&lt;7,"",COUNTIFS('原子事实记录'!$C$2:$C$2001,$D270,'原子事实记录'!$E$2:$E$2001,$A270,'原子事实记录'!$F$2:$F$2001,$B270,'原子事实记录'!$G$2:$G$2001,$C270,'原子事实记录'!$I$2:$I$2001,$E270,'原子事实记录'!$J$2:$J$2001,$F270,'原子事实记录'!$Q$2:$Q$2001,"是",'原子事实记录'!$R$2:$R$2001,"FN"))</f>
        <v/>
      </c>
      <c r="K270" s="5">
        <f>IF(COUNTA(A270:G270)&lt;7,"",COUNTIFS('原子事实记录'!$C$2:$C$2001,$D270,'原子事实记录'!$E$2:$E$2001,$A270,'原子事实记录'!$F$2:$F$2001,$B270,'原子事实记录'!$G$2:$G$2001,$C270,'原子事实记录'!$I$2:$I$2001,$E270,'原子事实记录'!$J$2:$J$2001,$F270,'原子事实记录'!$Q$2:$Q$2001,"是",'原子事实记录'!$R$2:$R$2001,"TN"))</f>
        <v/>
      </c>
      <c r="L270" s="5">
        <f>IF(COUNTA(A270:G270)&lt;7,"",COUNTIFS('原子事实记录'!$C$2:$C$2001,$D270,'原子事实记录'!$E$2:$E$2001,$A270,'原子事实记录'!$F$2:$F$2001,$B270,'原子事实记录'!$G$2:$G$2001,$C270,'原子事实记录'!$I$2:$I$2001,$E270,'原子事实记录'!$J$2:$J$2001,$F270,'原子事实记录'!$Q$2:$Q$2001,"是",'原子事实记录'!$R$2:$R$2001,"未知"))</f>
        <v/>
      </c>
      <c r="M270" s="3" t="n"/>
      <c r="N270" s="3" t="n"/>
      <c r="O270" s="5">
        <f>IF(OR(G270="",M270="",N270=""),"",M270+IF(G270="肯定主张正确率",H270,IF(G270="否定主张正确率",K270,IF(G270="灵敏度",H270,K270))))</f>
        <v/>
      </c>
      <c r="P270" s="5">
        <f>IF(OR(G270="",M270="",N270=""),"",N270+IF(G270="肯定主张正确率",I270,IF(G270="否定主张正确率",J270,IF(G270="灵敏度",J270,I270))))</f>
        <v/>
      </c>
      <c r="Q270" s="7">
        <f>IF(OR(O270="",P270=""),"",O270/(O270+P270))</f>
        <v/>
      </c>
      <c r="R270" s="7">
        <f>IF(Q270="","",BETA.INV(0.025,O270,P270))</f>
        <v/>
      </c>
      <c r="S270" s="7">
        <f>IF(Q270="","",BETA.INV(0.975,O270,P270))</f>
        <v/>
      </c>
      <c r="T270" s="5">
        <f>IF(OR(O270="",P270=""),"",O270+P270-M270-N270)</f>
        <v/>
      </c>
      <c r="U270" s="5">
        <f>IF(T270="","先填完整分组",IF(T270&lt;30,"样本太少：仅描述",IF(T270&lt;100,"只作试点候选","可进入独立验证")))</f>
        <v/>
      </c>
      <c r="V270" s="3" t="n"/>
      <c r="W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5">
        <f>IF(COUNTA(A271:G271)&lt;7,"",COUNTIFS('原子事实记录'!$C$2:$C$2001,$D271,'原子事实记录'!$E$2:$E$2001,$A271,'原子事实记录'!$F$2:$F$2001,$B271,'原子事实记录'!$G$2:$G$2001,$C271,'原子事实记录'!$I$2:$I$2001,$E271,'原子事实记录'!$J$2:$J$2001,$F271,'原子事实记录'!$Q$2:$Q$2001,"是",'原子事实记录'!$R$2:$R$2001,"TP"))</f>
        <v/>
      </c>
      <c r="I271" s="5">
        <f>IF(COUNTA(A271:G271)&lt;7,"",COUNTIFS('原子事实记录'!$C$2:$C$2001,$D271,'原子事实记录'!$E$2:$E$2001,$A271,'原子事实记录'!$F$2:$F$2001,$B271,'原子事实记录'!$G$2:$G$2001,$C271,'原子事实记录'!$I$2:$I$2001,$E271,'原子事实记录'!$J$2:$J$2001,$F271,'原子事实记录'!$Q$2:$Q$2001,"是",'原子事实记录'!$R$2:$R$2001,"FP"))</f>
        <v/>
      </c>
      <c r="J271" s="5">
        <f>IF(COUNTA(A271:G271)&lt;7,"",COUNTIFS('原子事实记录'!$C$2:$C$2001,$D271,'原子事实记录'!$E$2:$E$2001,$A271,'原子事实记录'!$F$2:$F$2001,$B271,'原子事实记录'!$G$2:$G$2001,$C271,'原子事实记录'!$I$2:$I$2001,$E271,'原子事实记录'!$J$2:$J$2001,$F271,'原子事实记录'!$Q$2:$Q$2001,"是",'原子事实记录'!$R$2:$R$2001,"FN"))</f>
        <v/>
      </c>
      <c r="K271" s="5">
        <f>IF(COUNTA(A271:G271)&lt;7,"",COUNTIFS('原子事实记录'!$C$2:$C$2001,$D271,'原子事实记录'!$E$2:$E$2001,$A271,'原子事实记录'!$F$2:$F$2001,$B271,'原子事实记录'!$G$2:$G$2001,$C271,'原子事实记录'!$I$2:$I$2001,$E271,'原子事实记录'!$J$2:$J$2001,$F271,'原子事实记录'!$Q$2:$Q$2001,"是",'原子事实记录'!$R$2:$R$2001,"TN"))</f>
        <v/>
      </c>
      <c r="L271" s="5">
        <f>IF(COUNTA(A271:G271)&lt;7,"",COUNTIFS('原子事实记录'!$C$2:$C$2001,$D271,'原子事实记录'!$E$2:$E$2001,$A271,'原子事实记录'!$F$2:$F$2001,$B271,'原子事实记录'!$G$2:$G$2001,$C271,'原子事实记录'!$I$2:$I$2001,$E271,'原子事实记录'!$J$2:$J$2001,$F271,'原子事实记录'!$Q$2:$Q$2001,"是",'原子事实记录'!$R$2:$R$2001,"未知"))</f>
        <v/>
      </c>
      <c r="M271" s="3" t="n"/>
      <c r="N271" s="3" t="n"/>
      <c r="O271" s="5">
        <f>IF(OR(G271="",M271="",N271=""),"",M271+IF(G271="肯定主张正确率",H271,IF(G271="否定主张正确率",K271,IF(G271="灵敏度",H271,K271))))</f>
        <v/>
      </c>
      <c r="P271" s="5">
        <f>IF(OR(G271="",M271="",N271=""),"",N271+IF(G271="肯定主张正确率",I271,IF(G271="否定主张正确率",J271,IF(G271="灵敏度",J271,I271))))</f>
        <v/>
      </c>
      <c r="Q271" s="7">
        <f>IF(OR(O271="",P271=""),"",O271/(O271+P271))</f>
        <v/>
      </c>
      <c r="R271" s="7">
        <f>IF(Q271="","",BETA.INV(0.025,O271,P271))</f>
        <v/>
      </c>
      <c r="S271" s="7">
        <f>IF(Q271="","",BETA.INV(0.975,O271,P271))</f>
        <v/>
      </c>
      <c r="T271" s="5">
        <f>IF(OR(O271="",P271=""),"",O271+P271-M271-N271)</f>
        <v/>
      </c>
      <c r="U271" s="5">
        <f>IF(T271="","先填完整分组",IF(T271&lt;30,"样本太少：仅描述",IF(T271&lt;100,"只作试点候选","可进入独立验证")))</f>
        <v/>
      </c>
      <c r="V271" s="3" t="n"/>
      <c r="W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5">
        <f>IF(COUNTA(A272:G272)&lt;7,"",COUNTIFS('原子事实记录'!$C$2:$C$2001,$D272,'原子事实记录'!$E$2:$E$2001,$A272,'原子事实记录'!$F$2:$F$2001,$B272,'原子事实记录'!$G$2:$G$2001,$C272,'原子事实记录'!$I$2:$I$2001,$E272,'原子事实记录'!$J$2:$J$2001,$F272,'原子事实记录'!$Q$2:$Q$2001,"是",'原子事实记录'!$R$2:$R$2001,"TP"))</f>
        <v/>
      </c>
      <c r="I272" s="5">
        <f>IF(COUNTA(A272:G272)&lt;7,"",COUNTIFS('原子事实记录'!$C$2:$C$2001,$D272,'原子事实记录'!$E$2:$E$2001,$A272,'原子事实记录'!$F$2:$F$2001,$B272,'原子事实记录'!$G$2:$G$2001,$C272,'原子事实记录'!$I$2:$I$2001,$E272,'原子事实记录'!$J$2:$J$2001,$F272,'原子事实记录'!$Q$2:$Q$2001,"是",'原子事实记录'!$R$2:$R$2001,"FP"))</f>
        <v/>
      </c>
      <c r="J272" s="5">
        <f>IF(COUNTA(A272:G272)&lt;7,"",COUNTIFS('原子事实记录'!$C$2:$C$2001,$D272,'原子事实记录'!$E$2:$E$2001,$A272,'原子事实记录'!$F$2:$F$2001,$B272,'原子事实记录'!$G$2:$G$2001,$C272,'原子事实记录'!$I$2:$I$2001,$E272,'原子事实记录'!$J$2:$J$2001,$F272,'原子事实记录'!$Q$2:$Q$2001,"是",'原子事实记录'!$R$2:$R$2001,"FN"))</f>
        <v/>
      </c>
      <c r="K272" s="5">
        <f>IF(COUNTA(A272:G272)&lt;7,"",COUNTIFS('原子事实记录'!$C$2:$C$2001,$D272,'原子事实记录'!$E$2:$E$2001,$A272,'原子事实记录'!$F$2:$F$2001,$B272,'原子事实记录'!$G$2:$G$2001,$C272,'原子事实记录'!$I$2:$I$2001,$E272,'原子事实记录'!$J$2:$J$2001,$F272,'原子事实记录'!$Q$2:$Q$2001,"是",'原子事实记录'!$R$2:$R$2001,"TN"))</f>
        <v/>
      </c>
      <c r="L272" s="5">
        <f>IF(COUNTA(A272:G272)&lt;7,"",COUNTIFS('原子事实记录'!$C$2:$C$2001,$D272,'原子事实记录'!$E$2:$E$2001,$A272,'原子事实记录'!$F$2:$F$2001,$B272,'原子事实记录'!$G$2:$G$2001,$C272,'原子事实记录'!$I$2:$I$2001,$E272,'原子事实记录'!$J$2:$J$2001,$F272,'原子事实记录'!$Q$2:$Q$2001,"是",'原子事实记录'!$R$2:$R$2001,"未知"))</f>
        <v/>
      </c>
      <c r="M272" s="3" t="n"/>
      <c r="N272" s="3" t="n"/>
      <c r="O272" s="5">
        <f>IF(OR(G272="",M272="",N272=""),"",M272+IF(G272="肯定主张正确率",H272,IF(G272="否定主张正确率",K272,IF(G272="灵敏度",H272,K272))))</f>
        <v/>
      </c>
      <c r="P272" s="5">
        <f>IF(OR(G272="",M272="",N272=""),"",N272+IF(G272="肯定主张正确率",I272,IF(G272="否定主张正确率",J272,IF(G272="灵敏度",J272,I272))))</f>
        <v/>
      </c>
      <c r="Q272" s="7">
        <f>IF(OR(O272="",P272=""),"",O272/(O272+P272))</f>
        <v/>
      </c>
      <c r="R272" s="7">
        <f>IF(Q272="","",BETA.INV(0.025,O272,P272))</f>
        <v/>
      </c>
      <c r="S272" s="7">
        <f>IF(Q272="","",BETA.INV(0.975,O272,P272))</f>
        <v/>
      </c>
      <c r="T272" s="5">
        <f>IF(OR(O272="",P272=""),"",O272+P272-M272-N272)</f>
        <v/>
      </c>
      <c r="U272" s="5">
        <f>IF(T272="","先填完整分组",IF(T272&lt;30,"样本太少：仅描述",IF(T272&lt;100,"只作试点候选","可进入独立验证")))</f>
        <v/>
      </c>
      <c r="V272" s="3" t="n"/>
      <c r="W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5">
        <f>IF(COUNTA(A273:G273)&lt;7,"",COUNTIFS('原子事实记录'!$C$2:$C$2001,$D273,'原子事实记录'!$E$2:$E$2001,$A273,'原子事实记录'!$F$2:$F$2001,$B273,'原子事实记录'!$G$2:$G$2001,$C273,'原子事实记录'!$I$2:$I$2001,$E273,'原子事实记录'!$J$2:$J$2001,$F273,'原子事实记录'!$Q$2:$Q$2001,"是",'原子事实记录'!$R$2:$R$2001,"TP"))</f>
        <v/>
      </c>
      <c r="I273" s="5">
        <f>IF(COUNTA(A273:G273)&lt;7,"",COUNTIFS('原子事实记录'!$C$2:$C$2001,$D273,'原子事实记录'!$E$2:$E$2001,$A273,'原子事实记录'!$F$2:$F$2001,$B273,'原子事实记录'!$G$2:$G$2001,$C273,'原子事实记录'!$I$2:$I$2001,$E273,'原子事实记录'!$J$2:$J$2001,$F273,'原子事实记录'!$Q$2:$Q$2001,"是",'原子事实记录'!$R$2:$R$2001,"FP"))</f>
        <v/>
      </c>
      <c r="J273" s="5">
        <f>IF(COUNTA(A273:G273)&lt;7,"",COUNTIFS('原子事实记录'!$C$2:$C$2001,$D273,'原子事实记录'!$E$2:$E$2001,$A273,'原子事实记录'!$F$2:$F$2001,$B273,'原子事实记录'!$G$2:$G$2001,$C273,'原子事实记录'!$I$2:$I$2001,$E273,'原子事实记录'!$J$2:$J$2001,$F273,'原子事实记录'!$Q$2:$Q$2001,"是",'原子事实记录'!$R$2:$R$2001,"FN"))</f>
        <v/>
      </c>
      <c r="K273" s="5">
        <f>IF(COUNTA(A273:G273)&lt;7,"",COUNTIFS('原子事实记录'!$C$2:$C$2001,$D273,'原子事实记录'!$E$2:$E$2001,$A273,'原子事实记录'!$F$2:$F$2001,$B273,'原子事实记录'!$G$2:$G$2001,$C273,'原子事实记录'!$I$2:$I$2001,$E273,'原子事实记录'!$J$2:$J$2001,$F273,'原子事实记录'!$Q$2:$Q$2001,"是",'原子事实记录'!$R$2:$R$2001,"TN"))</f>
        <v/>
      </c>
      <c r="L273" s="5">
        <f>IF(COUNTA(A273:G273)&lt;7,"",COUNTIFS('原子事实记录'!$C$2:$C$2001,$D273,'原子事实记录'!$E$2:$E$2001,$A273,'原子事实记录'!$F$2:$F$2001,$B273,'原子事实记录'!$G$2:$G$2001,$C273,'原子事实记录'!$I$2:$I$2001,$E273,'原子事实记录'!$J$2:$J$2001,$F273,'原子事实记录'!$Q$2:$Q$2001,"是",'原子事实记录'!$R$2:$R$2001,"未知"))</f>
        <v/>
      </c>
      <c r="M273" s="3" t="n"/>
      <c r="N273" s="3" t="n"/>
      <c r="O273" s="5">
        <f>IF(OR(G273="",M273="",N273=""),"",M273+IF(G273="肯定主张正确率",H273,IF(G273="否定主张正确率",K273,IF(G273="灵敏度",H273,K273))))</f>
        <v/>
      </c>
      <c r="P273" s="5">
        <f>IF(OR(G273="",M273="",N273=""),"",N273+IF(G273="肯定主张正确率",I273,IF(G273="否定主张正确率",J273,IF(G273="灵敏度",J273,I273))))</f>
        <v/>
      </c>
      <c r="Q273" s="7">
        <f>IF(OR(O273="",P273=""),"",O273/(O273+P273))</f>
        <v/>
      </c>
      <c r="R273" s="7">
        <f>IF(Q273="","",BETA.INV(0.025,O273,P273))</f>
        <v/>
      </c>
      <c r="S273" s="7">
        <f>IF(Q273="","",BETA.INV(0.975,O273,P273))</f>
        <v/>
      </c>
      <c r="T273" s="5">
        <f>IF(OR(O273="",P273=""),"",O273+P273-M273-N273)</f>
        <v/>
      </c>
      <c r="U273" s="5">
        <f>IF(T273="","先填完整分组",IF(T273&lt;30,"样本太少：仅描述",IF(T273&lt;100,"只作试点候选","可进入独立验证")))</f>
        <v/>
      </c>
      <c r="V273" s="3" t="n"/>
      <c r="W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5">
        <f>IF(COUNTA(A274:G274)&lt;7,"",COUNTIFS('原子事实记录'!$C$2:$C$2001,$D274,'原子事实记录'!$E$2:$E$2001,$A274,'原子事实记录'!$F$2:$F$2001,$B274,'原子事实记录'!$G$2:$G$2001,$C274,'原子事实记录'!$I$2:$I$2001,$E274,'原子事实记录'!$J$2:$J$2001,$F274,'原子事实记录'!$Q$2:$Q$2001,"是",'原子事实记录'!$R$2:$R$2001,"TP"))</f>
        <v/>
      </c>
      <c r="I274" s="5">
        <f>IF(COUNTA(A274:G274)&lt;7,"",COUNTIFS('原子事实记录'!$C$2:$C$2001,$D274,'原子事实记录'!$E$2:$E$2001,$A274,'原子事实记录'!$F$2:$F$2001,$B274,'原子事实记录'!$G$2:$G$2001,$C274,'原子事实记录'!$I$2:$I$2001,$E274,'原子事实记录'!$J$2:$J$2001,$F274,'原子事实记录'!$Q$2:$Q$2001,"是",'原子事实记录'!$R$2:$R$2001,"FP"))</f>
        <v/>
      </c>
      <c r="J274" s="5">
        <f>IF(COUNTA(A274:G274)&lt;7,"",COUNTIFS('原子事实记录'!$C$2:$C$2001,$D274,'原子事实记录'!$E$2:$E$2001,$A274,'原子事实记录'!$F$2:$F$2001,$B274,'原子事实记录'!$G$2:$G$2001,$C274,'原子事实记录'!$I$2:$I$2001,$E274,'原子事实记录'!$J$2:$J$2001,$F274,'原子事实记录'!$Q$2:$Q$2001,"是",'原子事实记录'!$R$2:$R$2001,"FN"))</f>
        <v/>
      </c>
      <c r="K274" s="5">
        <f>IF(COUNTA(A274:G274)&lt;7,"",COUNTIFS('原子事实记录'!$C$2:$C$2001,$D274,'原子事实记录'!$E$2:$E$2001,$A274,'原子事实记录'!$F$2:$F$2001,$B274,'原子事实记录'!$G$2:$G$2001,$C274,'原子事实记录'!$I$2:$I$2001,$E274,'原子事实记录'!$J$2:$J$2001,$F274,'原子事实记录'!$Q$2:$Q$2001,"是",'原子事实记录'!$R$2:$R$2001,"TN"))</f>
        <v/>
      </c>
      <c r="L274" s="5">
        <f>IF(COUNTA(A274:G274)&lt;7,"",COUNTIFS('原子事实记录'!$C$2:$C$2001,$D274,'原子事实记录'!$E$2:$E$2001,$A274,'原子事实记录'!$F$2:$F$2001,$B274,'原子事实记录'!$G$2:$G$2001,$C274,'原子事实记录'!$I$2:$I$2001,$E274,'原子事实记录'!$J$2:$J$2001,$F274,'原子事实记录'!$Q$2:$Q$2001,"是",'原子事实记录'!$R$2:$R$2001,"未知"))</f>
        <v/>
      </c>
      <c r="M274" s="3" t="n"/>
      <c r="N274" s="3" t="n"/>
      <c r="O274" s="5">
        <f>IF(OR(G274="",M274="",N274=""),"",M274+IF(G274="肯定主张正确率",H274,IF(G274="否定主张正确率",K274,IF(G274="灵敏度",H274,K274))))</f>
        <v/>
      </c>
      <c r="P274" s="5">
        <f>IF(OR(G274="",M274="",N274=""),"",N274+IF(G274="肯定主张正确率",I274,IF(G274="否定主张正确率",J274,IF(G274="灵敏度",J274,I274))))</f>
        <v/>
      </c>
      <c r="Q274" s="7">
        <f>IF(OR(O274="",P274=""),"",O274/(O274+P274))</f>
        <v/>
      </c>
      <c r="R274" s="7">
        <f>IF(Q274="","",BETA.INV(0.025,O274,P274))</f>
        <v/>
      </c>
      <c r="S274" s="7">
        <f>IF(Q274="","",BETA.INV(0.975,O274,P274))</f>
        <v/>
      </c>
      <c r="T274" s="5">
        <f>IF(OR(O274="",P274=""),"",O274+P274-M274-N274)</f>
        <v/>
      </c>
      <c r="U274" s="5">
        <f>IF(T274="","先填完整分组",IF(T274&lt;30,"样本太少：仅描述",IF(T274&lt;100,"只作试点候选","可进入独立验证")))</f>
        <v/>
      </c>
      <c r="V274" s="3" t="n"/>
      <c r="W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5">
        <f>IF(COUNTA(A275:G275)&lt;7,"",COUNTIFS('原子事实记录'!$C$2:$C$2001,$D275,'原子事实记录'!$E$2:$E$2001,$A275,'原子事实记录'!$F$2:$F$2001,$B275,'原子事实记录'!$G$2:$G$2001,$C275,'原子事实记录'!$I$2:$I$2001,$E275,'原子事实记录'!$J$2:$J$2001,$F275,'原子事实记录'!$Q$2:$Q$2001,"是",'原子事实记录'!$R$2:$R$2001,"TP"))</f>
        <v/>
      </c>
      <c r="I275" s="5">
        <f>IF(COUNTA(A275:G275)&lt;7,"",COUNTIFS('原子事实记录'!$C$2:$C$2001,$D275,'原子事实记录'!$E$2:$E$2001,$A275,'原子事实记录'!$F$2:$F$2001,$B275,'原子事实记录'!$G$2:$G$2001,$C275,'原子事实记录'!$I$2:$I$2001,$E275,'原子事实记录'!$J$2:$J$2001,$F275,'原子事实记录'!$Q$2:$Q$2001,"是",'原子事实记录'!$R$2:$R$2001,"FP"))</f>
        <v/>
      </c>
      <c r="J275" s="5">
        <f>IF(COUNTA(A275:G275)&lt;7,"",COUNTIFS('原子事实记录'!$C$2:$C$2001,$D275,'原子事实记录'!$E$2:$E$2001,$A275,'原子事实记录'!$F$2:$F$2001,$B275,'原子事实记录'!$G$2:$G$2001,$C275,'原子事实记录'!$I$2:$I$2001,$E275,'原子事实记录'!$J$2:$J$2001,$F275,'原子事实记录'!$Q$2:$Q$2001,"是",'原子事实记录'!$R$2:$R$2001,"FN"))</f>
        <v/>
      </c>
      <c r="K275" s="5">
        <f>IF(COUNTA(A275:G275)&lt;7,"",COUNTIFS('原子事实记录'!$C$2:$C$2001,$D275,'原子事实记录'!$E$2:$E$2001,$A275,'原子事实记录'!$F$2:$F$2001,$B275,'原子事实记录'!$G$2:$G$2001,$C275,'原子事实记录'!$I$2:$I$2001,$E275,'原子事实记录'!$J$2:$J$2001,$F275,'原子事实记录'!$Q$2:$Q$2001,"是",'原子事实记录'!$R$2:$R$2001,"TN"))</f>
        <v/>
      </c>
      <c r="L275" s="5">
        <f>IF(COUNTA(A275:G275)&lt;7,"",COUNTIFS('原子事实记录'!$C$2:$C$2001,$D275,'原子事实记录'!$E$2:$E$2001,$A275,'原子事实记录'!$F$2:$F$2001,$B275,'原子事实记录'!$G$2:$G$2001,$C275,'原子事实记录'!$I$2:$I$2001,$E275,'原子事实记录'!$J$2:$J$2001,$F275,'原子事实记录'!$Q$2:$Q$2001,"是",'原子事实记录'!$R$2:$R$2001,"未知"))</f>
        <v/>
      </c>
      <c r="M275" s="3" t="n"/>
      <c r="N275" s="3" t="n"/>
      <c r="O275" s="5">
        <f>IF(OR(G275="",M275="",N275=""),"",M275+IF(G275="肯定主张正确率",H275,IF(G275="否定主张正确率",K275,IF(G275="灵敏度",H275,K275))))</f>
        <v/>
      </c>
      <c r="P275" s="5">
        <f>IF(OR(G275="",M275="",N275=""),"",N275+IF(G275="肯定主张正确率",I275,IF(G275="否定主张正确率",J275,IF(G275="灵敏度",J275,I275))))</f>
        <v/>
      </c>
      <c r="Q275" s="7">
        <f>IF(OR(O275="",P275=""),"",O275/(O275+P275))</f>
        <v/>
      </c>
      <c r="R275" s="7">
        <f>IF(Q275="","",BETA.INV(0.025,O275,P275))</f>
        <v/>
      </c>
      <c r="S275" s="7">
        <f>IF(Q275="","",BETA.INV(0.975,O275,P275))</f>
        <v/>
      </c>
      <c r="T275" s="5">
        <f>IF(OR(O275="",P275=""),"",O275+P275-M275-N275)</f>
        <v/>
      </c>
      <c r="U275" s="5">
        <f>IF(T275="","先填完整分组",IF(T275&lt;30,"样本太少：仅描述",IF(T275&lt;100,"只作试点候选","可进入独立验证")))</f>
        <v/>
      </c>
      <c r="V275" s="3" t="n"/>
      <c r="W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5">
        <f>IF(COUNTA(A276:G276)&lt;7,"",COUNTIFS('原子事实记录'!$C$2:$C$2001,$D276,'原子事实记录'!$E$2:$E$2001,$A276,'原子事实记录'!$F$2:$F$2001,$B276,'原子事实记录'!$G$2:$G$2001,$C276,'原子事实记录'!$I$2:$I$2001,$E276,'原子事实记录'!$J$2:$J$2001,$F276,'原子事实记录'!$Q$2:$Q$2001,"是",'原子事实记录'!$R$2:$R$2001,"TP"))</f>
        <v/>
      </c>
      <c r="I276" s="5">
        <f>IF(COUNTA(A276:G276)&lt;7,"",COUNTIFS('原子事实记录'!$C$2:$C$2001,$D276,'原子事实记录'!$E$2:$E$2001,$A276,'原子事实记录'!$F$2:$F$2001,$B276,'原子事实记录'!$G$2:$G$2001,$C276,'原子事实记录'!$I$2:$I$2001,$E276,'原子事实记录'!$J$2:$J$2001,$F276,'原子事实记录'!$Q$2:$Q$2001,"是",'原子事实记录'!$R$2:$R$2001,"FP"))</f>
        <v/>
      </c>
      <c r="J276" s="5">
        <f>IF(COUNTA(A276:G276)&lt;7,"",COUNTIFS('原子事实记录'!$C$2:$C$2001,$D276,'原子事实记录'!$E$2:$E$2001,$A276,'原子事实记录'!$F$2:$F$2001,$B276,'原子事实记录'!$G$2:$G$2001,$C276,'原子事实记录'!$I$2:$I$2001,$E276,'原子事实记录'!$J$2:$J$2001,$F276,'原子事实记录'!$Q$2:$Q$2001,"是",'原子事实记录'!$R$2:$R$2001,"FN"))</f>
        <v/>
      </c>
      <c r="K276" s="5">
        <f>IF(COUNTA(A276:G276)&lt;7,"",COUNTIFS('原子事实记录'!$C$2:$C$2001,$D276,'原子事实记录'!$E$2:$E$2001,$A276,'原子事实记录'!$F$2:$F$2001,$B276,'原子事实记录'!$G$2:$G$2001,$C276,'原子事实记录'!$I$2:$I$2001,$E276,'原子事实记录'!$J$2:$J$2001,$F276,'原子事实记录'!$Q$2:$Q$2001,"是",'原子事实记录'!$R$2:$R$2001,"TN"))</f>
        <v/>
      </c>
      <c r="L276" s="5">
        <f>IF(COUNTA(A276:G276)&lt;7,"",COUNTIFS('原子事实记录'!$C$2:$C$2001,$D276,'原子事实记录'!$E$2:$E$2001,$A276,'原子事实记录'!$F$2:$F$2001,$B276,'原子事实记录'!$G$2:$G$2001,$C276,'原子事实记录'!$I$2:$I$2001,$E276,'原子事实记录'!$J$2:$J$2001,$F276,'原子事实记录'!$Q$2:$Q$2001,"是",'原子事实记录'!$R$2:$R$2001,"未知"))</f>
        <v/>
      </c>
      <c r="M276" s="3" t="n"/>
      <c r="N276" s="3" t="n"/>
      <c r="O276" s="5">
        <f>IF(OR(G276="",M276="",N276=""),"",M276+IF(G276="肯定主张正确率",H276,IF(G276="否定主张正确率",K276,IF(G276="灵敏度",H276,K276))))</f>
        <v/>
      </c>
      <c r="P276" s="5">
        <f>IF(OR(G276="",M276="",N276=""),"",N276+IF(G276="肯定主张正确率",I276,IF(G276="否定主张正确率",J276,IF(G276="灵敏度",J276,I276))))</f>
        <v/>
      </c>
      <c r="Q276" s="7">
        <f>IF(OR(O276="",P276=""),"",O276/(O276+P276))</f>
        <v/>
      </c>
      <c r="R276" s="7">
        <f>IF(Q276="","",BETA.INV(0.025,O276,P276))</f>
        <v/>
      </c>
      <c r="S276" s="7">
        <f>IF(Q276="","",BETA.INV(0.975,O276,P276))</f>
        <v/>
      </c>
      <c r="T276" s="5">
        <f>IF(OR(O276="",P276=""),"",O276+P276-M276-N276)</f>
        <v/>
      </c>
      <c r="U276" s="5">
        <f>IF(T276="","先填完整分组",IF(T276&lt;30,"样本太少：仅描述",IF(T276&lt;100,"只作试点候选","可进入独立验证")))</f>
        <v/>
      </c>
      <c r="V276" s="3" t="n"/>
      <c r="W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5">
        <f>IF(COUNTA(A277:G277)&lt;7,"",COUNTIFS('原子事实记录'!$C$2:$C$2001,$D277,'原子事实记录'!$E$2:$E$2001,$A277,'原子事实记录'!$F$2:$F$2001,$B277,'原子事实记录'!$G$2:$G$2001,$C277,'原子事实记录'!$I$2:$I$2001,$E277,'原子事实记录'!$J$2:$J$2001,$F277,'原子事实记录'!$Q$2:$Q$2001,"是",'原子事实记录'!$R$2:$R$2001,"TP"))</f>
        <v/>
      </c>
      <c r="I277" s="5">
        <f>IF(COUNTA(A277:G277)&lt;7,"",COUNTIFS('原子事实记录'!$C$2:$C$2001,$D277,'原子事实记录'!$E$2:$E$2001,$A277,'原子事实记录'!$F$2:$F$2001,$B277,'原子事实记录'!$G$2:$G$2001,$C277,'原子事实记录'!$I$2:$I$2001,$E277,'原子事实记录'!$J$2:$J$2001,$F277,'原子事实记录'!$Q$2:$Q$2001,"是",'原子事实记录'!$R$2:$R$2001,"FP"))</f>
        <v/>
      </c>
      <c r="J277" s="5">
        <f>IF(COUNTA(A277:G277)&lt;7,"",COUNTIFS('原子事实记录'!$C$2:$C$2001,$D277,'原子事实记录'!$E$2:$E$2001,$A277,'原子事实记录'!$F$2:$F$2001,$B277,'原子事实记录'!$G$2:$G$2001,$C277,'原子事实记录'!$I$2:$I$2001,$E277,'原子事实记录'!$J$2:$J$2001,$F277,'原子事实记录'!$Q$2:$Q$2001,"是",'原子事实记录'!$R$2:$R$2001,"FN"))</f>
        <v/>
      </c>
      <c r="K277" s="5">
        <f>IF(COUNTA(A277:G277)&lt;7,"",COUNTIFS('原子事实记录'!$C$2:$C$2001,$D277,'原子事实记录'!$E$2:$E$2001,$A277,'原子事实记录'!$F$2:$F$2001,$B277,'原子事实记录'!$G$2:$G$2001,$C277,'原子事实记录'!$I$2:$I$2001,$E277,'原子事实记录'!$J$2:$J$2001,$F277,'原子事实记录'!$Q$2:$Q$2001,"是",'原子事实记录'!$R$2:$R$2001,"TN"))</f>
        <v/>
      </c>
      <c r="L277" s="5">
        <f>IF(COUNTA(A277:G277)&lt;7,"",COUNTIFS('原子事实记录'!$C$2:$C$2001,$D277,'原子事实记录'!$E$2:$E$2001,$A277,'原子事实记录'!$F$2:$F$2001,$B277,'原子事实记录'!$G$2:$G$2001,$C277,'原子事实记录'!$I$2:$I$2001,$E277,'原子事实记录'!$J$2:$J$2001,$F277,'原子事实记录'!$Q$2:$Q$2001,"是",'原子事实记录'!$R$2:$R$2001,"未知"))</f>
        <v/>
      </c>
      <c r="M277" s="3" t="n"/>
      <c r="N277" s="3" t="n"/>
      <c r="O277" s="5">
        <f>IF(OR(G277="",M277="",N277=""),"",M277+IF(G277="肯定主张正确率",H277,IF(G277="否定主张正确率",K277,IF(G277="灵敏度",H277,K277))))</f>
        <v/>
      </c>
      <c r="P277" s="5">
        <f>IF(OR(G277="",M277="",N277=""),"",N277+IF(G277="肯定主张正确率",I277,IF(G277="否定主张正确率",J277,IF(G277="灵敏度",J277,I277))))</f>
        <v/>
      </c>
      <c r="Q277" s="7">
        <f>IF(OR(O277="",P277=""),"",O277/(O277+P277))</f>
        <v/>
      </c>
      <c r="R277" s="7">
        <f>IF(Q277="","",BETA.INV(0.025,O277,P277))</f>
        <v/>
      </c>
      <c r="S277" s="7">
        <f>IF(Q277="","",BETA.INV(0.975,O277,P277))</f>
        <v/>
      </c>
      <c r="T277" s="5">
        <f>IF(OR(O277="",P277=""),"",O277+P277-M277-N277)</f>
        <v/>
      </c>
      <c r="U277" s="5">
        <f>IF(T277="","先填完整分组",IF(T277&lt;30,"样本太少：仅描述",IF(T277&lt;100,"只作试点候选","可进入独立验证")))</f>
        <v/>
      </c>
      <c r="V277" s="3" t="n"/>
      <c r="W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5">
        <f>IF(COUNTA(A278:G278)&lt;7,"",COUNTIFS('原子事实记录'!$C$2:$C$2001,$D278,'原子事实记录'!$E$2:$E$2001,$A278,'原子事实记录'!$F$2:$F$2001,$B278,'原子事实记录'!$G$2:$G$2001,$C278,'原子事实记录'!$I$2:$I$2001,$E278,'原子事实记录'!$J$2:$J$2001,$F278,'原子事实记录'!$Q$2:$Q$2001,"是",'原子事实记录'!$R$2:$R$2001,"TP"))</f>
        <v/>
      </c>
      <c r="I278" s="5">
        <f>IF(COUNTA(A278:G278)&lt;7,"",COUNTIFS('原子事实记录'!$C$2:$C$2001,$D278,'原子事实记录'!$E$2:$E$2001,$A278,'原子事实记录'!$F$2:$F$2001,$B278,'原子事实记录'!$G$2:$G$2001,$C278,'原子事实记录'!$I$2:$I$2001,$E278,'原子事实记录'!$J$2:$J$2001,$F278,'原子事实记录'!$Q$2:$Q$2001,"是",'原子事实记录'!$R$2:$R$2001,"FP"))</f>
        <v/>
      </c>
      <c r="J278" s="5">
        <f>IF(COUNTA(A278:G278)&lt;7,"",COUNTIFS('原子事实记录'!$C$2:$C$2001,$D278,'原子事实记录'!$E$2:$E$2001,$A278,'原子事实记录'!$F$2:$F$2001,$B278,'原子事实记录'!$G$2:$G$2001,$C278,'原子事实记录'!$I$2:$I$2001,$E278,'原子事实记录'!$J$2:$J$2001,$F278,'原子事实记录'!$Q$2:$Q$2001,"是",'原子事实记录'!$R$2:$R$2001,"FN"))</f>
        <v/>
      </c>
      <c r="K278" s="5">
        <f>IF(COUNTA(A278:G278)&lt;7,"",COUNTIFS('原子事实记录'!$C$2:$C$2001,$D278,'原子事实记录'!$E$2:$E$2001,$A278,'原子事实记录'!$F$2:$F$2001,$B278,'原子事实记录'!$G$2:$G$2001,$C278,'原子事实记录'!$I$2:$I$2001,$E278,'原子事实记录'!$J$2:$J$2001,$F278,'原子事实记录'!$Q$2:$Q$2001,"是",'原子事实记录'!$R$2:$R$2001,"TN"))</f>
        <v/>
      </c>
      <c r="L278" s="5">
        <f>IF(COUNTA(A278:G278)&lt;7,"",COUNTIFS('原子事实记录'!$C$2:$C$2001,$D278,'原子事实记录'!$E$2:$E$2001,$A278,'原子事实记录'!$F$2:$F$2001,$B278,'原子事实记录'!$G$2:$G$2001,$C278,'原子事实记录'!$I$2:$I$2001,$E278,'原子事实记录'!$J$2:$J$2001,$F278,'原子事实记录'!$Q$2:$Q$2001,"是",'原子事实记录'!$R$2:$R$2001,"未知"))</f>
        <v/>
      </c>
      <c r="M278" s="3" t="n"/>
      <c r="N278" s="3" t="n"/>
      <c r="O278" s="5">
        <f>IF(OR(G278="",M278="",N278=""),"",M278+IF(G278="肯定主张正确率",H278,IF(G278="否定主张正确率",K278,IF(G278="灵敏度",H278,K278))))</f>
        <v/>
      </c>
      <c r="P278" s="5">
        <f>IF(OR(G278="",M278="",N278=""),"",N278+IF(G278="肯定主张正确率",I278,IF(G278="否定主张正确率",J278,IF(G278="灵敏度",J278,I278))))</f>
        <v/>
      </c>
      <c r="Q278" s="7">
        <f>IF(OR(O278="",P278=""),"",O278/(O278+P278))</f>
        <v/>
      </c>
      <c r="R278" s="7">
        <f>IF(Q278="","",BETA.INV(0.025,O278,P278))</f>
        <v/>
      </c>
      <c r="S278" s="7">
        <f>IF(Q278="","",BETA.INV(0.975,O278,P278))</f>
        <v/>
      </c>
      <c r="T278" s="5">
        <f>IF(OR(O278="",P278=""),"",O278+P278-M278-N278)</f>
        <v/>
      </c>
      <c r="U278" s="5">
        <f>IF(T278="","先填完整分组",IF(T278&lt;30,"样本太少：仅描述",IF(T278&lt;100,"只作试点候选","可进入独立验证")))</f>
        <v/>
      </c>
      <c r="V278" s="3" t="n"/>
      <c r="W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5">
        <f>IF(COUNTA(A279:G279)&lt;7,"",COUNTIFS('原子事实记录'!$C$2:$C$2001,$D279,'原子事实记录'!$E$2:$E$2001,$A279,'原子事实记录'!$F$2:$F$2001,$B279,'原子事实记录'!$G$2:$G$2001,$C279,'原子事实记录'!$I$2:$I$2001,$E279,'原子事实记录'!$J$2:$J$2001,$F279,'原子事实记录'!$Q$2:$Q$2001,"是",'原子事实记录'!$R$2:$R$2001,"TP"))</f>
        <v/>
      </c>
      <c r="I279" s="5">
        <f>IF(COUNTA(A279:G279)&lt;7,"",COUNTIFS('原子事实记录'!$C$2:$C$2001,$D279,'原子事实记录'!$E$2:$E$2001,$A279,'原子事实记录'!$F$2:$F$2001,$B279,'原子事实记录'!$G$2:$G$2001,$C279,'原子事实记录'!$I$2:$I$2001,$E279,'原子事实记录'!$J$2:$J$2001,$F279,'原子事实记录'!$Q$2:$Q$2001,"是",'原子事实记录'!$R$2:$R$2001,"FP"))</f>
        <v/>
      </c>
      <c r="J279" s="5">
        <f>IF(COUNTA(A279:G279)&lt;7,"",COUNTIFS('原子事实记录'!$C$2:$C$2001,$D279,'原子事实记录'!$E$2:$E$2001,$A279,'原子事实记录'!$F$2:$F$2001,$B279,'原子事实记录'!$G$2:$G$2001,$C279,'原子事实记录'!$I$2:$I$2001,$E279,'原子事实记录'!$J$2:$J$2001,$F279,'原子事实记录'!$Q$2:$Q$2001,"是",'原子事实记录'!$R$2:$R$2001,"FN"))</f>
        <v/>
      </c>
      <c r="K279" s="5">
        <f>IF(COUNTA(A279:G279)&lt;7,"",COUNTIFS('原子事实记录'!$C$2:$C$2001,$D279,'原子事实记录'!$E$2:$E$2001,$A279,'原子事实记录'!$F$2:$F$2001,$B279,'原子事实记录'!$G$2:$G$2001,$C279,'原子事实记录'!$I$2:$I$2001,$E279,'原子事实记录'!$J$2:$J$2001,$F279,'原子事实记录'!$Q$2:$Q$2001,"是",'原子事实记录'!$R$2:$R$2001,"TN"))</f>
        <v/>
      </c>
      <c r="L279" s="5">
        <f>IF(COUNTA(A279:G279)&lt;7,"",COUNTIFS('原子事实记录'!$C$2:$C$2001,$D279,'原子事实记录'!$E$2:$E$2001,$A279,'原子事实记录'!$F$2:$F$2001,$B279,'原子事实记录'!$G$2:$G$2001,$C279,'原子事实记录'!$I$2:$I$2001,$E279,'原子事实记录'!$J$2:$J$2001,$F279,'原子事实记录'!$Q$2:$Q$2001,"是",'原子事实记录'!$R$2:$R$2001,"未知"))</f>
        <v/>
      </c>
      <c r="M279" s="3" t="n"/>
      <c r="N279" s="3" t="n"/>
      <c r="O279" s="5">
        <f>IF(OR(G279="",M279="",N279=""),"",M279+IF(G279="肯定主张正确率",H279,IF(G279="否定主张正确率",K279,IF(G279="灵敏度",H279,K279))))</f>
        <v/>
      </c>
      <c r="P279" s="5">
        <f>IF(OR(G279="",M279="",N279=""),"",N279+IF(G279="肯定主张正确率",I279,IF(G279="否定主张正确率",J279,IF(G279="灵敏度",J279,I279))))</f>
        <v/>
      </c>
      <c r="Q279" s="7">
        <f>IF(OR(O279="",P279=""),"",O279/(O279+P279))</f>
        <v/>
      </c>
      <c r="R279" s="7">
        <f>IF(Q279="","",BETA.INV(0.025,O279,P279))</f>
        <v/>
      </c>
      <c r="S279" s="7">
        <f>IF(Q279="","",BETA.INV(0.975,O279,P279))</f>
        <v/>
      </c>
      <c r="T279" s="5">
        <f>IF(OR(O279="",P279=""),"",O279+P279-M279-N279)</f>
        <v/>
      </c>
      <c r="U279" s="5">
        <f>IF(T279="","先填完整分组",IF(T279&lt;30,"样本太少：仅描述",IF(T279&lt;100,"只作试点候选","可进入独立验证")))</f>
        <v/>
      </c>
      <c r="V279" s="3" t="n"/>
      <c r="W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5">
        <f>IF(COUNTA(A280:G280)&lt;7,"",COUNTIFS('原子事实记录'!$C$2:$C$2001,$D280,'原子事实记录'!$E$2:$E$2001,$A280,'原子事实记录'!$F$2:$F$2001,$B280,'原子事实记录'!$G$2:$G$2001,$C280,'原子事实记录'!$I$2:$I$2001,$E280,'原子事实记录'!$J$2:$J$2001,$F280,'原子事实记录'!$Q$2:$Q$2001,"是",'原子事实记录'!$R$2:$R$2001,"TP"))</f>
        <v/>
      </c>
      <c r="I280" s="5">
        <f>IF(COUNTA(A280:G280)&lt;7,"",COUNTIFS('原子事实记录'!$C$2:$C$2001,$D280,'原子事实记录'!$E$2:$E$2001,$A280,'原子事实记录'!$F$2:$F$2001,$B280,'原子事实记录'!$G$2:$G$2001,$C280,'原子事实记录'!$I$2:$I$2001,$E280,'原子事实记录'!$J$2:$J$2001,$F280,'原子事实记录'!$Q$2:$Q$2001,"是",'原子事实记录'!$R$2:$R$2001,"FP"))</f>
        <v/>
      </c>
      <c r="J280" s="5">
        <f>IF(COUNTA(A280:G280)&lt;7,"",COUNTIFS('原子事实记录'!$C$2:$C$2001,$D280,'原子事实记录'!$E$2:$E$2001,$A280,'原子事实记录'!$F$2:$F$2001,$B280,'原子事实记录'!$G$2:$G$2001,$C280,'原子事实记录'!$I$2:$I$2001,$E280,'原子事实记录'!$J$2:$J$2001,$F280,'原子事实记录'!$Q$2:$Q$2001,"是",'原子事实记录'!$R$2:$R$2001,"FN"))</f>
        <v/>
      </c>
      <c r="K280" s="5">
        <f>IF(COUNTA(A280:G280)&lt;7,"",COUNTIFS('原子事实记录'!$C$2:$C$2001,$D280,'原子事实记录'!$E$2:$E$2001,$A280,'原子事实记录'!$F$2:$F$2001,$B280,'原子事实记录'!$G$2:$G$2001,$C280,'原子事实记录'!$I$2:$I$2001,$E280,'原子事实记录'!$J$2:$J$2001,$F280,'原子事实记录'!$Q$2:$Q$2001,"是",'原子事实记录'!$R$2:$R$2001,"TN"))</f>
        <v/>
      </c>
      <c r="L280" s="5">
        <f>IF(COUNTA(A280:G280)&lt;7,"",COUNTIFS('原子事实记录'!$C$2:$C$2001,$D280,'原子事实记录'!$E$2:$E$2001,$A280,'原子事实记录'!$F$2:$F$2001,$B280,'原子事实记录'!$G$2:$G$2001,$C280,'原子事实记录'!$I$2:$I$2001,$E280,'原子事实记录'!$J$2:$J$2001,$F280,'原子事实记录'!$Q$2:$Q$2001,"是",'原子事实记录'!$R$2:$R$2001,"未知"))</f>
        <v/>
      </c>
      <c r="M280" s="3" t="n"/>
      <c r="N280" s="3" t="n"/>
      <c r="O280" s="5">
        <f>IF(OR(G280="",M280="",N280=""),"",M280+IF(G280="肯定主张正确率",H280,IF(G280="否定主张正确率",K280,IF(G280="灵敏度",H280,K280))))</f>
        <v/>
      </c>
      <c r="P280" s="5">
        <f>IF(OR(G280="",M280="",N280=""),"",N280+IF(G280="肯定主张正确率",I280,IF(G280="否定主张正确率",J280,IF(G280="灵敏度",J280,I280))))</f>
        <v/>
      </c>
      <c r="Q280" s="7">
        <f>IF(OR(O280="",P280=""),"",O280/(O280+P280))</f>
        <v/>
      </c>
      <c r="R280" s="7">
        <f>IF(Q280="","",BETA.INV(0.025,O280,P280))</f>
        <v/>
      </c>
      <c r="S280" s="7">
        <f>IF(Q280="","",BETA.INV(0.975,O280,P280))</f>
        <v/>
      </c>
      <c r="T280" s="5">
        <f>IF(OR(O280="",P280=""),"",O280+P280-M280-N280)</f>
        <v/>
      </c>
      <c r="U280" s="5">
        <f>IF(T280="","先填完整分组",IF(T280&lt;30,"样本太少：仅描述",IF(T280&lt;100,"只作试点候选","可进入独立验证")))</f>
        <v/>
      </c>
      <c r="V280" s="3" t="n"/>
      <c r="W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5">
        <f>IF(COUNTA(A281:G281)&lt;7,"",COUNTIFS('原子事实记录'!$C$2:$C$2001,$D281,'原子事实记录'!$E$2:$E$2001,$A281,'原子事实记录'!$F$2:$F$2001,$B281,'原子事实记录'!$G$2:$G$2001,$C281,'原子事实记录'!$I$2:$I$2001,$E281,'原子事实记录'!$J$2:$J$2001,$F281,'原子事实记录'!$Q$2:$Q$2001,"是",'原子事实记录'!$R$2:$R$2001,"TP"))</f>
        <v/>
      </c>
      <c r="I281" s="5">
        <f>IF(COUNTA(A281:G281)&lt;7,"",COUNTIFS('原子事实记录'!$C$2:$C$2001,$D281,'原子事实记录'!$E$2:$E$2001,$A281,'原子事实记录'!$F$2:$F$2001,$B281,'原子事实记录'!$G$2:$G$2001,$C281,'原子事实记录'!$I$2:$I$2001,$E281,'原子事实记录'!$J$2:$J$2001,$F281,'原子事实记录'!$Q$2:$Q$2001,"是",'原子事实记录'!$R$2:$R$2001,"FP"))</f>
        <v/>
      </c>
      <c r="J281" s="5">
        <f>IF(COUNTA(A281:G281)&lt;7,"",COUNTIFS('原子事实记录'!$C$2:$C$2001,$D281,'原子事实记录'!$E$2:$E$2001,$A281,'原子事实记录'!$F$2:$F$2001,$B281,'原子事实记录'!$G$2:$G$2001,$C281,'原子事实记录'!$I$2:$I$2001,$E281,'原子事实记录'!$J$2:$J$2001,$F281,'原子事实记录'!$Q$2:$Q$2001,"是",'原子事实记录'!$R$2:$R$2001,"FN"))</f>
        <v/>
      </c>
      <c r="K281" s="5">
        <f>IF(COUNTA(A281:G281)&lt;7,"",COUNTIFS('原子事实记录'!$C$2:$C$2001,$D281,'原子事实记录'!$E$2:$E$2001,$A281,'原子事实记录'!$F$2:$F$2001,$B281,'原子事实记录'!$G$2:$G$2001,$C281,'原子事实记录'!$I$2:$I$2001,$E281,'原子事实记录'!$J$2:$J$2001,$F281,'原子事实记录'!$Q$2:$Q$2001,"是",'原子事实记录'!$R$2:$R$2001,"TN"))</f>
        <v/>
      </c>
      <c r="L281" s="5">
        <f>IF(COUNTA(A281:G281)&lt;7,"",COUNTIFS('原子事实记录'!$C$2:$C$2001,$D281,'原子事实记录'!$E$2:$E$2001,$A281,'原子事实记录'!$F$2:$F$2001,$B281,'原子事实记录'!$G$2:$G$2001,$C281,'原子事实记录'!$I$2:$I$2001,$E281,'原子事实记录'!$J$2:$J$2001,$F281,'原子事实记录'!$Q$2:$Q$2001,"是",'原子事实记录'!$R$2:$R$2001,"未知"))</f>
        <v/>
      </c>
      <c r="M281" s="3" t="n"/>
      <c r="N281" s="3" t="n"/>
      <c r="O281" s="5">
        <f>IF(OR(G281="",M281="",N281=""),"",M281+IF(G281="肯定主张正确率",H281,IF(G281="否定主张正确率",K281,IF(G281="灵敏度",H281,K281))))</f>
        <v/>
      </c>
      <c r="P281" s="5">
        <f>IF(OR(G281="",M281="",N281=""),"",N281+IF(G281="肯定主张正确率",I281,IF(G281="否定主张正确率",J281,IF(G281="灵敏度",J281,I281))))</f>
        <v/>
      </c>
      <c r="Q281" s="7">
        <f>IF(OR(O281="",P281=""),"",O281/(O281+P281))</f>
        <v/>
      </c>
      <c r="R281" s="7">
        <f>IF(Q281="","",BETA.INV(0.025,O281,P281))</f>
        <v/>
      </c>
      <c r="S281" s="7">
        <f>IF(Q281="","",BETA.INV(0.975,O281,P281))</f>
        <v/>
      </c>
      <c r="T281" s="5">
        <f>IF(OR(O281="",P281=""),"",O281+P281-M281-N281)</f>
        <v/>
      </c>
      <c r="U281" s="5">
        <f>IF(T281="","先填完整分组",IF(T281&lt;30,"样本太少：仅描述",IF(T281&lt;100,"只作试点候选","可进入独立验证")))</f>
        <v/>
      </c>
      <c r="V281" s="3" t="n"/>
      <c r="W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5">
        <f>IF(COUNTA(A282:G282)&lt;7,"",COUNTIFS('原子事实记录'!$C$2:$C$2001,$D282,'原子事实记录'!$E$2:$E$2001,$A282,'原子事实记录'!$F$2:$F$2001,$B282,'原子事实记录'!$G$2:$G$2001,$C282,'原子事实记录'!$I$2:$I$2001,$E282,'原子事实记录'!$J$2:$J$2001,$F282,'原子事实记录'!$Q$2:$Q$2001,"是",'原子事实记录'!$R$2:$R$2001,"TP"))</f>
        <v/>
      </c>
      <c r="I282" s="5">
        <f>IF(COUNTA(A282:G282)&lt;7,"",COUNTIFS('原子事实记录'!$C$2:$C$2001,$D282,'原子事实记录'!$E$2:$E$2001,$A282,'原子事实记录'!$F$2:$F$2001,$B282,'原子事实记录'!$G$2:$G$2001,$C282,'原子事实记录'!$I$2:$I$2001,$E282,'原子事实记录'!$J$2:$J$2001,$F282,'原子事实记录'!$Q$2:$Q$2001,"是",'原子事实记录'!$R$2:$R$2001,"FP"))</f>
        <v/>
      </c>
      <c r="J282" s="5">
        <f>IF(COUNTA(A282:G282)&lt;7,"",COUNTIFS('原子事实记录'!$C$2:$C$2001,$D282,'原子事实记录'!$E$2:$E$2001,$A282,'原子事实记录'!$F$2:$F$2001,$B282,'原子事实记录'!$G$2:$G$2001,$C282,'原子事实记录'!$I$2:$I$2001,$E282,'原子事实记录'!$J$2:$J$2001,$F282,'原子事实记录'!$Q$2:$Q$2001,"是",'原子事实记录'!$R$2:$R$2001,"FN"))</f>
        <v/>
      </c>
      <c r="K282" s="5">
        <f>IF(COUNTA(A282:G282)&lt;7,"",COUNTIFS('原子事实记录'!$C$2:$C$2001,$D282,'原子事实记录'!$E$2:$E$2001,$A282,'原子事实记录'!$F$2:$F$2001,$B282,'原子事实记录'!$G$2:$G$2001,$C282,'原子事实记录'!$I$2:$I$2001,$E282,'原子事实记录'!$J$2:$J$2001,$F282,'原子事实记录'!$Q$2:$Q$2001,"是",'原子事实记录'!$R$2:$R$2001,"TN"))</f>
        <v/>
      </c>
      <c r="L282" s="5">
        <f>IF(COUNTA(A282:G282)&lt;7,"",COUNTIFS('原子事实记录'!$C$2:$C$2001,$D282,'原子事实记录'!$E$2:$E$2001,$A282,'原子事实记录'!$F$2:$F$2001,$B282,'原子事实记录'!$G$2:$G$2001,$C282,'原子事实记录'!$I$2:$I$2001,$E282,'原子事实记录'!$J$2:$J$2001,$F282,'原子事实记录'!$Q$2:$Q$2001,"是",'原子事实记录'!$R$2:$R$2001,"未知"))</f>
        <v/>
      </c>
      <c r="M282" s="3" t="n"/>
      <c r="N282" s="3" t="n"/>
      <c r="O282" s="5">
        <f>IF(OR(G282="",M282="",N282=""),"",M282+IF(G282="肯定主张正确率",H282,IF(G282="否定主张正确率",K282,IF(G282="灵敏度",H282,K282))))</f>
        <v/>
      </c>
      <c r="P282" s="5">
        <f>IF(OR(G282="",M282="",N282=""),"",N282+IF(G282="肯定主张正确率",I282,IF(G282="否定主张正确率",J282,IF(G282="灵敏度",J282,I282))))</f>
        <v/>
      </c>
      <c r="Q282" s="7">
        <f>IF(OR(O282="",P282=""),"",O282/(O282+P282))</f>
        <v/>
      </c>
      <c r="R282" s="7">
        <f>IF(Q282="","",BETA.INV(0.025,O282,P282))</f>
        <v/>
      </c>
      <c r="S282" s="7">
        <f>IF(Q282="","",BETA.INV(0.975,O282,P282))</f>
        <v/>
      </c>
      <c r="T282" s="5">
        <f>IF(OR(O282="",P282=""),"",O282+P282-M282-N282)</f>
        <v/>
      </c>
      <c r="U282" s="5">
        <f>IF(T282="","先填完整分组",IF(T282&lt;30,"样本太少：仅描述",IF(T282&lt;100,"只作试点候选","可进入独立验证")))</f>
        <v/>
      </c>
      <c r="V282" s="3" t="n"/>
      <c r="W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5">
        <f>IF(COUNTA(A283:G283)&lt;7,"",COUNTIFS('原子事实记录'!$C$2:$C$2001,$D283,'原子事实记录'!$E$2:$E$2001,$A283,'原子事实记录'!$F$2:$F$2001,$B283,'原子事实记录'!$G$2:$G$2001,$C283,'原子事实记录'!$I$2:$I$2001,$E283,'原子事实记录'!$J$2:$J$2001,$F283,'原子事实记录'!$Q$2:$Q$2001,"是",'原子事实记录'!$R$2:$R$2001,"TP"))</f>
        <v/>
      </c>
      <c r="I283" s="5">
        <f>IF(COUNTA(A283:G283)&lt;7,"",COUNTIFS('原子事实记录'!$C$2:$C$2001,$D283,'原子事实记录'!$E$2:$E$2001,$A283,'原子事实记录'!$F$2:$F$2001,$B283,'原子事实记录'!$G$2:$G$2001,$C283,'原子事实记录'!$I$2:$I$2001,$E283,'原子事实记录'!$J$2:$J$2001,$F283,'原子事实记录'!$Q$2:$Q$2001,"是",'原子事实记录'!$R$2:$R$2001,"FP"))</f>
        <v/>
      </c>
      <c r="J283" s="5">
        <f>IF(COUNTA(A283:G283)&lt;7,"",COUNTIFS('原子事实记录'!$C$2:$C$2001,$D283,'原子事实记录'!$E$2:$E$2001,$A283,'原子事实记录'!$F$2:$F$2001,$B283,'原子事实记录'!$G$2:$G$2001,$C283,'原子事实记录'!$I$2:$I$2001,$E283,'原子事实记录'!$J$2:$J$2001,$F283,'原子事实记录'!$Q$2:$Q$2001,"是",'原子事实记录'!$R$2:$R$2001,"FN"))</f>
        <v/>
      </c>
      <c r="K283" s="5">
        <f>IF(COUNTA(A283:G283)&lt;7,"",COUNTIFS('原子事实记录'!$C$2:$C$2001,$D283,'原子事实记录'!$E$2:$E$2001,$A283,'原子事实记录'!$F$2:$F$2001,$B283,'原子事实记录'!$G$2:$G$2001,$C283,'原子事实记录'!$I$2:$I$2001,$E283,'原子事实记录'!$J$2:$J$2001,$F283,'原子事实记录'!$Q$2:$Q$2001,"是",'原子事实记录'!$R$2:$R$2001,"TN"))</f>
        <v/>
      </c>
      <c r="L283" s="5">
        <f>IF(COUNTA(A283:G283)&lt;7,"",COUNTIFS('原子事实记录'!$C$2:$C$2001,$D283,'原子事实记录'!$E$2:$E$2001,$A283,'原子事实记录'!$F$2:$F$2001,$B283,'原子事实记录'!$G$2:$G$2001,$C283,'原子事实记录'!$I$2:$I$2001,$E283,'原子事实记录'!$J$2:$J$2001,$F283,'原子事实记录'!$Q$2:$Q$2001,"是",'原子事实记录'!$R$2:$R$2001,"未知"))</f>
        <v/>
      </c>
      <c r="M283" s="3" t="n"/>
      <c r="N283" s="3" t="n"/>
      <c r="O283" s="5">
        <f>IF(OR(G283="",M283="",N283=""),"",M283+IF(G283="肯定主张正确率",H283,IF(G283="否定主张正确率",K283,IF(G283="灵敏度",H283,K283))))</f>
        <v/>
      </c>
      <c r="P283" s="5">
        <f>IF(OR(G283="",M283="",N283=""),"",N283+IF(G283="肯定主张正确率",I283,IF(G283="否定主张正确率",J283,IF(G283="灵敏度",J283,I283))))</f>
        <v/>
      </c>
      <c r="Q283" s="7">
        <f>IF(OR(O283="",P283=""),"",O283/(O283+P283))</f>
        <v/>
      </c>
      <c r="R283" s="7">
        <f>IF(Q283="","",BETA.INV(0.025,O283,P283))</f>
        <v/>
      </c>
      <c r="S283" s="7">
        <f>IF(Q283="","",BETA.INV(0.975,O283,P283))</f>
        <v/>
      </c>
      <c r="T283" s="5">
        <f>IF(OR(O283="",P283=""),"",O283+P283-M283-N283)</f>
        <v/>
      </c>
      <c r="U283" s="5">
        <f>IF(T283="","先填完整分组",IF(T283&lt;30,"样本太少：仅描述",IF(T283&lt;100,"只作试点候选","可进入独立验证")))</f>
        <v/>
      </c>
      <c r="V283" s="3" t="n"/>
      <c r="W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5">
        <f>IF(COUNTA(A284:G284)&lt;7,"",COUNTIFS('原子事实记录'!$C$2:$C$2001,$D284,'原子事实记录'!$E$2:$E$2001,$A284,'原子事实记录'!$F$2:$F$2001,$B284,'原子事实记录'!$G$2:$G$2001,$C284,'原子事实记录'!$I$2:$I$2001,$E284,'原子事实记录'!$J$2:$J$2001,$F284,'原子事实记录'!$Q$2:$Q$2001,"是",'原子事实记录'!$R$2:$R$2001,"TP"))</f>
        <v/>
      </c>
      <c r="I284" s="5">
        <f>IF(COUNTA(A284:G284)&lt;7,"",COUNTIFS('原子事实记录'!$C$2:$C$2001,$D284,'原子事实记录'!$E$2:$E$2001,$A284,'原子事实记录'!$F$2:$F$2001,$B284,'原子事实记录'!$G$2:$G$2001,$C284,'原子事实记录'!$I$2:$I$2001,$E284,'原子事实记录'!$J$2:$J$2001,$F284,'原子事实记录'!$Q$2:$Q$2001,"是",'原子事实记录'!$R$2:$R$2001,"FP"))</f>
        <v/>
      </c>
      <c r="J284" s="5">
        <f>IF(COUNTA(A284:G284)&lt;7,"",COUNTIFS('原子事实记录'!$C$2:$C$2001,$D284,'原子事实记录'!$E$2:$E$2001,$A284,'原子事实记录'!$F$2:$F$2001,$B284,'原子事实记录'!$G$2:$G$2001,$C284,'原子事实记录'!$I$2:$I$2001,$E284,'原子事实记录'!$J$2:$J$2001,$F284,'原子事实记录'!$Q$2:$Q$2001,"是",'原子事实记录'!$R$2:$R$2001,"FN"))</f>
        <v/>
      </c>
      <c r="K284" s="5">
        <f>IF(COUNTA(A284:G284)&lt;7,"",COUNTIFS('原子事实记录'!$C$2:$C$2001,$D284,'原子事实记录'!$E$2:$E$2001,$A284,'原子事实记录'!$F$2:$F$2001,$B284,'原子事实记录'!$G$2:$G$2001,$C284,'原子事实记录'!$I$2:$I$2001,$E284,'原子事实记录'!$J$2:$J$2001,$F284,'原子事实记录'!$Q$2:$Q$2001,"是",'原子事实记录'!$R$2:$R$2001,"TN"))</f>
        <v/>
      </c>
      <c r="L284" s="5">
        <f>IF(COUNTA(A284:G284)&lt;7,"",COUNTIFS('原子事实记录'!$C$2:$C$2001,$D284,'原子事实记录'!$E$2:$E$2001,$A284,'原子事实记录'!$F$2:$F$2001,$B284,'原子事实记录'!$G$2:$G$2001,$C284,'原子事实记录'!$I$2:$I$2001,$E284,'原子事实记录'!$J$2:$J$2001,$F284,'原子事实记录'!$Q$2:$Q$2001,"是",'原子事实记录'!$R$2:$R$2001,"未知"))</f>
        <v/>
      </c>
      <c r="M284" s="3" t="n"/>
      <c r="N284" s="3" t="n"/>
      <c r="O284" s="5">
        <f>IF(OR(G284="",M284="",N284=""),"",M284+IF(G284="肯定主张正确率",H284,IF(G284="否定主张正确率",K284,IF(G284="灵敏度",H284,K284))))</f>
        <v/>
      </c>
      <c r="P284" s="5">
        <f>IF(OR(G284="",M284="",N284=""),"",N284+IF(G284="肯定主张正确率",I284,IF(G284="否定主张正确率",J284,IF(G284="灵敏度",J284,I284))))</f>
        <v/>
      </c>
      <c r="Q284" s="7">
        <f>IF(OR(O284="",P284=""),"",O284/(O284+P284))</f>
        <v/>
      </c>
      <c r="R284" s="7">
        <f>IF(Q284="","",BETA.INV(0.025,O284,P284))</f>
        <v/>
      </c>
      <c r="S284" s="7">
        <f>IF(Q284="","",BETA.INV(0.975,O284,P284))</f>
        <v/>
      </c>
      <c r="T284" s="5">
        <f>IF(OR(O284="",P284=""),"",O284+P284-M284-N284)</f>
        <v/>
      </c>
      <c r="U284" s="5">
        <f>IF(T284="","先填完整分组",IF(T284&lt;30,"样本太少：仅描述",IF(T284&lt;100,"只作试点候选","可进入独立验证")))</f>
        <v/>
      </c>
      <c r="V284" s="3" t="n"/>
      <c r="W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5">
        <f>IF(COUNTA(A285:G285)&lt;7,"",COUNTIFS('原子事实记录'!$C$2:$C$2001,$D285,'原子事实记录'!$E$2:$E$2001,$A285,'原子事实记录'!$F$2:$F$2001,$B285,'原子事实记录'!$G$2:$G$2001,$C285,'原子事实记录'!$I$2:$I$2001,$E285,'原子事实记录'!$J$2:$J$2001,$F285,'原子事实记录'!$Q$2:$Q$2001,"是",'原子事实记录'!$R$2:$R$2001,"TP"))</f>
        <v/>
      </c>
      <c r="I285" s="5">
        <f>IF(COUNTA(A285:G285)&lt;7,"",COUNTIFS('原子事实记录'!$C$2:$C$2001,$D285,'原子事实记录'!$E$2:$E$2001,$A285,'原子事实记录'!$F$2:$F$2001,$B285,'原子事实记录'!$G$2:$G$2001,$C285,'原子事实记录'!$I$2:$I$2001,$E285,'原子事实记录'!$J$2:$J$2001,$F285,'原子事实记录'!$Q$2:$Q$2001,"是",'原子事实记录'!$R$2:$R$2001,"FP"))</f>
        <v/>
      </c>
      <c r="J285" s="5">
        <f>IF(COUNTA(A285:G285)&lt;7,"",COUNTIFS('原子事实记录'!$C$2:$C$2001,$D285,'原子事实记录'!$E$2:$E$2001,$A285,'原子事实记录'!$F$2:$F$2001,$B285,'原子事实记录'!$G$2:$G$2001,$C285,'原子事实记录'!$I$2:$I$2001,$E285,'原子事实记录'!$J$2:$J$2001,$F285,'原子事实记录'!$Q$2:$Q$2001,"是",'原子事实记录'!$R$2:$R$2001,"FN"))</f>
        <v/>
      </c>
      <c r="K285" s="5">
        <f>IF(COUNTA(A285:G285)&lt;7,"",COUNTIFS('原子事实记录'!$C$2:$C$2001,$D285,'原子事实记录'!$E$2:$E$2001,$A285,'原子事实记录'!$F$2:$F$2001,$B285,'原子事实记录'!$G$2:$G$2001,$C285,'原子事实记录'!$I$2:$I$2001,$E285,'原子事实记录'!$J$2:$J$2001,$F285,'原子事实记录'!$Q$2:$Q$2001,"是",'原子事实记录'!$R$2:$R$2001,"TN"))</f>
        <v/>
      </c>
      <c r="L285" s="5">
        <f>IF(COUNTA(A285:G285)&lt;7,"",COUNTIFS('原子事实记录'!$C$2:$C$2001,$D285,'原子事实记录'!$E$2:$E$2001,$A285,'原子事实记录'!$F$2:$F$2001,$B285,'原子事实记录'!$G$2:$G$2001,$C285,'原子事实记录'!$I$2:$I$2001,$E285,'原子事实记录'!$J$2:$J$2001,$F285,'原子事实记录'!$Q$2:$Q$2001,"是",'原子事实记录'!$R$2:$R$2001,"未知"))</f>
        <v/>
      </c>
      <c r="M285" s="3" t="n"/>
      <c r="N285" s="3" t="n"/>
      <c r="O285" s="5">
        <f>IF(OR(G285="",M285="",N285=""),"",M285+IF(G285="肯定主张正确率",H285,IF(G285="否定主张正确率",K285,IF(G285="灵敏度",H285,K285))))</f>
        <v/>
      </c>
      <c r="P285" s="5">
        <f>IF(OR(G285="",M285="",N285=""),"",N285+IF(G285="肯定主张正确率",I285,IF(G285="否定主张正确率",J285,IF(G285="灵敏度",J285,I285))))</f>
        <v/>
      </c>
      <c r="Q285" s="7">
        <f>IF(OR(O285="",P285=""),"",O285/(O285+P285))</f>
        <v/>
      </c>
      <c r="R285" s="7">
        <f>IF(Q285="","",BETA.INV(0.025,O285,P285))</f>
        <v/>
      </c>
      <c r="S285" s="7">
        <f>IF(Q285="","",BETA.INV(0.975,O285,P285))</f>
        <v/>
      </c>
      <c r="T285" s="5">
        <f>IF(OR(O285="",P285=""),"",O285+P285-M285-N285)</f>
        <v/>
      </c>
      <c r="U285" s="5">
        <f>IF(T285="","先填完整分组",IF(T285&lt;30,"样本太少：仅描述",IF(T285&lt;100,"只作试点候选","可进入独立验证")))</f>
        <v/>
      </c>
      <c r="V285" s="3" t="n"/>
      <c r="W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5">
        <f>IF(COUNTA(A286:G286)&lt;7,"",COUNTIFS('原子事实记录'!$C$2:$C$2001,$D286,'原子事实记录'!$E$2:$E$2001,$A286,'原子事实记录'!$F$2:$F$2001,$B286,'原子事实记录'!$G$2:$G$2001,$C286,'原子事实记录'!$I$2:$I$2001,$E286,'原子事实记录'!$J$2:$J$2001,$F286,'原子事实记录'!$Q$2:$Q$2001,"是",'原子事实记录'!$R$2:$R$2001,"TP"))</f>
        <v/>
      </c>
      <c r="I286" s="5">
        <f>IF(COUNTA(A286:G286)&lt;7,"",COUNTIFS('原子事实记录'!$C$2:$C$2001,$D286,'原子事实记录'!$E$2:$E$2001,$A286,'原子事实记录'!$F$2:$F$2001,$B286,'原子事实记录'!$G$2:$G$2001,$C286,'原子事实记录'!$I$2:$I$2001,$E286,'原子事实记录'!$J$2:$J$2001,$F286,'原子事实记录'!$Q$2:$Q$2001,"是",'原子事实记录'!$R$2:$R$2001,"FP"))</f>
        <v/>
      </c>
      <c r="J286" s="5">
        <f>IF(COUNTA(A286:G286)&lt;7,"",COUNTIFS('原子事实记录'!$C$2:$C$2001,$D286,'原子事实记录'!$E$2:$E$2001,$A286,'原子事实记录'!$F$2:$F$2001,$B286,'原子事实记录'!$G$2:$G$2001,$C286,'原子事实记录'!$I$2:$I$2001,$E286,'原子事实记录'!$J$2:$J$2001,$F286,'原子事实记录'!$Q$2:$Q$2001,"是",'原子事实记录'!$R$2:$R$2001,"FN"))</f>
        <v/>
      </c>
      <c r="K286" s="5">
        <f>IF(COUNTA(A286:G286)&lt;7,"",COUNTIFS('原子事实记录'!$C$2:$C$2001,$D286,'原子事实记录'!$E$2:$E$2001,$A286,'原子事实记录'!$F$2:$F$2001,$B286,'原子事实记录'!$G$2:$G$2001,$C286,'原子事实记录'!$I$2:$I$2001,$E286,'原子事实记录'!$J$2:$J$2001,$F286,'原子事实记录'!$Q$2:$Q$2001,"是",'原子事实记录'!$R$2:$R$2001,"TN"))</f>
        <v/>
      </c>
      <c r="L286" s="5">
        <f>IF(COUNTA(A286:G286)&lt;7,"",COUNTIFS('原子事实记录'!$C$2:$C$2001,$D286,'原子事实记录'!$E$2:$E$2001,$A286,'原子事实记录'!$F$2:$F$2001,$B286,'原子事实记录'!$G$2:$G$2001,$C286,'原子事实记录'!$I$2:$I$2001,$E286,'原子事实记录'!$J$2:$J$2001,$F286,'原子事实记录'!$Q$2:$Q$2001,"是",'原子事实记录'!$R$2:$R$2001,"未知"))</f>
        <v/>
      </c>
      <c r="M286" s="3" t="n"/>
      <c r="N286" s="3" t="n"/>
      <c r="O286" s="5">
        <f>IF(OR(G286="",M286="",N286=""),"",M286+IF(G286="肯定主张正确率",H286,IF(G286="否定主张正确率",K286,IF(G286="灵敏度",H286,K286))))</f>
        <v/>
      </c>
      <c r="P286" s="5">
        <f>IF(OR(G286="",M286="",N286=""),"",N286+IF(G286="肯定主张正确率",I286,IF(G286="否定主张正确率",J286,IF(G286="灵敏度",J286,I286))))</f>
        <v/>
      </c>
      <c r="Q286" s="7">
        <f>IF(OR(O286="",P286=""),"",O286/(O286+P286))</f>
        <v/>
      </c>
      <c r="R286" s="7">
        <f>IF(Q286="","",BETA.INV(0.025,O286,P286))</f>
        <v/>
      </c>
      <c r="S286" s="7">
        <f>IF(Q286="","",BETA.INV(0.975,O286,P286))</f>
        <v/>
      </c>
      <c r="T286" s="5">
        <f>IF(OR(O286="",P286=""),"",O286+P286-M286-N286)</f>
        <v/>
      </c>
      <c r="U286" s="5">
        <f>IF(T286="","先填完整分组",IF(T286&lt;30,"样本太少：仅描述",IF(T286&lt;100,"只作试点候选","可进入独立验证")))</f>
        <v/>
      </c>
      <c r="V286" s="3" t="n"/>
      <c r="W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5">
        <f>IF(COUNTA(A287:G287)&lt;7,"",COUNTIFS('原子事实记录'!$C$2:$C$2001,$D287,'原子事实记录'!$E$2:$E$2001,$A287,'原子事实记录'!$F$2:$F$2001,$B287,'原子事实记录'!$G$2:$G$2001,$C287,'原子事实记录'!$I$2:$I$2001,$E287,'原子事实记录'!$J$2:$J$2001,$F287,'原子事实记录'!$Q$2:$Q$2001,"是",'原子事实记录'!$R$2:$R$2001,"TP"))</f>
        <v/>
      </c>
      <c r="I287" s="5">
        <f>IF(COUNTA(A287:G287)&lt;7,"",COUNTIFS('原子事实记录'!$C$2:$C$2001,$D287,'原子事实记录'!$E$2:$E$2001,$A287,'原子事实记录'!$F$2:$F$2001,$B287,'原子事实记录'!$G$2:$G$2001,$C287,'原子事实记录'!$I$2:$I$2001,$E287,'原子事实记录'!$J$2:$J$2001,$F287,'原子事实记录'!$Q$2:$Q$2001,"是",'原子事实记录'!$R$2:$R$2001,"FP"))</f>
        <v/>
      </c>
      <c r="J287" s="5">
        <f>IF(COUNTA(A287:G287)&lt;7,"",COUNTIFS('原子事实记录'!$C$2:$C$2001,$D287,'原子事实记录'!$E$2:$E$2001,$A287,'原子事实记录'!$F$2:$F$2001,$B287,'原子事实记录'!$G$2:$G$2001,$C287,'原子事实记录'!$I$2:$I$2001,$E287,'原子事实记录'!$J$2:$J$2001,$F287,'原子事实记录'!$Q$2:$Q$2001,"是",'原子事实记录'!$R$2:$R$2001,"FN"))</f>
        <v/>
      </c>
      <c r="K287" s="5">
        <f>IF(COUNTA(A287:G287)&lt;7,"",COUNTIFS('原子事实记录'!$C$2:$C$2001,$D287,'原子事实记录'!$E$2:$E$2001,$A287,'原子事实记录'!$F$2:$F$2001,$B287,'原子事实记录'!$G$2:$G$2001,$C287,'原子事实记录'!$I$2:$I$2001,$E287,'原子事实记录'!$J$2:$J$2001,$F287,'原子事实记录'!$Q$2:$Q$2001,"是",'原子事实记录'!$R$2:$R$2001,"TN"))</f>
        <v/>
      </c>
      <c r="L287" s="5">
        <f>IF(COUNTA(A287:G287)&lt;7,"",COUNTIFS('原子事实记录'!$C$2:$C$2001,$D287,'原子事实记录'!$E$2:$E$2001,$A287,'原子事实记录'!$F$2:$F$2001,$B287,'原子事实记录'!$G$2:$G$2001,$C287,'原子事实记录'!$I$2:$I$2001,$E287,'原子事实记录'!$J$2:$J$2001,$F287,'原子事实记录'!$Q$2:$Q$2001,"是",'原子事实记录'!$R$2:$R$2001,"未知"))</f>
        <v/>
      </c>
      <c r="M287" s="3" t="n"/>
      <c r="N287" s="3" t="n"/>
      <c r="O287" s="5">
        <f>IF(OR(G287="",M287="",N287=""),"",M287+IF(G287="肯定主张正确率",H287,IF(G287="否定主张正确率",K287,IF(G287="灵敏度",H287,K287))))</f>
        <v/>
      </c>
      <c r="P287" s="5">
        <f>IF(OR(G287="",M287="",N287=""),"",N287+IF(G287="肯定主张正确率",I287,IF(G287="否定主张正确率",J287,IF(G287="灵敏度",J287,I287))))</f>
        <v/>
      </c>
      <c r="Q287" s="7">
        <f>IF(OR(O287="",P287=""),"",O287/(O287+P287))</f>
        <v/>
      </c>
      <c r="R287" s="7">
        <f>IF(Q287="","",BETA.INV(0.025,O287,P287))</f>
        <v/>
      </c>
      <c r="S287" s="7">
        <f>IF(Q287="","",BETA.INV(0.975,O287,P287))</f>
        <v/>
      </c>
      <c r="T287" s="5">
        <f>IF(OR(O287="",P287=""),"",O287+P287-M287-N287)</f>
        <v/>
      </c>
      <c r="U287" s="5">
        <f>IF(T287="","先填完整分组",IF(T287&lt;30,"样本太少：仅描述",IF(T287&lt;100,"只作试点候选","可进入独立验证")))</f>
        <v/>
      </c>
      <c r="V287" s="3" t="n"/>
      <c r="W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5">
        <f>IF(COUNTA(A288:G288)&lt;7,"",COUNTIFS('原子事实记录'!$C$2:$C$2001,$D288,'原子事实记录'!$E$2:$E$2001,$A288,'原子事实记录'!$F$2:$F$2001,$B288,'原子事实记录'!$G$2:$G$2001,$C288,'原子事实记录'!$I$2:$I$2001,$E288,'原子事实记录'!$J$2:$J$2001,$F288,'原子事实记录'!$Q$2:$Q$2001,"是",'原子事实记录'!$R$2:$R$2001,"TP"))</f>
        <v/>
      </c>
      <c r="I288" s="5">
        <f>IF(COUNTA(A288:G288)&lt;7,"",COUNTIFS('原子事实记录'!$C$2:$C$2001,$D288,'原子事实记录'!$E$2:$E$2001,$A288,'原子事实记录'!$F$2:$F$2001,$B288,'原子事实记录'!$G$2:$G$2001,$C288,'原子事实记录'!$I$2:$I$2001,$E288,'原子事实记录'!$J$2:$J$2001,$F288,'原子事实记录'!$Q$2:$Q$2001,"是",'原子事实记录'!$R$2:$R$2001,"FP"))</f>
        <v/>
      </c>
      <c r="J288" s="5">
        <f>IF(COUNTA(A288:G288)&lt;7,"",COUNTIFS('原子事实记录'!$C$2:$C$2001,$D288,'原子事实记录'!$E$2:$E$2001,$A288,'原子事实记录'!$F$2:$F$2001,$B288,'原子事实记录'!$G$2:$G$2001,$C288,'原子事实记录'!$I$2:$I$2001,$E288,'原子事实记录'!$J$2:$J$2001,$F288,'原子事实记录'!$Q$2:$Q$2001,"是",'原子事实记录'!$R$2:$R$2001,"FN"))</f>
        <v/>
      </c>
      <c r="K288" s="5">
        <f>IF(COUNTA(A288:G288)&lt;7,"",COUNTIFS('原子事实记录'!$C$2:$C$2001,$D288,'原子事实记录'!$E$2:$E$2001,$A288,'原子事实记录'!$F$2:$F$2001,$B288,'原子事实记录'!$G$2:$G$2001,$C288,'原子事实记录'!$I$2:$I$2001,$E288,'原子事实记录'!$J$2:$J$2001,$F288,'原子事实记录'!$Q$2:$Q$2001,"是",'原子事实记录'!$R$2:$R$2001,"TN"))</f>
        <v/>
      </c>
      <c r="L288" s="5">
        <f>IF(COUNTA(A288:G288)&lt;7,"",COUNTIFS('原子事实记录'!$C$2:$C$2001,$D288,'原子事实记录'!$E$2:$E$2001,$A288,'原子事实记录'!$F$2:$F$2001,$B288,'原子事实记录'!$G$2:$G$2001,$C288,'原子事实记录'!$I$2:$I$2001,$E288,'原子事实记录'!$J$2:$J$2001,$F288,'原子事实记录'!$Q$2:$Q$2001,"是",'原子事实记录'!$R$2:$R$2001,"未知"))</f>
        <v/>
      </c>
      <c r="M288" s="3" t="n"/>
      <c r="N288" s="3" t="n"/>
      <c r="O288" s="5">
        <f>IF(OR(G288="",M288="",N288=""),"",M288+IF(G288="肯定主张正确率",H288,IF(G288="否定主张正确率",K288,IF(G288="灵敏度",H288,K288))))</f>
        <v/>
      </c>
      <c r="P288" s="5">
        <f>IF(OR(G288="",M288="",N288=""),"",N288+IF(G288="肯定主张正确率",I288,IF(G288="否定主张正确率",J288,IF(G288="灵敏度",J288,I288))))</f>
        <v/>
      </c>
      <c r="Q288" s="7">
        <f>IF(OR(O288="",P288=""),"",O288/(O288+P288))</f>
        <v/>
      </c>
      <c r="R288" s="7">
        <f>IF(Q288="","",BETA.INV(0.025,O288,P288))</f>
        <v/>
      </c>
      <c r="S288" s="7">
        <f>IF(Q288="","",BETA.INV(0.975,O288,P288))</f>
        <v/>
      </c>
      <c r="T288" s="5">
        <f>IF(OR(O288="",P288=""),"",O288+P288-M288-N288)</f>
        <v/>
      </c>
      <c r="U288" s="5">
        <f>IF(T288="","先填完整分组",IF(T288&lt;30,"样本太少：仅描述",IF(T288&lt;100,"只作试点候选","可进入独立验证")))</f>
        <v/>
      </c>
      <c r="V288" s="3" t="n"/>
      <c r="W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5">
        <f>IF(COUNTA(A289:G289)&lt;7,"",COUNTIFS('原子事实记录'!$C$2:$C$2001,$D289,'原子事实记录'!$E$2:$E$2001,$A289,'原子事实记录'!$F$2:$F$2001,$B289,'原子事实记录'!$G$2:$G$2001,$C289,'原子事实记录'!$I$2:$I$2001,$E289,'原子事实记录'!$J$2:$J$2001,$F289,'原子事实记录'!$Q$2:$Q$2001,"是",'原子事实记录'!$R$2:$R$2001,"TP"))</f>
        <v/>
      </c>
      <c r="I289" s="5">
        <f>IF(COUNTA(A289:G289)&lt;7,"",COUNTIFS('原子事实记录'!$C$2:$C$2001,$D289,'原子事实记录'!$E$2:$E$2001,$A289,'原子事实记录'!$F$2:$F$2001,$B289,'原子事实记录'!$G$2:$G$2001,$C289,'原子事实记录'!$I$2:$I$2001,$E289,'原子事实记录'!$J$2:$J$2001,$F289,'原子事实记录'!$Q$2:$Q$2001,"是",'原子事实记录'!$R$2:$R$2001,"FP"))</f>
        <v/>
      </c>
      <c r="J289" s="5">
        <f>IF(COUNTA(A289:G289)&lt;7,"",COUNTIFS('原子事实记录'!$C$2:$C$2001,$D289,'原子事实记录'!$E$2:$E$2001,$A289,'原子事实记录'!$F$2:$F$2001,$B289,'原子事实记录'!$G$2:$G$2001,$C289,'原子事实记录'!$I$2:$I$2001,$E289,'原子事实记录'!$J$2:$J$2001,$F289,'原子事实记录'!$Q$2:$Q$2001,"是",'原子事实记录'!$R$2:$R$2001,"FN"))</f>
        <v/>
      </c>
      <c r="K289" s="5">
        <f>IF(COUNTA(A289:G289)&lt;7,"",COUNTIFS('原子事实记录'!$C$2:$C$2001,$D289,'原子事实记录'!$E$2:$E$2001,$A289,'原子事实记录'!$F$2:$F$2001,$B289,'原子事实记录'!$G$2:$G$2001,$C289,'原子事实记录'!$I$2:$I$2001,$E289,'原子事实记录'!$J$2:$J$2001,$F289,'原子事实记录'!$Q$2:$Q$2001,"是",'原子事实记录'!$R$2:$R$2001,"TN"))</f>
        <v/>
      </c>
      <c r="L289" s="5">
        <f>IF(COUNTA(A289:G289)&lt;7,"",COUNTIFS('原子事实记录'!$C$2:$C$2001,$D289,'原子事实记录'!$E$2:$E$2001,$A289,'原子事实记录'!$F$2:$F$2001,$B289,'原子事实记录'!$G$2:$G$2001,$C289,'原子事实记录'!$I$2:$I$2001,$E289,'原子事实记录'!$J$2:$J$2001,$F289,'原子事实记录'!$Q$2:$Q$2001,"是",'原子事实记录'!$R$2:$R$2001,"未知"))</f>
        <v/>
      </c>
      <c r="M289" s="3" t="n"/>
      <c r="N289" s="3" t="n"/>
      <c r="O289" s="5">
        <f>IF(OR(G289="",M289="",N289=""),"",M289+IF(G289="肯定主张正确率",H289,IF(G289="否定主张正确率",K289,IF(G289="灵敏度",H289,K289))))</f>
        <v/>
      </c>
      <c r="P289" s="5">
        <f>IF(OR(G289="",M289="",N289=""),"",N289+IF(G289="肯定主张正确率",I289,IF(G289="否定主张正确率",J289,IF(G289="灵敏度",J289,I289))))</f>
        <v/>
      </c>
      <c r="Q289" s="7">
        <f>IF(OR(O289="",P289=""),"",O289/(O289+P289))</f>
        <v/>
      </c>
      <c r="R289" s="7">
        <f>IF(Q289="","",BETA.INV(0.025,O289,P289))</f>
        <v/>
      </c>
      <c r="S289" s="7">
        <f>IF(Q289="","",BETA.INV(0.975,O289,P289))</f>
        <v/>
      </c>
      <c r="T289" s="5">
        <f>IF(OR(O289="",P289=""),"",O289+P289-M289-N289)</f>
        <v/>
      </c>
      <c r="U289" s="5">
        <f>IF(T289="","先填完整分组",IF(T289&lt;30,"样本太少：仅描述",IF(T289&lt;100,"只作试点候选","可进入独立验证")))</f>
        <v/>
      </c>
      <c r="V289" s="3" t="n"/>
      <c r="W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5">
        <f>IF(COUNTA(A290:G290)&lt;7,"",COUNTIFS('原子事实记录'!$C$2:$C$2001,$D290,'原子事实记录'!$E$2:$E$2001,$A290,'原子事实记录'!$F$2:$F$2001,$B290,'原子事实记录'!$G$2:$G$2001,$C290,'原子事实记录'!$I$2:$I$2001,$E290,'原子事实记录'!$J$2:$J$2001,$F290,'原子事实记录'!$Q$2:$Q$2001,"是",'原子事实记录'!$R$2:$R$2001,"TP"))</f>
        <v/>
      </c>
      <c r="I290" s="5">
        <f>IF(COUNTA(A290:G290)&lt;7,"",COUNTIFS('原子事实记录'!$C$2:$C$2001,$D290,'原子事实记录'!$E$2:$E$2001,$A290,'原子事实记录'!$F$2:$F$2001,$B290,'原子事实记录'!$G$2:$G$2001,$C290,'原子事实记录'!$I$2:$I$2001,$E290,'原子事实记录'!$J$2:$J$2001,$F290,'原子事实记录'!$Q$2:$Q$2001,"是",'原子事实记录'!$R$2:$R$2001,"FP"))</f>
        <v/>
      </c>
      <c r="J290" s="5">
        <f>IF(COUNTA(A290:G290)&lt;7,"",COUNTIFS('原子事实记录'!$C$2:$C$2001,$D290,'原子事实记录'!$E$2:$E$2001,$A290,'原子事实记录'!$F$2:$F$2001,$B290,'原子事实记录'!$G$2:$G$2001,$C290,'原子事实记录'!$I$2:$I$2001,$E290,'原子事实记录'!$J$2:$J$2001,$F290,'原子事实记录'!$Q$2:$Q$2001,"是",'原子事实记录'!$R$2:$R$2001,"FN"))</f>
        <v/>
      </c>
      <c r="K290" s="5">
        <f>IF(COUNTA(A290:G290)&lt;7,"",COUNTIFS('原子事实记录'!$C$2:$C$2001,$D290,'原子事实记录'!$E$2:$E$2001,$A290,'原子事实记录'!$F$2:$F$2001,$B290,'原子事实记录'!$G$2:$G$2001,$C290,'原子事实记录'!$I$2:$I$2001,$E290,'原子事实记录'!$J$2:$J$2001,$F290,'原子事实记录'!$Q$2:$Q$2001,"是",'原子事实记录'!$R$2:$R$2001,"TN"))</f>
        <v/>
      </c>
      <c r="L290" s="5">
        <f>IF(COUNTA(A290:G290)&lt;7,"",COUNTIFS('原子事实记录'!$C$2:$C$2001,$D290,'原子事实记录'!$E$2:$E$2001,$A290,'原子事实记录'!$F$2:$F$2001,$B290,'原子事实记录'!$G$2:$G$2001,$C290,'原子事实记录'!$I$2:$I$2001,$E290,'原子事实记录'!$J$2:$J$2001,$F290,'原子事实记录'!$Q$2:$Q$2001,"是",'原子事实记录'!$R$2:$R$2001,"未知"))</f>
        <v/>
      </c>
      <c r="M290" s="3" t="n"/>
      <c r="N290" s="3" t="n"/>
      <c r="O290" s="5">
        <f>IF(OR(G290="",M290="",N290=""),"",M290+IF(G290="肯定主张正确率",H290,IF(G290="否定主张正确率",K290,IF(G290="灵敏度",H290,K290))))</f>
        <v/>
      </c>
      <c r="P290" s="5">
        <f>IF(OR(G290="",M290="",N290=""),"",N290+IF(G290="肯定主张正确率",I290,IF(G290="否定主张正确率",J290,IF(G290="灵敏度",J290,I290))))</f>
        <v/>
      </c>
      <c r="Q290" s="7">
        <f>IF(OR(O290="",P290=""),"",O290/(O290+P290))</f>
        <v/>
      </c>
      <c r="R290" s="7">
        <f>IF(Q290="","",BETA.INV(0.025,O290,P290))</f>
        <v/>
      </c>
      <c r="S290" s="7">
        <f>IF(Q290="","",BETA.INV(0.975,O290,P290))</f>
        <v/>
      </c>
      <c r="T290" s="5">
        <f>IF(OR(O290="",P290=""),"",O290+P290-M290-N290)</f>
        <v/>
      </c>
      <c r="U290" s="5">
        <f>IF(T290="","先填完整分组",IF(T290&lt;30,"样本太少：仅描述",IF(T290&lt;100,"只作试点候选","可进入独立验证")))</f>
        <v/>
      </c>
      <c r="V290" s="3" t="n"/>
      <c r="W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5">
        <f>IF(COUNTA(A291:G291)&lt;7,"",COUNTIFS('原子事实记录'!$C$2:$C$2001,$D291,'原子事实记录'!$E$2:$E$2001,$A291,'原子事实记录'!$F$2:$F$2001,$B291,'原子事实记录'!$G$2:$G$2001,$C291,'原子事实记录'!$I$2:$I$2001,$E291,'原子事实记录'!$J$2:$J$2001,$F291,'原子事实记录'!$Q$2:$Q$2001,"是",'原子事实记录'!$R$2:$R$2001,"TP"))</f>
        <v/>
      </c>
      <c r="I291" s="5">
        <f>IF(COUNTA(A291:G291)&lt;7,"",COUNTIFS('原子事实记录'!$C$2:$C$2001,$D291,'原子事实记录'!$E$2:$E$2001,$A291,'原子事实记录'!$F$2:$F$2001,$B291,'原子事实记录'!$G$2:$G$2001,$C291,'原子事实记录'!$I$2:$I$2001,$E291,'原子事实记录'!$J$2:$J$2001,$F291,'原子事实记录'!$Q$2:$Q$2001,"是",'原子事实记录'!$R$2:$R$2001,"FP"))</f>
        <v/>
      </c>
      <c r="J291" s="5">
        <f>IF(COUNTA(A291:G291)&lt;7,"",COUNTIFS('原子事实记录'!$C$2:$C$2001,$D291,'原子事实记录'!$E$2:$E$2001,$A291,'原子事实记录'!$F$2:$F$2001,$B291,'原子事实记录'!$G$2:$G$2001,$C291,'原子事实记录'!$I$2:$I$2001,$E291,'原子事实记录'!$J$2:$J$2001,$F291,'原子事实记录'!$Q$2:$Q$2001,"是",'原子事实记录'!$R$2:$R$2001,"FN"))</f>
        <v/>
      </c>
      <c r="K291" s="5">
        <f>IF(COUNTA(A291:G291)&lt;7,"",COUNTIFS('原子事实记录'!$C$2:$C$2001,$D291,'原子事实记录'!$E$2:$E$2001,$A291,'原子事实记录'!$F$2:$F$2001,$B291,'原子事实记录'!$G$2:$G$2001,$C291,'原子事实记录'!$I$2:$I$2001,$E291,'原子事实记录'!$J$2:$J$2001,$F291,'原子事实记录'!$Q$2:$Q$2001,"是",'原子事实记录'!$R$2:$R$2001,"TN"))</f>
        <v/>
      </c>
      <c r="L291" s="5">
        <f>IF(COUNTA(A291:G291)&lt;7,"",COUNTIFS('原子事实记录'!$C$2:$C$2001,$D291,'原子事实记录'!$E$2:$E$2001,$A291,'原子事实记录'!$F$2:$F$2001,$B291,'原子事实记录'!$G$2:$G$2001,$C291,'原子事实记录'!$I$2:$I$2001,$E291,'原子事实记录'!$J$2:$J$2001,$F291,'原子事实记录'!$Q$2:$Q$2001,"是",'原子事实记录'!$R$2:$R$2001,"未知"))</f>
        <v/>
      </c>
      <c r="M291" s="3" t="n"/>
      <c r="N291" s="3" t="n"/>
      <c r="O291" s="5">
        <f>IF(OR(G291="",M291="",N291=""),"",M291+IF(G291="肯定主张正确率",H291,IF(G291="否定主张正确率",K291,IF(G291="灵敏度",H291,K291))))</f>
        <v/>
      </c>
      <c r="P291" s="5">
        <f>IF(OR(G291="",M291="",N291=""),"",N291+IF(G291="肯定主张正确率",I291,IF(G291="否定主张正确率",J291,IF(G291="灵敏度",J291,I291))))</f>
        <v/>
      </c>
      <c r="Q291" s="7">
        <f>IF(OR(O291="",P291=""),"",O291/(O291+P291))</f>
        <v/>
      </c>
      <c r="R291" s="7">
        <f>IF(Q291="","",BETA.INV(0.025,O291,P291))</f>
        <v/>
      </c>
      <c r="S291" s="7">
        <f>IF(Q291="","",BETA.INV(0.975,O291,P291))</f>
        <v/>
      </c>
      <c r="T291" s="5">
        <f>IF(OR(O291="",P291=""),"",O291+P291-M291-N291)</f>
        <v/>
      </c>
      <c r="U291" s="5">
        <f>IF(T291="","先填完整分组",IF(T291&lt;30,"样本太少：仅描述",IF(T291&lt;100,"只作试点候选","可进入独立验证")))</f>
        <v/>
      </c>
      <c r="V291" s="3" t="n"/>
      <c r="W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5">
        <f>IF(COUNTA(A292:G292)&lt;7,"",COUNTIFS('原子事实记录'!$C$2:$C$2001,$D292,'原子事实记录'!$E$2:$E$2001,$A292,'原子事实记录'!$F$2:$F$2001,$B292,'原子事实记录'!$G$2:$G$2001,$C292,'原子事实记录'!$I$2:$I$2001,$E292,'原子事实记录'!$J$2:$J$2001,$F292,'原子事实记录'!$Q$2:$Q$2001,"是",'原子事实记录'!$R$2:$R$2001,"TP"))</f>
        <v/>
      </c>
      <c r="I292" s="5">
        <f>IF(COUNTA(A292:G292)&lt;7,"",COUNTIFS('原子事实记录'!$C$2:$C$2001,$D292,'原子事实记录'!$E$2:$E$2001,$A292,'原子事实记录'!$F$2:$F$2001,$B292,'原子事实记录'!$G$2:$G$2001,$C292,'原子事实记录'!$I$2:$I$2001,$E292,'原子事实记录'!$J$2:$J$2001,$F292,'原子事实记录'!$Q$2:$Q$2001,"是",'原子事实记录'!$R$2:$R$2001,"FP"))</f>
        <v/>
      </c>
      <c r="J292" s="5">
        <f>IF(COUNTA(A292:G292)&lt;7,"",COUNTIFS('原子事实记录'!$C$2:$C$2001,$D292,'原子事实记录'!$E$2:$E$2001,$A292,'原子事实记录'!$F$2:$F$2001,$B292,'原子事实记录'!$G$2:$G$2001,$C292,'原子事实记录'!$I$2:$I$2001,$E292,'原子事实记录'!$J$2:$J$2001,$F292,'原子事实记录'!$Q$2:$Q$2001,"是",'原子事实记录'!$R$2:$R$2001,"FN"))</f>
        <v/>
      </c>
      <c r="K292" s="5">
        <f>IF(COUNTA(A292:G292)&lt;7,"",COUNTIFS('原子事实记录'!$C$2:$C$2001,$D292,'原子事实记录'!$E$2:$E$2001,$A292,'原子事实记录'!$F$2:$F$2001,$B292,'原子事实记录'!$G$2:$G$2001,$C292,'原子事实记录'!$I$2:$I$2001,$E292,'原子事实记录'!$J$2:$J$2001,$F292,'原子事实记录'!$Q$2:$Q$2001,"是",'原子事实记录'!$R$2:$R$2001,"TN"))</f>
        <v/>
      </c>
      <c r="L292" s="5">
        <f>IF(COUNTA(A292:G292)&lt;7,"",COUNTIFS('原子事实记录'!$C$2:$C$2001,$D292,'原子事实记录'!$E$2:$E$2001,$A292,'原子事实记录'!$F$2:$F$2001,$B292,'原子事实记录'!$G$2:$G$2001,$C292,'原子事实记录'!$I$2:$I$2001,$E292,'原子事实记录'!$J$2:$J$2001,$F292,'原子事实记录'!$Q$2:$Q$2001,"是",'原子事实记录'!$R$2:$R$2001,"未知"))</f>
        <v/>
      </c>
      <c r="M292" s="3" t="n"/>
      <c r="N292" s="3" t="n"/>
      <c r="O292" s="5">
        <f>IF(OR(G292="",M292="",N292=""),"",M292+IF(G292="肯定主张正确率",H292,IF(G292="否定主张正确率",K292,IF(G292="灵敏度",H292,K292))))</f>
        <v/>
      </c>
      <c r="P292" s="5">
        <f>IF(OR(G292="",M292="",N292=""),"",N292+IF(G292="肯定主张正确率",I292,IF(G292="否定主张正确率",J292,IF(G292="灵敏度",J292,I292))))</f>
        <v/>
      </c>
      <c r="Q292" s="7">
        <f>IF(OR(O292="",P292=""),"",O292/(O292+P292))</f>
        <v/>
      </c>
      <c r="R292" s="7">
        <f>IF(Q292="","",BETA.INV(0.025,O292,P292))</f>
        <v/>
      </c>
      <c r="S292" s="7">
        <f>IF(Q292="","",BETA.INV(0.975,O292,P292))</f>
        <v/>
      </c>
      <c r="T292" s="5">
        <f>IF(OR(O292="",P292=""),"",O292+P292-M292-N292)</f>
        <v/>
      </c>
      <c r="U292" s="5">
        <f>IF(T292="","先填完整分组",IF(T292&lt;30,"样本太少：仅描述",IF(T292&lt;100,"只作试点候选","可进入独立验证")))</f>
        <v/>
      </c>
      <c r="V292" s="3" t="n"/>
      <c r="W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5">
        <f>IF(COUNTA(A293:G293)&lt;7,"",COUNTIFS('原子事实记录'!$C$2:$C$2001,$D293,'原子事实记录'!$E$2:$E$2001,$A293,'原子事实记录'!$F$2:$F$2001,$B293,'原子事实记录'!$G$2:$G$2001,$C293,'原子事实记录'!$I$2:$I$2001,$E293,'原子事实记录'!$J$2:$J$2001,$F293,'原子事实记录'!$Q$2:$Q$2001,"是",'原子事实记录'!$R$2:$R$2001,"TP"))</f>
        <v/>
      </c>
      <c r="I293" s="5">
        <f>IF(COUNTA(A293:G293)&lt;7,"",COUNTIFS('原子事实记录'!$C$2:$C$2001,$D293,'原子事实记录'!$E$2:$E$2001,$A293,'原子事实记录'!$F$2:$F$2001,$B293,'原子事实记录'!$G$2:$G$2001,$C293,'原子事实记录'!$I$2:$I$2001,$E293,'原子事实记录'!$J$2:$J$2001,$F293,'原子事实记录'!$Q$2:$Q$2001,"是",'原子事实记录'!$R$2:$R$2001,"FP"))</f>
        <v/>
      </c>
      <c r="J293" s="5">
        <f>IF(COUNTA(A293:G293)&lt;7,"",COUNTIFS('原子事实记录'!$C$2:$C$2001,$D293,'原子事实记录'!$E$2:$E$2001,$A293,'原子事实记录'!$F$2:$F$2001,$B293,'原子事实记录'!$G$2:$G$2001,$C293,'原子事实记录'!$I$2:$I$2001,$E293,'原子事实记录'!$J$2:$J$2001,$F293,'原子事实记录'!$Q$2:$Q$2001,"是",'原子事实记录'!$R$2:$R$2001,"FN"))</f>
        <v/>
      </c>
      <c r="K293" s="5">
        <f>IF(COUNTA(A293:G293)&lt;7,"",COUNTIFS('原子事实记录'!$C$2:$C$2001,$D293,'原子事实记录'!$E$2:$E$2001,$A293,'原子事实记录'!$F$2:$F$2001,$B293,'原子事实记录'!$G$2:$G$2001,$C293,'原子事实记录'!$I$2:$I$2001,$E293,'原子事实记录'!$J$2:$J$2001,$F293,'原子事实记录'!$Q$2:$Q$2001,"是",'原子事实记录'!$R$2:$R$2001,"TN"))</f>
        <v/>
      </c>
      <c r="L293" s="5">
        <f>IF(COUNTA(A293:G293)&lt;7,"",COUNTIFS('原子事实记录'!$C$2:$C$2001,$D293,'原子事实记录'!$E$2:$E$2001,$A293,'原子事实记录'!$F$2:$F$2001,$B293,'原子事实记录'!$G$2:$G$2001,$C293,'原子事实记录'!$I$2:$I$2001,$E293,'原子事实记录'!$J$2:$J$2001,$F293,'原子事实记录'!$Q$2:$Q$2001,"是",'原子事实记录'!$R$2:$R$2001,"未知"))</f>
        <v/>
      </c>
      <c r="M293" s="3" t="n"/>
      <c r="N293" s="3" t="n"/>
      <c r="O293" s="5">
        <f>IF(OR(G293="",M293="",N293=""),"",M293+IF(G293="肯定主张正确率",H293,IF(G293="否定主张正确率",K293,IF(G293="灵敏度",H293,K293))))</f>
        <v/>
      </c>
      <c r="P293" s="5">
        <f>IF(OR(G293="",M293="",N293=""),"",N293+IF(G293="肯定主张正确率",I293,IF(G293="否定主张正确率",J293,IF(G293="灵敏度",J293,I293))))</f>
        <v/>
      </c>
      <c r="Q293" s="7">
        <f>IF(OR(O293="",P293=""),"",O293/(O293+P293))</f>
        <v/>
      </c>
      <c r="R293" s="7">
        <f>IF(Q293="","",BETA.INV(0.025,O293,P293))</f>
        <v/>
      </c>
      <c r="S293" s="7">
        <f>IF(Q293="","",BETA.INV(0.975,O293,P293))</f>
        <v/>
      </c>
      <c r="T293" s="5">
        <f>IF(OR(O293="",P293=""),"",O293+P293-M293-N293)</f>
        <v/>
      </c>
      <c r="U293" s="5">
        <f>IF(T293="","先填完整分组",IF(T293&lt;30,"样本太少：仅描述",IF(T293&lt;100,"只作试点候选","可进入独立验证")))</f>
        <v/>
      </c>
      <c r="V293" s="3" t="n"/>
      <c r="W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5">
        <f>IF(COUNTA(A294:G294)&lt;7,"",COUNTIFS('原子事实记录'!$C$2:$C$2001,$D294,'原子事实记录'!$E$2:$E$2001,$A294,'原子事实记录'!$F$2:$F$2001,$B294,'原子事实记录'!$G$2:$G$2001,$C294,'原子事实记录'!$I$2:$I$2001,$E294,'原子事实记录'!$J$2:$J$2001,$F294,'原子事实记录'!$Q$2:$Q$2001,"是",'原子事实记录'!$R$2:$R$2001,"TP"))</f>
        <v/>
      </c>
      <c r="I294" s="5">
        <f>IF(COUNTA(A294:G294)&lt;7,"",COUNTIFS('原子事实记录'!$C$2:$C$2001,$D294,'原子事实记录'!$E$2:$E$2001,$A294,'原子事实记录'!$F$2:$F$2001,$B294,'原子事实记录'!$G$2:$G$2001,$C294,'原子事实记录'!$I$2:$I$2001,$E294,'原子事实记录'!$J$2:$J$2001,$F294,'原子事实记录'!$Q$2:$Q$2001,"是",'原子事实记录'!$R$2:$R$2001,"FP"))</f>
        <v/>
      </c>
      <c r="J294" s="5">
        <f>IF(COUNTA(A294:G294)&lt;7,"",COUNTIFS('原子事实记录'!$C$2:$C$2001,$D294,'原子事实记录'!$E$2:$E$2001,$A294,'原子事实记录'!$F$2:$F$2001,$B294,'原子事实记录'!$G$2:$G$2001,$C294,'原子事实记录'!$I$2:$I$2001,$E294,'原子事实记录'!$J$2:$J$2001,$F294,'原子事实记录'!$Q$2:$Q$2001,"是",'原子事实记录'!$R$2:$R$2001,"FN"))</f>
        <v/>
      </c>
      <c r="K294" s="5">
        <f>IF(COUNTA(A294:G294)&lt;7,"",COUNTIFS('原子事实记录'!$C$2:$C$2001,$D294,'原子事实记录'!$E$2:$E$2001,$A294,'原子事实记录'!$F$2:$F$2001,$B294,'原子事实记录'!$G$2:$G$2001,$C294,'原子事实记录'!$I$2:$I$2001,$E294,'原子事实记录'!$J$2:$J$2001,$F294,'原子事实记录'!$Q$2:$Q$2001,"是",'原子事实记录'!$R$2:$R$2001,"TN"))</f>
        <v/>
      </c>
      <c r="L294" s="5">
        <f>IF(COUNTA(A294:G294)&lt;7,"",COUNTIFS('原子事实记录'!$C$2:$C$2001,$D294,'原子事实记录'!$E$2:$E$2001,$A294,'原子事实记录'!$F$2:$F$2001,$B294,'原子事实记录'!$G$2:$G$2001,$C294,'原子事实记录'!$I$2:$I$2001,$E294,'原子事实记录'!$J$2:$J$2001,$F294,'原子事实记录'!$Q$2:$Q$2001,"是",'原子事实记录'!$R$2:$R$2001,"未知"))</f>
        <v/>
      </c>
      <c r="M294" s="3" t="n"/>
      <c r="N294" s="3" t="n"/>
      <c r="O294" s="5">
        <f>IF(OR(G294="",M294="",N294=""),"",M294+IF(G294="肯定主张正确率",H294,IF(G294="否定主张正确率",K294,IF(G294="灵敏度",H294,K294))))</f>
        <v/>
      </c>
      <c r="P294" s="5">
        <f>IF(OR(G294="",M294="",N294=""),"",N294+IF(G294="肯定主张正确率",I294,IF(G294="否定主张正确率",J294,IF(G294="灵敏度",J294,I294))))</f>
        <v/>
      </c>
      <c r="Q294" s="7">
        <f>IF(OR(O294="",P294=""),"",O294/(O294+P294))</f>
        <v/>
      </c>
      <c r="R294" s="7">
        <f>IF(Q294="","",BETA.INV(0.025,O294,P294))</f>
        <v/>
      </c>
      <c r="S294" s="7">
        <f>IF(Q294="","",BETA.INV(0.975,O294,P294))</f>
        <v/>
      </c>
      <c r="T294" s="5">
        <f>IF(OR(O294="",P294=""),"",O294+P294-M294-N294)</f>
        <v/>
      </c>
      <c r="U294" s="5">
        <f>IF(T294="","先填完整分组",IF(T294&lt;30,"样本太少：仅描述",IF(T294&lt;100,"只作试点候选","可进入独立验证")))</f>
        <v/>
      </c>
      <c r="V294" s="3" t="n"/>
      <c r="W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5">
        <f>IF(COUNTA(A295:G295)&lt;7,"",COUNTIFS('原子事实记录'!$C$2:$C$2001,$D295,'原子事实记录'!$E$2:$E$2001,$A295,'原子事实记录'!$F$2:$F$2001,$B295,'原子事实记录'!$G$2:$G$2001,$C295,'原子事实记录'!$I$2:$I$2001,$E295,'原子事实记录'!$J$2:$J$2001,$F295,'原子事实记录'!$Q$2:$Q$2001,"是",'原子事实记录'!$R$2:$R$2001,"TP"))</f>
        <v/>
      </c>
      <c r="I295" s="5">
        <f>IF(COUNTA(A295:G295)&lt;7,"",COUNTIFS('原子事实记录'!$C$2:$C$2001,$D295,'原子事实记录'!$E$2:$E$2001,$A295,'原子事实记录'!$F$2:$F$2001,$B295,'原子事实记录'!$G$2:$G$2001,$C295,'原子事实记录'!$I$2:$I$2001,$E295,'原子事实记录'!$J$2:$J$2001,$F295,'原子事实记录'!$Q$2:$Q$2001,"是",'原子事实记录'!$R$2:$R$2001,"FP"))</f>
        <v/>
      </c>
      <c r="J295" s="5">
        <f>IF(COUNTA(A295:G295)&lt;7,"",COUNTIFS('原子事实记录'!$C$2:$C$2001,$D295,'原子事实记录'!$E$2:$E$2001,$A295,'原子事实记录'!$F$2:$F$2001,$B295,'原子事实记录'!$G$2:$G$2001,$C295,'原子事实记录'!$I$2:$I$2001,$E295,'原子事实记录'!$J$2:$J$2001,$F295,'原子事实记录'!$Q$2:$Q$2001,"是",'原子事实记录'!$R$2:$R$2001,"FN"))</f>
        <v/>
      </c>
      <c r="K295" s="5">
        <f>IF(COUNTA(A295:G295)&lt;7,"",COUNTIFS('原子事实记录'!$C$2:$C$2001,$D295,'原子事实记录'!$E$2:$E$2001,$A295,'原子事实记录'!$F$2:$F$2001,$B295,'原子事实记录'!$G$2:$G$2001,$C295,'原子事实记录'!$I$2:$I$2001,$E295,'原子事实记录'!$J$2:$J$2001,$F295,'原子事实记录'!$Q$2:$Q$2001,"是",'原子事实记录'!$R$2:$R$2001,"TN"))</f>
        <v/>
      </c>
      <c r="L295" s="5">
        <f>IF(COUNTA(A295:G295)&lt;7,"",COUNTIFS('原子事实记录'!$C$2:$C$2001,$D295,'原子事实记录'!$E$2:$E$2001,$A295,'原子事实记录'!$F$2:$F$2001,$B295,'原子事实记录'!$G$2:$G$2001,$C295,'原子事实记录'!$I$2:$I$2001,$E295,'原子事实记录'!$J$2:$J$2001,$F295,'原子事实记录'!$Q$2:$Q$2001,"是",'原子事实记录'!$R$2:$R$2001,"未知"))</f>
        <v/>
      </c>
      <c r="M295" s="3" t="n"/>
      <c r="N295" s="3" t="n"/>
      <c r="O295" s="5">
        <f>IF(OR(G295="",M295="",N295=""),"",M295+IF(G295="肯定主张正确率",H295,IF(G295="否定主张正确率",K295,IF(G295="灵敏度",H295,K295))))</f>
        <v/>
      </c>
      <c r="P295" s="5">
        <f>IF(OR(G295="",M295="",N295=""),"",N295+IF(G295="肯定主张正确率",I295,IF(G295="否定主张正确率",J295,IF(G295="灵敏度",J295,I295))))</f>
        <v/>
      </c>
      <c r="Q295" s="7">
        <f>IF(OR(O295="",P295=""),"",O295/(O295+P295))</f>
        <v/>
      </c>
      <c r="R295" s="7">
        <f>IF(Q295="","",BETA.INV(0.025,O295,P295))</f>
        <v/>
      </c>
      <c r="S295" s="7">
        <f>IF(Q295="","",BETA.INV(0.975,O295,P295))</f>
        <v/>
      </c>
      <c r="T295" s="5">
        <f>IF(OR(O295="",P295=""),"",O295+P295-M295-N295)</f>
        <v/>
      </c>
      <c r="U295" s="5">
        <f>IF(T295="","先填完整分组",IF(T295&lt;30,"样本太少：仅描述",IF(T295&lt;100,"只作试点候选","可进入独立验证")))</f>
        <v/>
      </c>
      <c r="V295" s="3" t="n"/>
      <c r="W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5">
        <f>IF(COUNTA(A296:G296)&lt;7,"",COUNTIFS('原子事实记录'!$C$2:$C$2001,$D296,'原子事实记录'!$E$2:$E$2001,$A296,'原子事实记录'!$F$2:$F$2001,$B296,'原子事实记录'!$G$2:$G$2001,$C296,'原子事实记录'!$I$2:$I$2001,$E296,'原子事实记录'!$J$2:$J$2001,$F296,'原子事实记录'!$Q$2:$Q$2001,"是",'原子事实记录'!$R$2:$R$2001,"TP"))</f>
        <v/>
      </c>
      <c r="I296" s="5">
        <f>IF(COUNTA(A296:G296)&lt;7,"",COUNTIFS('原子事实记录'!$C$2:$C$2001,$D296,'原子事实记录'!$E$2:$E$2001,$A296,'原子事实记录'!$F$2:$F$2001,$B296,'原子事实记录'!$G$2:$G$2001,$C296,'原子事实记录'!$I$2:$I$2001,$E296,'原子事实记录'!$J$2:$J$2001,$F296,'原子事实记录'!$Q$2:$Q$2001,"是",'原子事实记录'!$R$2:$R$2001,"FP"))</f>
        <v/>
      </c>
      <c r="J296" s="5">
        <f>IF(COUNTA(A296:G296)&lt;7,"",COUNTIFS('原子事实记录'!$C$2:$C$2001,$D296,'原子事实记录'!$E$2:$E$2001,$A296,'原子事实记录'!$F$2:$F$2001,$B296,'原子事实记录'!$G$2:$G$2001,$C296,'原子事实记录'!$I$2:$I$2001,$E296,'原子事实记录'!$J$2:$J$2001,$F296,'原子事实记录'!$Q$2:$Q$2001,"是",'原子事实记录'!$R$2:$R$2001,"FN"))</f>
        <v/>
      </c>
      <c r="K296" s="5">
        <f>IF(COUNTA(A296:G296)&lt;7,"",COUNTIFS('原子事实记录'!$C$2:$C$2001,$D296,'原子事实记录'!$E$2:$E$2001,$A296,'原子事实记录'!$F$2:$F$2001,$B296,'原子事实记录'!$G$2:$G$2001,$C296,'原子事实记录'!$I$2:$I$2001,$E296,'原子事实记录'!$J$2:$J$2001,$F296,'原子事实记录'!$Q$2:$Q$2001,"是",'原子事实记录'!$R$2:$R$2001,"TN"))</f>
        <v/>
      </c>
      <c r="L296" s="5">
        <f>IF(COUNTA(A296:G296)&lt;7,"",COUNTIFS('原子事实记录'!$C$2:$C$2001,$D296,'原子事实记录'!$E$2:$E$2001,$A296,'原子事实记录'!$F$2:$F$2001,$B296,'原子事实记录'!$G$2:$G$2001,$C296,'原子事实记录'!$I$2:$I$2001,$E296,'原子事实记录'!$J$2:$J$2001,$F296,'原子事实记录'!$Q$2:$Q$2001,"是",'原子事实记录'!$R$2:$R$2001,"未知"))</f>
        <v/>
      </c>
      <c r="M296" s="3" t="n"/>
      <c r="N296" s="3" t="n"/>
      <c r="O296" s="5">
        <f>IF(OR(G296="",M296="",N296=""),"",M296+IF(G296="肯定主张正确率",H296,IF(G296="否定主张正确率",K296,IF(G296="灵敏度",H296,K296))))</f>
        <v/>
      </c>
      <c r="P296" s="5">
        <f>IF(OR(G296="",M296="",N296=""),"",N296+IF(G296="肯定主张正确率",I296,IF(G296="否定主张正确率",J296,IF(G296="灵敏度",J296,I296))))</f>
        <v/>
      </c>
      <c r="Q296" s="7">
        <f>IF(OR(O296="",P296=""),"",O296/(O296+P296))</f>
        <v/>
      </c>
      <c r="R296" s="7">
        <f>IF(Q296="","",BETA.INV(0.025,O296,P296))</f>
        <v/>
      </c>
      <c r="S296" s="7">
        <f>IF(Q296="","",BETA.INV(0.975,O296,P296))</f>
        <v/>
      </c>
      <c r="T296" s="5">
        <f>IF(OR(O296="",P296=""),"",O296+P296-M296-N296)</f>
        <v/>
      </c>
      <c r="U296" s="5">
        <f>IF(T296="","先填完整分组",IF(T296&lt;30,"样本太少：仅描述",IF(T296&lt;100,"只作试点候选","可进入独立验证")))</f>
        <v/>
      </c>
      <c r="V296" s="3" t="n"/>
      <c r="W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5">
        <f>IF(COUNTA(A297:G297)&lt;7,"",COUNTIFS('原子事实记录'!$C$2:$C$2001,$D297,'原子事实记录'!$E$2:$E$2001,$A297,'原子事实记录'!$F$2:$F$2001,$B297,'原子事实记录'!$G$2:$G$2001,$C297,'原子事实记录'!$I$2:$I$2001,$E297,'原子事实记录'!$J$2:$J$2001,$F297,'原子事实记录'!$Q$2:$Q$2001,"是",'原子事实记录'!$R$2:$R$2001,"TP"))</f>
        <v/>
      </c>
      <c r="I297" s="5">
        <f>IF(COUNTA(A297:G297)&lt;7,"",COUNTIFS('原子事实记录'!$C$2:$C$2001,$D297,'原子事实记录'!$E$2:$E$2001,$A297,'原子事实记录'!$F$2:$F$2001,$B297,'原子事实记录'!$G$2:$G$2001,$C297,'原子事实记录'!$I$2:$I$2001,$E297,'原子事实记录'!$J$2:$J$2001,$F297,'原子事实记录'!$Q$2:$Q$2001,"是",'原子事实记录'!$R$2:$R$2001,"FP"))</f>
        <v/>
      </c>
      <c r="J297" s="5">
        <f>IF(COUNTA(A297:G297)&lt;7,"",COUNTIFS('原子事实记录'!$C$2:$C$2001,$D297,'原子事实记录'!$E$2:$E$2001,$A297,'原子事实记录'!$F$2:$F$2001,$B297,'原子事实记录'!$G$2:$G$2001,$C297,'原子事实记录'!$I$2:$I$2001,$E297,'原子事实记录'!$J$2:$J$2001,$F297,'原子事实记录'!$Q$2:$Q$2001,"是",'原子事实记录'!$R$2:$R$2001,"FN"))</f>
        <v/>
      </c>
      <c r="K297" s="5">
        <f>IF(COUNTA(A297:G297)&lt;7,"",COUNTIFS('原子事实记录'!$C$2:$C$2001,$D297,'原子事实记录'!$E$2:$E$2001,$A297,'原子事实记录'!$F$2:$F$2001,$B297,'原子事实记录'!$G$2:$G$2001,$C297,'原子事实记录'!$I$2:$I$2001,$E297,'原子事实记录'!$J$2:$J$2001,$F297,'原子事实记录'!$Q$2:$Q$2001,"是",'原子事实记录'!$R$2:$R$2001,"TN"))</f>
        <v/>
      </c>
      <c r="L297" s="5">
        <f>IF(COUNTA(A297:G297)&lt;7,"",COUNTIFS('原子事实记录'!$C$2:$C$2001,$D297,'原子事实记录'!$E$2:$E$2001,$A297,'原子事实记录'!$F$2:$F$2001,$B297,'原子事实记录'!$G$2:$G$2001,$C297,'原子事实记录'!$I$2:$I$2001,$E297,'原子事实记录'!$J$2:$J$2001,$F297,'原子事实记录'!$Q$2:$Q$2001,"是",'原子事实记录'!$R$2:$R$2001,"未知"))</f>
        <v/>
      </c>
      <c r="M297" s="3" t="n"/>
      <c r="N297" s="3" t="n"/>
      <c r="O297" s="5">
        <f>IF(OR(G297="",M297="",N297=""),"",M297+IF(G297="肯定主张正确率",H297,IF(G297="否定主张正确率",K297,IF(G297="灵敏度",H297,K297))))</f>
        <v/>
      </c>
      <c r="P297" s="5">
        <f>IF(OR(G297="",M297="",N297=""),"",N297+IF(G297="肯定主张正确率",I297,IF(G297="否定主张正确率",J297,IF(G297="灵敏度",J297,I297))))</f>
        <v/>
      </c>
      <c r="Q297" s="7">
        <f>IF(OR(O297="",P297=""),"",O297/(O297+P297))</f>
        <v/>
      </c>
      <c r="R297" s="7">
        <f>IF(Q297="","",BETA.INV(0.025,O297,P297))</f>
        <v/>
      </c>
      <c r="S297" s="7">
        <f>IF(Q297="","",BETA.INV(0.975,O297,P297))</f>
        <v/>
      </c>
      <c r="T297" s="5">
        <f>IF(OR(O297="",P297=""),"",O297+P297-M297-N297)</f>
        <v/>
      </c>
      <c r="U297" s="5">
        <f>IF(T297="","先填完整分组",IF(T297&lt;30,"样本太少：仅描述",IF(T297&lt;100,"只作试点候选","可进入独立验证")))</f>
        <v/>
      </c>
      <c r="V297" s="3" t="n"/>
      <c r="W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5">
        <f>IF(COUNTA(A298:G298)&lt;7,"",COUNTIFS('原子事实记录'!$C$2:$C$2001,$D298,'原子事实记录'!$E$2:$E$2001,$A298,'原子事实记录'!$F$2:$F$2001,$B298,'原子事实记录'!$G$2:$G$2001,$C298,'原子事实记录'!$I$2:$I$2001,$E298,'原子事实记录'!$J$2:$J$2001,$F298,'原子事实记录'!$Q$2:$Q$2001,"是",'原子事实记录'!$R$2:$R$2001,"TP"))</f>
        <v/>
      </c>
      <c r="I298" s="5">
        <f>IF(COUNTA(A298:G298)&lt;7,"",COUNTIFS('原子事实记录'!$C$2:$C$2001,$D298,'原子事实记录'!$E$2:$E$2001,$A298,'原子事实记录'!$F$2:$F$2001,$B298,'原子事实记录'!$G$2:$G$2001,$C298,'原子事实记录'!$I$2:$I$2001,$E298,'原子事实记录'!$J$2:$J$2001,$F298,'原子事实记录'!$Q$2:$Q$2001,"是",'原子事实记录'!$R$2:$R$2001,"FP"))</f>
        <v/>
      </c>
      <c r="J298" s="5">
        <f>IF(COUNTA(A298:G298)&lt;7,"",COUNTIFS('原子事实记录'!$C$2:$C$2001,$D298,'原子事实记录'!$E$2:$E$2001,$A298,'原子事实记录'!$F$2:$F$2001,$B298,'原子事实记录'!$G$2:$G$2001,$C298,'原子事实记录'!$I$2:$I$2001,$E298,'原子事实记录'!$J$2:$J$2001,$F298,'原子事实记录'!$Q$2:$Q$2001,"是",'原子事实记录'!$R$2:$R$2001,"FN"))</f>
        <v/>
      </c>
      <c r="K298" s="5">
        <f>IF(COUNTA(A298:G298)&lt;7,"",COUNTIFS('原子事实记录'!$C$2:$C$2001,$D298,'原子事实记录'!$E$2:$E$2001,$A298,'原子事实记录'!$F$2:$F$2001,$B298,'原子事实记录'!$G$2:$G$2001,$C298,'原子事实记录'!$I$2:$I$2001,$E298,'原子事实记录'!$J$2:$J$2001,$F298,'原子事实记录'!$Q$2:$Q$2001,"是",'原子事实记录'!$R$2:$R$2001,"TN"))</f>
        <v/>
      </c>
      <c r="L298" s="5">
        <f>IF(COUNTA(A298:G298)&lt;7,"",COUNTIFS('原子事实记录'!$C$2:$C$2001,$D298,'原子事实记录'!$E$2:$E$2001,$A298,'原子事实记录'!$F$2:$F$2001,$B298,'原子事实记录'!$G$2:$G$2001,$C298,'原子事实记录'!$I$2:$I$2001,$E298,'原子事实记录'!$J$2:$J$2001,$F298,'原子事实记录'!$Q$2:$Q$2001,"是",'原子事实记录'!$R$2:$R$2001,"未知"))</f>
        <v/>
      </c>
      <c r="M298" s="3" t="n"/>
      <c r="N298" s="3" t="n"/>
      <c r="O298" s="5">
        <f>IF(OR(G298="",M298="",N298=""),"",M298+IF(G298="肯定主张正确率",H298,IF(G298="否定主张正确率",K298,IF(G298="灵敏度",H298,K298))))</f>
        <v/>
      </c>
      <c r="P298" s="5">
        <f>IF(OR(G298="",M298="",N298=""),"",N298+IF(G298="肯定主张正确率",I298,IF(G298="否定主张正确率",J298,IF(G298="灵敏度",J298,I298))))</f>
        <v/>
      </c>
      <c r="Q298" s="7">
        <f>IF(OR(O298="",P298=""),"",O298/(O298+P298))</f>
        <v/>
      </c>
      <c r="R298" s="7">
        <f>IF(Q298="","",BETA.INV(0.025,O298,P298))</f>
        <v/>
      </c>
      <c r="S298" s="7">
        <f>IF(Q298="","",BETA.INV(0.975,O298,P298))</f>
        <v/>
      </c>
      <c r="T298" s="5">
        <f>IF(OR(O298="",P298=""),"",O298+P298-M298-N298)</f>
        <v/>
      </c>
      <c r="U298" s="5">
        <f>IF(T298="","先填完整分组",IF(T298&lt;30,"样本太少：仅描述",IF(T298&lt;100,"只作试点候选","可进入独立验证")))</f>
        <v/>
      </c>
      <c r="V298" s="3" t="n"/>
      <c r="W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5">
        <f>IF(COUNTA(A299:G299)&lt;7,"",COUNTIFS('原子事实记录'!$C$2:$C$2001,$D299,'原子事实记录'!$E$2:$E$2001,$A299,'原子事实记录'!$F$2:$F$2001,$B299,'原子事实记录'!$G$2:$G$2001,$C299,'原子事实记录'!$I$2:$I$2001,$E299,'原子事实记录'!$J$2:$J$2001,$F299,'原子事实记录'!$Q$2:$Q$2001,"是",'原子事实记录'!$R$2:$R$2001,"TP"))</f>
        <v/>
      </c>
      <c r="I299" s="5">
        <f>IF(COUNTA(A299:G299)&lt;7,"",COUNTIFS('原子事实记录'!$C$2:$C$2001,$D299,'原子事实记录'!$E$2:$E$2001,$A299,'原子事实记录'!$F$2:$F$2001,$B299,'原子事实记录'!$G$2:$G$2001,$C299,'原子事实记录'!$I$2:$I$2001,$E299,'原子事实记录'!$J$2:$J$2001,$F299,'原子事实记录'!$Q$2:$Q$2001,"是",'原子事实记录'!$R$2:$R$2001,"FP"))</f>
        <v/>
      </c>
      <c r="J299" s="5">
        <f>IF(COUNTA(A299:G299)&lt;7,"",COUNTIFS('原子事实记录'!$C$2:$C$2001,$D299,'原子事实记录'!$E$2:$E$2001,$A299,'原子事实记录'!$F$2:$F$2001,$B299,'原子事实记录'!$G$2:$G$2001,$C299,'原子事实记录'!$I$2:$I$2001,$E299,'原子事实记录'!$J$2:$J$2001,$F299,'原子事实记录'!$Q$2:$Q$2001,"是",'原子事实记录'!$R$2:$R$2001,"FN"))</f>
        <v/>
      </c>
      <c r="K299" s="5">
        <f>IF(COUNTA(A299:G299)&lt;7,"",COUNTIFS('原子事实记录'!$C$2:$C$2001,$D299,'原子事实记录'!$E$2:$E$2001,$A299,'原子事实记录'!$F$2:$F$2001,$B299,'原子事实记录'!$G$2:$G$2001,$C299,'原子事实记录'!$I$2:$I$2001,$E299,'原子事实记录'!$J$2:$J$2001,$F299,'原子事实记录'!$Q$2:$Q$2001,"是",'原子事实记录'!$R$2:$R$2001,"TN"))</f>
        <v/>
      </c>
      <c r="L299" s="5">
        <f>IF(COUNTA(A299:G299)&lt;7,"",COUNTIFS('原子事实记录'!$C$2:$C$2001,$D299,'原子事实记录'!$E$2:$E$2001,$A299,'原子事实记录'!$F$2:$F$2001,$B299,'原子事实记录'!$G$2:$G$2001,$C299,'原子事实记录'!$I$2:$I$2001,$E299,'原子事实记录'!$J$2:$J$2001,$F299,'原子事实记录'!$Q$2:$Q$2001,"是",'原子事实记录'!$R$2:$R$2001,"未知"))</f>
        <v/>
      </c>
      <c r="M299" s="3" t="n"/>
      <c r="N299" s="3" t="n"/>
      <c r="O299" s="5">
        <f>IF(OR(G299="",M299="",N299=""),"",M299+IF(G299="肯定主张正确率",H299,IF(G299="否定主张正确率",K299,IF(G299="灵敏度",H299,K299))))</f>
        <v/>
      </c>
      <c r="P299" s="5">
        <f>IF(OR(G299="",M299="",N299=""),"",N299+IF(G299="肯定主张正确率",I299,IF(G299="否定主张正确率",J299,IF(G299="灵敏度",J299,I299))))</f>
        <v/>
      </c>
      <c r="Q299" s="7">
        <f>IF(OR(O299="",P299=""),"",O299/(O299+P299))</f>
        <v/>
      </c>
      <c r="R299" s="7">
        <f>IF(Q299="","",BETA.INV(0.025,O299,P299))</f>
        <v/>
      </c>
      <c r="S299" s="7">
        <f>IF(Q299="","",BETA.INV(0.975,O299,P299))</f>
        <v/>
      </c>
      <c r="T299" s="5">
        <f>IF(OR(O299="",P299=""),"",O299+P299-M299-N299)</f>
        <v/>
      </c>
      <c r="U299" s="5">
        <f>IF(T299="","先填完整分组",IF(T299&lt;30,"样本太少：仅描述",IF(T299&lt;100,"只作试点候选","可进入独立验证")))</f>
        <v/>
      </c>
      <c r="V299" s="3" t="n"/>
      <c r="W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5">
        <f>IF(COUNTA(A300:G300)&lt;7,"",COUNTIFS('原子事实记录'!$C$2:$C$2001,$D300,'原子事实记录'!$E$2:$E$2001,$A300,'原子事实记录'!$F$2:$F$2001,$B300,'原子事实记录'!$G$2:$G$2001,$C300,'原子事实记录'!$I$2:$I$2001,$E300,'原子事实记录'!$J$2:$J$2001,$F300,'原子事实记录'!$Q$2:$Q$2001,"是",'原子事实记录'!$R$2:$R$2001,"TP"))</f>
        <v/>
      </c>
      <c r="I300" s="5">
        <f>IF(COUNTA(A300:G300)&lt;7,"",COUNTIFS('原子事实记录'!$C$2:$C$2001,$D300,'原子事实记录'!$E$2:$E$2001,$A300,'原子事实记录'!$F$2:$F$2001,$B300,'原子事实记录'!$G$2:$G$2001,$C300,'原子事实记录'!$I$2:$I$2001,$E300,'原子事实记录'!$J$2:$J$2001,$F300,'原子事实记录'!$Q$2:$Q$2001,"是",'原子事实记录'!$R$2:$R$2001,"FP"))</f>
        <v/>
      </c>
      <c r="J300" s="5">
        <f>IF(COUNTA(A300:G300)&lt;7,"",COUNTIFS('原子事实记录'!$C$2:$C$2001,$D300,'原子事实记录'!$E$2:$E$2001,$A300,'原子事实记录'!$F$2:$F$2001,$B300,'原子事实记录'!$G$2:$G$2001,$C300,'原子事实记录'!$I$2:$I$2001,$E300,'原子事实记录'!$J$2:$J$2001,$F300,'原子事实记录'!$Q$2:$Q$2001,"是",'原子事实记录'!$R$2:$R$2001,"FN"))</f>
        <v/>
      </c>
      <c r="K300" s="5">
        <f>IF(COUNTA(A300:G300)&lt;7,"",COUNTIFS('原子事实记录'!$C$2:$C$2001,$D300,'原子事实记录'!$E$2:$E$2001,$A300,'原子事实记录'!$F$2:$F$2001,$B300,'原子事实记录'!$G$2:$G$2001,$C300,'原子事实记录'!$I$2:$I$2001,$E300,'原子事实记录'!$J$2:$J$2001,$F300,'原子事实记录'!$Q$2:$Q$2001,"是",'原子事实记录'!$R$2:$R$2001,"TN"))</f>
        <v/>
      </c>
      <c r="L300" s="5">
        <f>IF(COUNTA(A300:G300)&lt;7,"",COUNTIFS('原子事实记录'!$C$2:$C$2001,$D300,'原子事实记录'!$E$2:$E$2001,$A300,'原子事实记录'!$F$2:$F$2001,$B300,'原子事实记录'!$G$2:$G$2001,$C300,'原子事实记录'!$I$2:$I$2001,$E300,'原子事实记录'!$J$2:$J$2001,$F300,'原子事实记录'!$Q$2:$Q$2001,"是",'原子事实记录'!$R$2:$R$2001,"未知"))</f>
        <v/>
      </c>
      <c r="M300" s="3" t="n"/>
      <c r="N300" s="3" t="n"/>
      <c r="O300" s="5">
        <f>IF(OR(G300="",M300="",N300=""),"",M300+IF(G300="肯定主张正确率",H300,IF(G300="否定主张正确率",K300,IF(G300="灵敏度",H300,K300))))</f>
        <v/>
      </c>
      <c r="P300" s="5">
        <f>IF(OR(G300="",M300="",N300=""),"",N300+IF(G300="肯定主张正确率",I300,IF(G300="否定主张正确率",J300,IF(G300="灵敏度",J300,I300))))</f>
        <v/>
      </c>
      <c r="Q300" s="7">
        <f>IF(OR(O300="",P300=""),"",O300/(O300+P300))</f>
        <v/>
      </c>
      <c r="R300" s="7">
        <f>IF(Q300="","",BETA.INV(0.025,O300,P300))</f>
        <v/>
      </c>
      <c r="S300" s="7">
        <f>IF(Q300="","",BETA.INV(0.975,O300,P300))</f>
        <v/>
      </c>
      <c r="T300" s="5">
        <f>IF(OR(O300="",P300=""),"",O300+P300-M300-N300)</f>
        <v/>
      </c>
      <c r="U300" s="5">
        <f>IF(T300="","先填完整分组",IF(T300&lt;30,"样本太少：仅描述",IF(T300&lt;100,"只作试点候选","可进入独立验证")))</f>
        <v/>
      </c>
      <c r="V300" s="3" t="n"/>
      <c r="W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5">
        <f>IF(COUNTA(A301:G301)&lt;7,"",COUNTIFS('原子事实记录'!$C$2:$C$2001,$D301,'原子事实记录'!$E$2:$E$2001,$A301,'原子事实记录'!$F$2:$F$2001,$B301,'原子事实记录'!$G$2:$G$2001,$C301,'原子事实记录'!$I$2:$I$2001,$E301,'原子事实记录'!$J$2:$J$2001,$F301,'原子事实记录'!$Q$2:$Q$2001,"是",'原子事实记录'!$R$2:$R$2001,"TP"))</f>
        <v/>
      </c>
      <c r="I301" s="5">
        <f>IF(COUNTA(A301:G301)&lt;7,"",COUNTIFS('原子事实记录'!$C$2:$C$2001,$D301,'原子事实记录'!$E$2:$E$2001,$A301,'原子事实记录'!$F$2:$F$2001,$B301,'原子事实记录'!$G$2:$G$2001,$C301,'原子事实记录'!$I$2:$I$2001,$E301,'原子事实记录'!$J$2:$J$2001,$F301,'原子事实记录'!$Q$2:$Q$2001,"是",'原子事实记录'!$R$2:$R$2001,"FP"))</f>
        <v/>
      </c>
      <c r="J301" s="5">
        <f>IF(COUNTA(A301:G301)&lt;7,"",COUNTIFS('原子事实记录'!$C$2:$C$2001,$D301,'原子事实记录'!$E$2:$E$2001,$A301,'原子事实记录'!$F$2:$F$2001,$B301,'原子事实记录'!$G$2:$G$2001,$C301,'原子事实记录'!$I$2:$I$2001,$E301,'原子事实记录'!$J$2:$J$2001,$F301,'原子事实记录'!$Q$2:$Q$2001,"是",'原子事实记录'!$R$2:$R$2001,"FN"))</f>
        <v/>
      </c>
      <c r="K301" s="5">
        <f>IF(COUNTA(A301:G301)&lt;7,"",COUNTIFS('原子事实记录'!$C$2:$C$2001,$D301,'原子事实记录'!$E$2:$E$2001,$A301,'原子事实记录'!$F$2:$F$2001,$B301,'原子事实记录'!$G$2:$G$2001,$C301,'原子事实记录'!$I$2:$I$2001,$E301,'原子事实记录'!$J$2:$J$2001,$F301,'原子事实记录'!$Q$2:$Q$2001,"是",'原子事实记录'!$R$2:$R$2001,"TN"))</f>
        <v/>
      </c>
      <c r="L301" s="5">
        <f>IF(COUNTA(A301:G301)&lt;7,"",COUNTIFS('原子事实记录'!$C$2:$C$2001,$D301,'原子事实记录'!$E$2:$E$2001,$A301,'原子事实记录'!$F$2:$F$2001,$B301,'原子事实记录'!$G$2:$G$2001,$C301,'原子事实记录'!$I$2:$I$2001,$E301,'原子事实记录'!$J$2:$J$2001,$F301,'原子事实记录'!$Q$2:$Q$2001,"是",'原子事实记录'!$R$2:$R$2001,"未知"))</f>
        <v/>
      </c>
      <c r="M301" s="3" t="n"/>
      <c r="N301" s="3" t="n"/>
      <c r="O301" s="5">
        <f>IF(OR(G301="",M301="",N301=""),"",M301+IF(G301="肯定主张正确率",H301,IF(G301="否定主张正确率",K301,IF(G301="灵敏度",H301,K301))))</f>
        <v/>
      </c>
      <c r="P301" s="5">
        <f>IF(OR(G301="",M301="",N301=""),"",N301+IF(G301="肯定主张正确率",I301,IF(G301="否定主张正确率",J301,IF(G301="灵敏度",J301,I301))))</f>
        <v/>
      </c>
      <c r="Q301" s="7">
        <f>IF(OR(O301="",P301=""),"",O301/(O301+P301))</f>
        <v/>
      </c>
      <c r="R301" s="7">
        <f>IF(Q301="","",BETA.INV(0.025,O301,P301))</f>
        <v/>
      </c>
      <c r="S301" s="7">
        <f>IF(Q301="","",BETA.INV(0.975,O301,P301))</f>
        <v/>
      </c>
      <c r="T301" s="5">
        <f>IF(OR(O301="",P301=""),"",O301+P301-M301-N301)</f>
        <v/>
      </c>
      <c r="U301" s="5">
        <f>IF(T301="","先填完整分组",IF(T301&lt;30,"样本太少：仅描述",IF(T301&lt;100,"只作试点候选","可进入独立验证")))</f>
        <v/>
      </c>
      <c r="V301" s="3" t="n"/>
      <c r="W301" s="3" t="n"/>
    </row>
  </sheetData>
  <autoFilter ref="A1:W301"/>
  <conditionalFormatting sqref="U2:U301">
    <cfRule type="expression" priority="1" dxfId="0">
      <formula>OR(ISNUMBER(SEARCH("样本",U2)),ISNUMBER(SEARCH("不可",U2)))</formula>
    </cfRule>
  </conditionalFormatting>
  <dataValidations count="4">
    <dataValidation sqref="E2:E301" showDropDown="0" showInputMessage="1" showErrorMessage="1" allowBlank="1" errorTitle="无效值" error="请从下拉列表选择，不要自行创造近义值。" promptTitle="填写提示" prompt="来源类别必须与原子记录一致。" type="list">
      <formula1>=SourceTypes</formula1>
    </dataValidation>
    <dataValidation sqref="F2:F301" showDropDown="0" showInputMessage="1" showErrorMessage="1" allowBlank="1" errorTitle="无效值" error="请从下拉列表选择，不要自行创造近义值。" promptTitle="填写提示" prompt="必须按谓词和立场一起解释。" type="list">
      <formula1>=SourceRoles</formula1>
    </dataValidation>
    <dataValidation sqref="G2:G301" showDropDown="0" showInputMessage="1" showErrorMessage="1" allowBlank="1" errorTitle="无效值" error="请从下拉列表选择，不要自行创造近义值。" promptTitle="填写提示" prompt="优先查看肯定/否定主张正确率。" type="list">
      <formula1>=SourceMetrics</formula1>
    </dataValidation>
    <dataValidation sqref="V2:V301" showDropDown="0" showInputMessage="1" showErrorMessage="1" allowBlank="1" errorTitle="无效值" error="请从下拉列表选择，不要自行创造近义值。" promptTitle="填写提示" prompt="统计结果先作为候选。" type="list">
      <formula1>=ParameterDecisions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6B26B"/>
    <outlinePr summaryBelow="1" summaryRight="1"/>
    <pageSetUpPr/>
  </sheetPr>
  <dimension ref="A1:W100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34" customHeight="1">
      <c r="A1" s="1" t="inlineStr">
        <is>
          <t>记录ID</t>
        </is>
      </c>
      <c r="B1" s="1" t="inlineStr">
        <is>
          <t>样本ID</t>
        </is>
      </c>
      <c r="C1" s="1" t="inlineStr">
        <is>
          <t>数据批次</t>
        </is>
      </c>
      <c r="D1" s="1" t="inlineStr">
        <is>
          <t>模型ID</t>
        </is>
      </c>
      <c r="E1" s="1" t="inlineStr">
        <is>
          <t>模型版本</t>
        </is>
      </c>
      <c r="F1" s="1" t="inlineStr">
        <is>
          <t>子节点</t>
        </is>
      </c>
      <c r="G1" s="1" t="inlineStr">
        <is>
          <t>父节点1</t>
        </is>
      </c>
      <c r="H1" s="1" t="inlineStr">
        <is>
          <t>值1</t>
        </is>
      </c>
      <c r="I1" s="1" t="inlineStr">
        <is>
          <t>父节点2</t>
        </is>
      </c>
      <c r="J1" s="1" t="inlineStr">
        <is>
          <t>值2</t>
        </is>
      </c>
      <c r="K1" s="1" t="inlineStr">
        <is>
          <t>父节点3</t>
        </is>
      </c>
      <c r="L1" s="1" t="inlineStr">
        <is>
          <t>值3</t>
        </is>
      </c>
      <c r="M1" s="1" t="inlineStr">
        <is>
          <t>父节点4</t>
        </is>
      </c>
      <c r="N1" s="1" t="inlineStr">
        <is>
          <t>值4</t>
        </is>
      </c>
      <c r="O1" s="1" t="inlineStr">
        <is>
          <t>父节点5</t>
        </is>
      </c>
      <c r="P1" s="1" t="inlineStr">
        <is>
          <t>值5</t>
        </is>
      </c>
      <c r="Q1" s="1" t="inlineStr">
        <is>
          <t>子节点独立核验标签</t>
        </is>
      </c>
      <c r="R1" s="1" t="inlineStr">
        <is>
          <t>样本权重</t>
        </is>
      </c>
      <c r="S1" s="1" t="inlineStr">
        <is>
          <t>数据用途</t>
        </is>
      </c>
      <c r="T1" s="1" t="inlineStr">
        <is>
          <t>核验人员代号</t>
        </is>
      </c>
      <c r="U1" s="1" t="inlineStr">
        <is>
          <t>复核状态</t>
        </is>
      </c>
      <c r="V1" s="1" t="inlineStr">
        <is>
          <t>是否纳入统计</t>
        </is>
      </c>
      <c r="W1" s="1" t="inlineStr">
        <is>
          <t>备注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3" t="n"/>
      <c r="K1001" s="3" t="n"/>
      <c r="L1001" s="3" t="n"/>
      <c r="M1001" s="3" t="n"/>
      <c r="N1001" s="3" t="n"/>
      <c r="O1001" s="3" t="n"/>
      <c r="P1001" s="3" t="n"/>
      <c r="Q1001" s="3" t="n"/>
      <c r="R1001" s="3" t="n"/>
      <c r="S1001" s="3" t="n"/>
      <c r="T1001" s="3" t="n"/>
      <c r="U1001" s="3" t="n"/>
      <c r="V1001" s="3" t="n"/>
      <c r="W1001" s="3" t="inlineStr"/>
    </row>
  </sheetData>
  <autoFilter ref="A1:W1001"/>
  <dataValidations count="9">
    <dataValidation sqref="H2:H1001" showDropDown="0" showInputMessage="1" showErrorMessage="1" allowBlank="1" errorTitle="无效概率值" error="请输入0到1之间的数，或填写“未知”。" promptTitle="父节点软证据" prompt="输入0到1的软证据值；无法核验时填“未知”。" type="custom">
      <formula1>=OR(H2="",H2="未知",AND(ISNUMBER(H2),H2&gt;=0,H2&lt;=1))</formula1>
    </dataValidation>
    <dataValidation sqref="J2:J1001" showDropDown="0" showInputMessage="1" showErrorMessage="1" allowBlank="1" errorTitle="无效概率值" error="请输入0到1之间的数，或填写“未知”。" promptTitle="父节点软证据" prompt="输入0到1的软证据值；无法核验时填“未知”。" type="custom">
      <formula1>=OR(J2="",J2="未知",AND(ISNUMBER(J2),J2&gt;=0,J2&lt;=1))</formula1>
    </dataValidation>
    <dataValidation sqref="L2:L1001" showDropDown="0" showInputMessage="1" showErrorMessage="1" allowBlank="1" errorTitle="无效概率值" error="请输入0到1之间的数，或填写“未知”。" promptTitle="父节点软证据" prompt="输入0到1的软证据值；无法核验时填“未知”。" type="custom">
      <formula1>=OR(L2="",L2="未知",AND(ISNUMBER(L2),L2&gt;=0,L2&lt;=1))</formula1>
    </dataValidation>
    <dataValidation sqref="N2:N1001" showDropDown="0" showInputMessage="1" showErrorMessage="1" allowBlank="1" errorTitle="无效概率值" error="请输入0到1之间的数，或填写“未知”。" promptTitle="父节点软证据" prompt="输入0到1的软证据值；无法核验时填“未知”。" type="custom">
      <formula1>=OR(N2="",N2="未知",AND(ISNUMBER(N2),N2&gt;=0,N2&lt;=1))</formula1>
    </dataValidation>
    <dataValidation sqref="P2:P1001" showDropDown="0" showInputMessage="1" showErrorMessage="1" allowBlank="1" errorTitle="无效概率值" error="请输入0到1之间的数，或填写“未知”。" promptTitle="父节点软证据" prompt="输入0到1的软证据值；无法核验时填“未知”。" type="custom">
      <formula1>=OR(P2="",P2="未知",AND(ISNUMBER(P2),P2&gt;=0,P2&lt;=1))</formula1>
    </dataValidation>
    <dataValidation sqref="Q2:Q1001" showDropDown="0" showInputMessage="1" showErrorMessage="1" allowBlank="1" errorTitle="无效值" error="请从下拉列表选择，不要自行创造近义值。" promptTitle="填写提示" prompt="子节点必须由独立核验给出真/假/未知。" type="list">
      <formula1>=TruthLabels</formula1>
    </dataValidation>
    <dataValidation sqref="S2:S1001" showDropDown="0" showInputMessage="1" showErrorMessage="1" allowBlank="1" errorTitle="无效值" error="请从下拉列表选择，不要自行创造近义值。" promptTitle="填写提示" prompt="验证和测试数据不得参与拟合。" type="list">
      <formula1>=DataSplits</formula1>
    </dataValidation>
    <dataValidation sqref="U2:U1001" showDropDown="0" showInputMessage="1" showErrorMessage="1" allowBlank="1" errorTitle="无效值" error="请从下拉列表选择，不要自行创造近义值。" promptTitle="填写提示" prompt="分歧必须裁决。" type="list">
      <formula1>=ReviewStatuses</formula1>
    </dataValidation>
    <dataValidation sqref="V2:V1001" showDropDown="0" showInputMessage="1" showErrorMessage="1" allowBlank="1" errorTitle="无效值" error="请从下拉列表选择，不要自行创造近义值。" promptTitle="填写提示" prompt="未知子节点不纳入拟合。" type="list">
      <formula1>=YesNoValues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AA84F"/>
    <outlinePr summaryBelow="1" summaryRight="1"/>
    <pageSetUpPr/>
  </sheetPr>
  <dimension ref="A1:Q30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35" customWidth="1" min="11" max="11"/>
    <col width="35" customWidth="1" min="12" max="12"/>
    <col width="38" customWidth="1" min="13" max="13"/>
    <col width="38" customWidth="1" min="14" max="14"/>
    <col width="38" customWidth="1" min="15" max="15"/>
    <col width="38" customWidth="1" min="16" max="16"/>
    <col width="12" customWidth="1" min="17" max="17"/>
  </cols>
  <sheetData>
    <row r="1" ht="34" customHeight="1">
      <c r="A1" s="1" t="inlineStr">
        <is>
          <t>模型ID</t>
        </is>
      </c>
      <c r="B1" s="1" t="inlineStr">
        <is>
          <t>模型版本</t>
        </is>
      </c>
      <c r="C1" s="1" t="inlineStr">
        <is>
          <t>子节点</t>
        </is>
      </c>
      <c r="D1" s="1" t="inlineStr">
        <is>
          <t>父节点状态组合</t>
        </is>
      </c>
      <c r="E1" s="1" t="inlineStr">
        <is>
          <t>数据批次</t>
        </is>
      </c>
      <c r="F1" s="1" t="inlineStr">
        <is>
          <t>子节点真数</t>
        </is>
      </c>
      <c r="G1" s="1" t="inlineStr">
        <is>
          <t>子节点假数</t>
        </is>
      </c>
      <c r="H1" s="1" t="inlineStr">
        <is>
          <t>未知数</t>
        </is>
      </c>
      <c r="I1" s="1" t="inlineStr">
        <is>
          <t>先验Alpha</t>
        </is>
      </c>
      <c r="J1" s="1" t="inlineStr">
        <is>
          <t>先验Beta</t>
        </is>
      </c>
      <c r="K1" s="1" t="inlineStr">
        <is>
          <t>后验Alpha</t>
        </is>
      </c>
      <c r="L1" s="1" t="inlineStr">
        <is>
          <t>后验Beta</t>
        </is>
      </c>
      <c r="M1" s="1" t="inlineStr">
        <is>
          <t>后验均值</t>
        </is>
      </c>
      <c r="N1" s="1" t="inlineStr">
        <is>
          <t>95%下限</t>
        </is>
      </c>
      <c r="O1" s="1" t="inlineStr">
        <is>
          <t>95%上限</t>
        </is>
      </c>
      <c r="P1" s="1" t="inlineStr">
        <is>
          <t>样本提示</t>
        </is>
      </c>
      <c r="Q1" s="1" t="inlineStr">
        <is>
          <t>说明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5">
        <f>IF(OR(I2="",F2=""),"",I2+F2)</f>
        <v/>
      </c>
      <c r="L2" s="5">
        <f>IF(OR(J2="",G2=""),"",J2+G2)</f>
        <v/>
      </c>
      <c r="M2" s="7">
        <f>IF(OR(K2="",L2=""),"",K2/(K2+L2))</f>
        <v/>
      </c>
      <c r="N2" s="7">
        <f>IF(M2="","",BETA.INV(0.025,K2,L2))</f>
        <v/>
      </c>
      <c r="O2" s="7">
        <f>IF(M2="","",BETA.INV(0.975,K2,L2))</f>
        <v/>
      </c>
      <c r="P2" s="5">
        <f>IF(F2+G2=0,"先填真/假计数",IF(F2+G2&lt;30,"组合样本太少",IF(MIN(F2,G2)&lt;5,"结果类别不足","可作CPT参考；逻辑权重仍需整体拟合")))</f>
        <v/>
      </c>
      <c r="Q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5">
        <f>IF(OR(I3="",F3=""),"",I3+F3)</f>
        <v/>
      </c>
      <c r="L3" s="5">
        <f>IF(OR(J3="",G3=""),"",J3+G3)</f>
        <v/>
      </c>
      <c r="M3" s="7">
        <f>IF(OR(K3="",L3=""),"",K3/(K3+L3))</f>
        <v/>
      </c>
      <c r="N3" s="7">
        <f>IF(M3="","",BETA.INV(0.025,K3,L3))</f>
        <v/>
      </c>
      <c r="O3" s="7">
        <f>IF(M3="","",BETA.INV(0.975,K3,L3))</f>
        <v/>
      </c>
      <c r="P3" s="5">
        <f>IF(F3+G3=0,"先填真/假计数",IF(F3+G3&lt;30,"组合样本太少",IF(MIN(F3,G3)&lt;5,"结果类别不足","可作CPT参考；逻辑权重仍需整体拟合")))</f>
        <v/>
      </c>
      <c r="Q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5">
        <f>IF(OR(I4="",F4=""),"",I4+F4)</f>
        <v/>
      </c>
      <c r="L4" s="5">
        <f>IF(OR(J4="",G4=""),"",J4+G4)</f>
        <v/>
      </c>
      <c r="M4" s="7">
        <f>IF(OR(K4="",L4=""),"",K4/(K4+L4))</f>
        <v/>
      </c>
      <c r="N4" s="7">
        <f>IF(M4="","",BETA.INV(0.025,K4,L4))</f>
        <v/>
      </c>
      <c r="O4" s="7">
        <f>IF(M4="","",BETA.INV(0.975,K4,L4))</f>
        <v/>
      </c>
      <c r="P4" s="5">
        <f>IF(F4+G4=0,"先填真/假计数",IF(F4+G4&lt;30,"组合样本太少",IF(MIN(F4,G4)&lt;5,"结果类别不足","可作CPT参考；逻辑权重仍需整体拟合")))</f>
        <v/>
      </c>
      <c r="Q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5">
        <f>IF(OR(I5="",F5=""),"",I5+F5)</f>
        <v/>
      </c>
      <c r="L5" s="5">
        <f>IF(OR(J5="",G5=""),"",J5+G5)</f>
        <v/>
      </c>
      <c r="M5" s="7">
        <f>IF(OR(K5="",L5=""),"",K5/(K5+L5))</f>
        <v/>
      </c>
      <c r="N5" s="7">
        <f>IF(M5="","",BETA.INV(0.025,K5,L5))</f>
        <v/>
      </c>
      <c r="O5" s="7">
        <f>IF(M5="","",BETA.INV(0.975,K5,L5))</f>
        <v/>
      </c>
      <c r="P5" s="5">
        <f>IF(F5+G5=0,"先填真/假计数",IF(F5+G5&lt;30,"组合样本太少",IF(MIN(F5,G5)&lt;5,"结果类别不足","可作CPT参考；逻辑权重仍需整体拟合")))</f>
        <v/>
      </c>
      <c r="Q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5">
        <f>IF(OR(I6="",F6=""),"",I6+F6)</f>
        <v/>
      </c>
      <c r="L6" s="5">
        <f>IF(OR(J6="",G6=""),"",J6+G6)</f>
        <v/>
      </c>
      <c r="M6" s="7">
        <f>IF(OR(K6="",L6=""),"",K6/(K6+L6))</f>
        <v/>
      </c>
      <c r="N6" s="7">
        <f>IF(M6="","",BETA.INV(0.025,K6,L6))</f>
        <v/>
      </c>
      <c r="O6" s="7">
        <f>IF(M6="","",BETA.INV(0.975,K6,L6))</f>
        <v/>
      </c>
      <c r="P6" s="5">
        <f>IF(F6+G6=0,"先填真/假计数",IF(F6+G6&lt;30,"组合样本太少",IF(MIN(F6,G6)&lt;5,"结果类别不足","可作CPT参考；逻辑权重仍需整体拟合")))</f>
        <v/>
      </c>
      <c r="Q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5">
        <f>IF(OR(I7="",F7=""),"",I7+F7)</f>
        <v/>
      </c>
      <c r="L7" s="5">
        <f>IF(OR(J7="",G7=""),"",J7+G7)</f>
        <v/>
      </c>
      <c r="M7" s="7">
        <f>IF(OR(K7="",L7=""),"",K7/(K7+L7))</f>
        <v/>
      </c>
      <c r="N7" s="7">
        <f>IF(M7="","",BETA.INV(0.025,K7,L7))</f>
        <v/>
      </c>
      <c r="O7" s="7">
        <f>IF(M7="","",BETA.INV(0.975,K7,L7))</f>
        <v/>
      </c>
      <c r="P7" s="5">
        <f>IF(F7+G7=0,"先填真/假计数",IF(F7+G7&lt;30,"组合样本太少",IF(MIN(F7,G7)&lt;5,"结果类别不足","可作CPT参考；逻辑权重仍需整体拟合")))</f>
        <v/>
      </c>
      <c r="Q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5">
        <f>IF(OR(I8="",F8=""),"",I8+F8)</f>
        <v/>
      </c>
      <c r="L8" s="5">
        <f>IF(OR(J8="",G8=""),"",J8+G8)</f>
        <v/>
      </c>
      <c r="M8" s="7">
        <f>IF(OR(K8="",L8=""),"",K8/(K8+L8))</f>
        <v/>
      </c>
      <c r="N8" s="7">
        <f>IF(M8="","",BETA.INV(0.025,K8,L8))</f>
        <v/>
      </c>
      <c r="O8" s="7">
        <f>IF(M8="","",BETA.INV(0.975,K8,L8))</f>
        <v/>
      </c>
      <c r="P8" s="5">
        <f>IF(F8+G8=0,"先填真/假计数",IF(F8+G8&lt;30,"组合样本太少",IF(MIN(F8,G8)&lt;5,"结果类别不足","可作CPT参考；逻辑权重仍需整体拟合")))</f>
        <v/>
      </c>
      <c r="Q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5">
        <f>IF(OR(I9="",F9=""),"",I9+F9)</f>
        <v/>
      </c>
      <c r="L9" s="5">
        <f>IF(OR(J9="",G9=""),"",J9+G9)</f>
        <v/>
      </c>
      <c r="M9" s="7">
        <f>IF(OR(K9="",L9=""),"",K9/(K9+L9))</f>
        <v/>
      </c>
      <c r="N9" s="7">
        <f>IF(M9="","",BETA.INV(0.025,K9,L9))</f>
        <v/>
      </c>
      <c r="O9" s="7">
        <f>IF(M9="","",BETA.INV(0.975,K9,L9))</f>
        <v/>
      </c>
      <c r="P9" s="5">
        <f>IF(F9+G9=0,"先填真/假计数",IF(F9+G9&lt;30,"组合样本太少",IF(MIN(F9,G9)&lt;5,"结果类别不足","可作CPT参考；逻辑权重仍需整体拟合")))</f>
        <v/>
      </c>
      <c r="Q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5">
        <f>IF(OR(I10="",F10=""),"",I10+F10)</f>
        <v/>
      </c>
      <c r="L10" s="5">
        <f>IF(OR(J10="",G10=""),"",J10+G10)</f>
        <v/>
      </c>
      <c r="M10" s="7">
        <f>IF(OR(K10="",L10=""),"",K10/(K10+L10))</f>
        <v/>
      </c>
      <c r="N10" s="7">
        <f>IF(M10="","",BETA.INV(0.025,K10,L10))</f>
        <v/>
      </c>
      <c r="O10" s="7">
        <f>IF(M10="","",BETA.INV(0.975,K10,L10))</f>
        <v/>
      </c>
      <c r="P10" s="5">
        <f>IF(F10+G10=0,"先填真/假计数",IF(F10+G10&lt;30,"组合样本太少",IF(MIN(F10,G10)&lt;5,"结果类别不足","可作CPT参考；逻辑权重仍需整体拟合")))</f>
        <v/>
      </c>
      <c r="Q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5">
        <f>IF(OR(I11="",F11=""),"",I11+F11)</f>
        <v/>
      </c>
      <c r="L11" s="5">
        <f>IF(OR(J11="",G11=""),"",J11+G11)</f>
        <v/>
      </c>
      <c r="M11" s="7">
        <f>IF(OR(K11="",L11=""),"",K11/(K11+L11))</f>
        <v/>
      </c>
      <c r="N11" s="7">
        <f>IF(M11="","",BETA.INV(0.025,K11,L11))</f>
        <v/>
      </c>
      <c r="O11" s="7">
        <f>IF(M11="","",BETA.INV(0.975,K11,L11))</f>
        <v/>
      </c>
      <c r="P11" s="5">
        <f>IF(F11+G11=0,"先填真/假计数",IF(F11+G11&lt;30,"组合样本太少",IF(MIN(F11,G11)&lt;5,"结果类别不足","可作CPT参考；逻辑权重仍需整体拟合")))</f>
        <v/>
      </c>
      <c r="Q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5">
        <f>IF(OR(I12="",F12=""),"",I12+F12)</f>
        <v/>
      </c>
      <c r="L12" s="5">
        <f>IF(OR(J12="",G12=""),"",J12+G12)</f>
        <v/>
      </c>
      <c r="M12" s="7">
        <f>IF(OR(K12="",L12=""),"",K12/(K12+L12))</f>
        <v/>
      </c>
      <c r="N12" s="7">
        <f>IF(M12="","",BETA.INV(0.025,K12,L12))</f>
        <v/>
      </c>
      <c r="O12" s="7">
        <f>IF(M12="","",BETA.INV(0.975,K12,L12))</f>
        <v/>
      </c>
      <c r="P12" s="5">
        <f>IF(F12+G12=0,"先填真/假计数",IF(F12+G12&lt;30,"组合样本太少",IF(MIN(F12,G12)&lt;5,"结果类别不足","可作CPT参考；逻辑权重仍需整体拟合")))</f>
        <v/>
      </c>
      <c r="Q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5">
        <f>IF(OR(I13="",F13=""),"",I13+F13)</f>
        <v/>
      </c>
      <c r="L13" s="5">
        <f>IF(OR(J13="",G13=""),"",J13+G13)</f>
        <v/>
      </c>
      <c r="M13" s="7">
        <f>IF(OR(K13="",L13=""),"",K13/(K13+L13))</f>
        <v/>
      </c>
      <c r="N13" s="7">
        <f>IF(M13="","",BETA.INV(0.025,K13,L13))</f>
        <v/>
      </c>
      <c r="O13" s="7">
        <f>IF(M13="","",BETA.INV(0.975,K13,L13))</f>
        <v/>
      </c>
      <c r="P13" s="5">
        <f>IF(F13+G13=0,"先填真/假计数",IF(F13+G13&lt;30,"组合样本太少",IF(MIN(F13,G13)&lt;5,"结果类别不足","可作CPT参考；逻辑权重仍需整体拟合")))</f>
        <v/>
      </c>
      <c r="Q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5">
        <f>IF(OR(I14="",F14=""),"",I14+F14)</f>
        <v/>
      </c>
      <c r="L14" s="5">
        <f>IF(OR(J14="",G14=""),"",J14+G14)</f>
        <v/>
      </c>
      <c r="M14" s="7">
        <f>IF(OR(K14="",L14=""),"",K14/(K14+L14))</f>
        <v/>
      </c>
      <c r="N14" s="7">
        <f>IF(M14="","",BETA.INV(0.025,K14,L14))</f>
        <v/>
      </c>
      <c r="O14" s="7">
        <f>IF(M14="","",BETA.INV(0.975,K14,L14))</f>
        <v/>
      </c>
      <c r="P14" s="5">
        <f>IF(F14+G14=0,"先填真/假计数",IF(F14+G14&lt;30,"组合样本太少",IF(MIN(F14,G14)&lt;5,"结果类别不足","可作CPT参考；逻辑权重仍需整体拟合")))</f>
        <v/>
      </c>
      <c r="Q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5">
        <f>IF(OR(I15="",F15=""),"",I15+F15)</f>
        <v/>
      </c>
      <c r="L15" s="5">
        <f>IF(OR(J15="",G15=""),"",J15+G15)</f>
        <v/>
      </c>
      <c r="M15" s="7">
        <f>IF(OR(K15="",L15=""),"",K15/(K15+L15))</f>
        <v/>
      </c>
      <c r="N15" s="7">
        <f>IF(M15="","",BETA.INV(0.025,K15,L15))</f>
        <v/>
      </c>
      <c r="O15" s="7">
        <f>IF(M15="","",BETA.INV(0.975,K15,L15))</f>
        <v/>
      </c>
      <c r="P15" s="5">
        <f>IF(F15+G15=0,"先填真/假计数",IF(F15+G15&lt;30,"组合样本太少",IF(MIN(F15,G15)&lt;5,"结果类别不足","可作CPT参考；逻辑权重仍需整体拟合")))</f>
        <v/>
      </c>
      <c r="Q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5">
        <f>IF(OR(I16="",F16=""),"",I16+F16)</f>
        <v/>
      </c>
      <c r="L16" s="5">
        <f>IF(OR(J16="",G16=""),"",J16+G16)</f>
        <v/>
      </c>
      <c r="M16" s="7">
        <f>IF(OR(K16="",L16=""),"",K16/(K16+L16))</f>
        <v/>
      </c>
      <c r="N16" s="7">
        <f>IF(M16="","",BETA.INV(0.025,K16,L16))</f>
        <v/>
      </c>
      <c r="O16" s="7">
        <f>IF(M16="","",BETA.INV(0.975,K16,L16))</f>
        <v/>
      </c>
      <c r="P16" s="5">
        <f>IF(F16+G16=0,"先填真/假计数",IF(F16+G16&lt;30,"组合样本太少",IF(MIN(F16,G16)&lt;5,"结果类别不足","可作CPT参考；逻辑权重仍需整体拟合")))</f>
        <v/>
      </c>
      <c r="Q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5">
        <f>IF(OR(I17="",F17=""),"",I17+F17)</f>
        <v/>
      </c>
      <c r="L17" s="5">
        <f>IF(OR(J17="",G17=""),"",J17+G17)</f>
        <v/>
      </c>
      <c r="M17" s="7">
        <f>IF(OR(K17="",L17=""),"",K17/(K17+L17))</f>
        <v/>
      </c>
      <c r="N17" s="7">
        <f>IF(M17="","",BETA.INV(0.025,K17,L17))</f>
        <v/>
      </c>
      <c r="O17" s="7">
        <f>IF(M17="","",BETA.INV(0.975,K17,L17))</f>
        <v/>
      </c>
      <c r="P17" s="5">
        <f>IF(F17+G17=0,"先填真/假计数",IF(F17+G17&lt;30,"组合样本太少",IF(MIN(F17,G17)&lt;5,"结果类别不足","可作CPT参考；逻辑权重仍需整体拟合")))</f>
        <v/>
      </c>
      <c r="Q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5">
        <f>IF(OR(I18="",F18=""),"",I18+F18)</f>
        <v/>
      </c>
      <c r="L18" s="5">
        <f>IF(OR(J18="",G18=""),"",J18+G18)</f>
        <v/>
      </c>
      <c r="M18" s="7">
        <f>IF(OR(K18="",L18=""),"",K18/(K18+L18))</f>
        <v/>
      </c>
      <c r="N18" s="7">
        <f>IF(M18="","",BETA.INV(0.025,K18,L18))</f>
        <v/>
      </c>
      <c r="O18" s="7">
        <f>IF(M18="","",BETA.INV(0.975,K18,L18))</f>
        <v/>
      </c>
      <c r="P18" s="5">
        <f>IF(F18+G18=0,"先填真/假计数",IF(F18+G18&lt;30,"组合样本太少",IF(MIN(F18,G18)&lt;5,"结果类别不足","可作CPT参考；逻辑权重仍需整体拟合")))</f>
        <v/>
      </c>
      <c r="Q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5">
        <f>IF(OR(I19="",F19=""),"",I19+F19)</f>
        <v/>
      </c>
      <c r="L19" s="5">
        <f>IF(OR(J19="",G19=""),"",J19+G19)</f>
        <v/>
      </c>
      <c r="M19" s="7">
        <f>IF(OR(K19="",L19=""),"",K19/(K19+L19))</f>
        <v/>
      </c>
      <c r="N19" s="7">
        <f>IF(M19="","",BETA.INV(0.025,K19,L19))</f>
        <v/>
      </c>
      <c r="O19" s="7">
        <f>IF(M19="","",BETA.INV(0.975,K19,L19))</f>
        <v/>
      </c>
      <c r="P19" s="5">
        <f>IF(F19+G19=0,"先填真/假计数",IF(F19+G19&lt;30,"组合样本太少",IF(MIN(F19,G19)&lt;5,"结果类别不足","可作CPT参考；逻辑权重仍需整体拟合")))</f>
        <v/>
      </c>
      <c r="Q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5">
        <f>IF(OR(I20="",F20=""),"",I20+F20)</f>
        <v/>
      </c>
      <c r="L20" s="5">
        <f>IF(OR(J20="",G20=""),"",J20+G20)</f>
        <v/>
      </c>
      <c r="M20" s="7">
        <f>IF(OR(K20="",L20=""),"",K20/(K20+L20))</f>
        <v/>
      </c>
      <c r="N20" s="7">
        <f>IF(M20="","",BETA.INV(0.025,K20,L20))</f>
        <v/>
      </c>
      <c r="O20" s="7">
        <f>IF(M20="","",BETA.INV(0.975,K20,L20))</f>
        <v/>
      </c>
      <c r="P20" s="5">
        <f>IF(F20+G20=0,"先填真/假计数",IF(F20+G20&lt;30,"组合样本太少",IF(MIN(F20,G20)&lt;5,"结果类别不足","可作CPT参考；逻辑权重仍需整体拟合")))</f>
        <v/>
      </c>
      <c r="Q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5">
        <f>IF(OR(I21="",F21=""),"",I21+F21)</f>
        <v/>
      </c>
      <c r="L21" s="5">
        <f>IF(OR(J21="",G21=""),"",J21+G21)</f>
        <v/>
      </c>
      <c r="M21" s="7">
        <f>IF(OR(K21="",L21=""),"",K21/(K21+L21))</f>
        <v/>
      </c>
      <c r="N21" s="7">
        <f>IF(M21="","",BETA.INV(0.025,K21,L21))</f>
        <v/>
      </c>
      <c r="O21" s="7">
        <f>IF(M21="","",BETA.INV(0.975,K21,L21))</f>
        <v/>
      </c>
      <c r="P21" s="5">
        <f>IF(F21+G21=0,"先填真/假计数",IF(F21+G21&lt;30,"组合样本太少",IF(MIN(F21,G21)&lt;5,"结果类别不足","可作CPT参考；逻辑权重仍需整体拟合")))</f>
        <v/>
      </c>
      <c r="Q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5">
        <f>IF(OR(I22="",F22=""),"",I22+F22)</f>
        <v/>
      </c>
      <c r="L22" s="5">
        <f>IF(OR(J22="",G22=""),"",J22+G22)</f>
        <v/>
      </c>
      <c r="M22" s="7">
        <f>IF(OR(K22="",L22=""),"",K22/(K22+L22))</f>
        <v/>
      </c>
      <c r="N22" s="7">
        <f>IF(M22="","",BETA.INV(0.025,K22,L22))</f>
        <v/>
      </c>
      <c r="O22" s="7">
        <f>IF(M22="","",BETA.INV(0.975,K22,L22))</f>
        <v/>
      </c>
      <c r="P22" s="5">
        <f>IF(F22+G22=0,"先填真/假计数",IF(F22+G22&lt;30,"组合样本太少",IF(MIN(F22,G22)&lt;5,"结果类别不足","可作CPT参考；逻辑权重仍需整体拟合")))</f>
        <v/>
      </c>
      <c r="Q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5">
        <f>IF(OR(I23="",F23=""),"",I23+F23)</f>
        <v/>
      </c>
      <c r="L23" s="5">
        <f>IF(OR(J23="",G23=""),"",J23+G23)</f>
        <v/>
      </c>
      <c r="M23" s="7">
        <f>IF(OR(K23="",L23=""),"",K23/(K23+L23))</f>
        <v/>
      </c>
      <c r="N23" s="7">
        <f>IF(M23="","",BETA.INV(0.025,K23,L23))</f>
        <v/>
      </c>
      <c r="O23" s="7">
        <f>IF(M23="","",BETA.INV(0.975,K23,L23))</f>
        <v/>
      </c>
      <c r="P23" s="5">
        <f>IF(F23+G23=0,"先填真/假计数",IF(F23+G23&lt;30,"组合样本太少",IF(MIN(F23,G23)&lt;5,"结果类别不足","可作CPT参考；逻辑权重仍需整体拟合")))</f>
        <v/>
      </c>
      <c r="Q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5">
        <f>IF(OR(I24="",F24=""),"",I24+F24)</f>
        <v/>
      </c>
      <c r="L24" s="5">
        <f>IF(OR(J24="",G24=""),"",J24+G24)</f>
        <v/>
      </c>
      <c r="M24" s="7">
        <f>IF(OR(K24="",L24=""),"",K24/(K24+L24))</f>
        <v/>
      </c>
      <c r="N24" s="7">
        <f>IF(M24="","",BETA.INV(0.025,K24,L24))</f>
        <v/>
      </c>
      <c r="O24" s="7">
        <f>IF(M24="","",BETA.INV(0.975,K24,L24))</f>
        <v/>
      </c>
      <c r="P24" s="5">
        <f>IF(F24+G24=0,"先填真/假计数",IF(F24+G24&lt;30,"组合样本太少",IF(MIN(F24,G24)&lt;5,"结果类别不足","可作CPT参考；逻辑权重仍需整体拟合")))</f>
        <v/>
      </c>
      <c r="Q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5">
        <f>IF(OR(I25="",F25=""),"",I25+F25)</f>
        <v/>
      </c>
      <c r="L25" s="5">
        <f>IF(OR(J25="",G25=""),"",J25+G25)</f>
        <v/>
      </c>
      <c r="M25" s="7">
        <f>IF(OR(K25="",L25=""),"",K25/(K25+L25))</f>
        <v/>
      </c>
      <c r="N25" s="7">
        <f>IF(M25="","",BETA.INV(0.025,K25,L25))</f>
        <v/>
      </c>
      <c r="O25" s="7">
        <f>IF(M25="","",BETA.INV(0.975,K25,L25))</f>
        <v/>
      </c>
      <c r="P25" s="5">
        <f>IF(F25+G25=0,"先填真/假计数",IF(F25+G25&lt;30,"组合样本太少",IF(MIN(F25,G25)&lt;5,"结果类别不足","可作CPT参考；逻辑权重仍需整体拟合")))</f>
        <v/>
      </c>
      <c r="Q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5">
        <f>IF(OR(I26="",F26=""),"",I26+F26)</f>
        <v/>
      </c>
      <c r="L26" s="5">
        <f>IF(OR(J26="",G26=""),"",J26+G26)</f>
        <v/>
      </c>
      <c r="M26" s="7">
        <f>IF(OR(K26="",L26=""),"",K26/(K26+L26))</f>
        <v/>
      </c>
      <c r="N26" s="7">
        <f>IF(M26="","",BETA.INV(0.025,K26,L26))</f>
        <v/>
      </c>
      <c r="O26" s="7">
        <f>IF(M26="","",BETA.INV(0.975,K26,L26))</f>
        <v/>
      </c>
      <c r="P26" s="5">
        <f>IF(F26+G26=0,"先填真/假计数",IF(F26+G26&lt;30,"组合样本太少",IF(MIN(F26,G26)&lt;5,"结果类别不足","可作CPT参考；逻辑权重仍需整体拟合")))</f>
        <v/>
      </c>
      <c r="Q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5">
        <f>IF(OR(I27="",F27=""),"",I27+F27)</f>
        <v/>
      </c>
      <c r="L27" s="5">
        <f>IF(OR(J27="",G27=""),"",J27+G27)</f>
        <v/>
      </c>
      <c r="M27" s="7">
        <f>IF(OR(K27="",L27=""),"",K27/(K27+L27))</f>
        <v/>
      </c>
      <c r="N27" s="7">
        <f>IF(M27="","",BETA.INV(0.025,K27,L27))</f>
        <v/>
      </c>
      <c r="O27" s="7">
        <f>IF(M27="","",BETA.INV(0.975,K27,L27))</f>
        <v/>
      </c>
      <c r="P27" s="5">
        <f>IF(F27+G27=0,"先填真/假计数",IF(F27+G27&lt;30,"组合样本太少",IF(MIN(F27,G27)&lt;5,"结果类别不足","可作CPT参考；逻辑权重仍需整体拟合")))</f>
        <v/>
      </c>
      <c r="Q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5">
        <f>IF(OR(I28="",F28=""),"",I28+F28)</f>
        <v/>
      </c>
      <c r="L28" s="5">
        <f>IF(OR(J28="",G28=""),"",J28+G28)</f>
        <v/>
      </c>
      <c r="M28" s="7">
        <f>IF(OR(K28="",L28=""),"",K28/(K28+L28))</f>
        <v/>
      </c>
      <c r="N28" s="7">
        <f>IF(M28="","",BETA.INV(0.025,K28,L28))</f>
        <v/>
      </c>
      <c r="O28" s="7">
        <f>IF(M28="","",BETA.INV(0.975,K28,L28))</f>
        <v/>
      </c>
      <c r="P28" s="5">
        <f>IF(F28+G28=0,"先填真/假计数",IF(F28+G28&lt;30,"组合样本太少",IF(MIN(F28,G28)&lt;5,"结果类别不足","可作CPT参考；逻辑权重仍需整体拟合")))</f>
        <v/>
      </c>
      <c r="Q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5">
        <f>IF(OR(I29="",F29=""),"",I29+F29)</f>
        <v/>
      </c>
      <c r="L29" s="5">
        <f>IF(OR(J29="",G29=""),"",J29+G29)</f>
        <v/>
      </c>
      <c r="M29" s="7">
        <f>IF(OR(K29="",L29=""),"",K29/(K29+L29))</f>
        <v/>
      </c>
      <c r="N29" s="7">
        <f>IF(M29="","",BETA.INV(0.025,K29,L29))</f>
        <v/>
      </c>
      <c r="O29" s="7">
        <f>IF(M29="","",BETA.INV(0.975,K29,L29))</f>
        <v/>
      </c>
      <c r="P29" s="5">
        <f>IF(F29+G29=0,"先填真/假计数",IF(F29+G29&lt;30,"组合样本太少",IF(MIN(F29,G29)&lt;5,"结果类别不足","可作CPT参考；逻辑权重仍需整体拟合")))</f>
        <v/>
      </c>
      <c r="Q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5">
        <f>IF(OR(I30="",F30=""),"",I30+F30)</f>
        <v/>
      </c>
      <c r="L30" s="5">
        <f>IF(OR(J30="",G30=""),"",J30+G30)</f>
        <v/>
      </c>
      <c r="M30" s="7">
        <f>IF(OR(K30="",L30=""),"",K30/(K30+L30))</f>
        <v/>
      </c>
      <c r="N30" s="7">
        <f>IF(M30="","",BETA.INV(0.025,K30,L30))</f>
        <v/>
      </c>
      <c r="O30" s="7">
        <f>IF(M30="","",BETA.INV(0.975,K30,L30))</f>
        <v/>
      </c>
      <c r="P30" s="5">
        <f>IF(F30+G30=0,"先填真/假计数",IF(F30+G30&lt;30,"组合样本太少",IF(MIN(F30,G30)&lt;5,"结果类别不足","可作CPT参考；逻辑权重仍需整体拟合")))</f>
        <v/>
      </c>
      <c r="Q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5">
        <f>IF(OR(I31="",F31=""),"",I31+F31)</f>
        <v/>
      </c>
      <c r="L31" s="5">
        <f>IF(OR(J31="",G31=""),"",J31+G31)</f>
        <v/>
      </c>
      <c r="M31" s="7">
        <f>IF(OR(K31="",L31=""),"",K31/(K31+L31))</f>
        <v/>
      </c>
      <c r="N31" s="7">
        <f>IF(M31="","",BETA.INV(0.025,K31,L31))</f>
        <v/>
      </c>
      <c r="O31" s="7">
        <f>IF(M31="","",BETA.INV(0.975,K31,L31))</f>
        <v/>
      </c>
      <c r="P31" s="5">
        <f>IF(F31+G31=0,"先填真/假计数",IF(F31+G31&lt;30,"组合样本太少",IF(MIN(F31,G31)&lt;5,"结果类别不足","可作CPT参考；逻辑权重仍需整体拟合")))</f>
        <v/>
      </c>
      <c r="Q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5">
        <f>IF(OR(I32="",F32=""),"",I32+F32)</f>
        <v/>
      </c>
      <c r="L32" s="5">
        <f>IF(OR(J32="",G32=""),"",J32+G32)</f>
        <v/>
      </c>
      <c r="M32" s="7">
        <f>IF(OR(K32="",L32=""),"",K32/(K32+L32))</f>
        <v/>
      </c>
      <c r="N32" s="7">
        <f>IF(M32="","",BETA.INV(0.025,K32,L32))</f>
        <v/>
      </c>
      <c r="O32" s="7">
        <f>IF(M32="","",BETA.INV(0.975,K32,L32))</f>
        <v/>
      </c>
      <c r="P32" s="5">
        <f>IF(F32+G32=0,"先填真/假计数",IF(F32+G32&lt;30,"组合样本太少",IF(MIN(F32,G32)&lt;5,"结果类别不足","可作CPT参考；逻辑权重仍需整体拟合")))</f>
        <v/>
      </c>
      <c r="Q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5">
        <f>IF(OR(I33="",F33=""),"",I33+F33)</f>
        <v/>
      </c>
      <c r="L33" s="5">
        <f>IF(OR(J33="",G33=""),"",J33+G33)</f>
        <v/>
      </c>
      <c r="M33" s="7">
        <f>IF(OR(K33="",L33=""),"",K33/(K33+L33))</f>
        <v/>
      </c>
      <c r="N33" s="7">
        <f>IF(M33="","",BETA.INV(0.025,K33,L33))</f>
        <v/>
      </c>
      <c r="O33" s="7">
        <f>IF(M33="","",BETA.INV(0.975,K33,L33))</f>
        <v/>
      </c>
      <c r="P33" s="5">
        <f>IF(F33+G33=0,"先填真/假计数",IF(F33+G33&lt;30,"组合样本太少",IF(MIN(F33,G33)&lt;5,"结果类别不足","可作CPT参考；逻辑权重仍需整体拟合")))</f>
        <v/>
      </c>
      <c r="Q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5">
        <f>IF(OR(I34="",F34=""),"",I34+F34)</f>
        <v/>
      </c>
      <c r="L34" s="5">
        <f>IF(OR(J34="",G34=""),"",J34+G34)</f>
        <v/>
      </c>
      <c r="M34" s="7">
        <f>IF(OR(K34="",L34=""),"",K34/(K34+L34))</f>
        <v/>
      </c>
      <c r="N34" s="7">
        <f>IF(M34="","",BETA.INV(0.025,K34,L34))</f>
        <v/>
      </c>
      <c r="O34" s="7">
        <f>IF(M34="","",BETA.INV(0.975,K34,L34))</f>
        <v/>
      </c>
      <c r="P34" s="5">
        <f>IF(F34+G34=0,"先填真/假计数",IF(F34+G34&lt;30,"组合样本太少",IF(MIN(F34,G34)&lt;5,"结果类别不足","可作CPT参考；逻辑权重仍需整体拟合")))</f>
        <v/>
      </c>
      <c r="Q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5">
        <f>IF(OR(I35="",F35=""),"",I35+F35)</f>
        <v/>
      </c>
      <c r="L35" s="5">
        <f>IF(OR(J35="",G35=""),"",J35+G35)</f>
        <v/>
      </c>
      <c r="M35" s="7">
        <f>IF(OR(K35="",L35=""),"",K35/(K35+L35))</f>
        <v/>
      </c>
      <c r="N35" s="7">
        <f>IF(M35="","",BETA.INV(0.025,K35,L35))</f>
        <v/>
      </c>
      <c r="O35" s="7">
        <f>IF(M35="","",BETA.INV(0.975,K35,L35))</f>
        <v/>
      </c>
      <c r="P35" s="5">
        <f>IF(F35+G35=0,"先填真/假计数",IF(F35+G35&lt;30,"组合样本太少",IF(MIN(F35,G35)&lt;5,"结果类别不足","可作CPT参考；逻辑权重仍需整体拟合")))</f>
        <v/>
      </c>
      <c r="Q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5">
        <f>IF(OR(I36="",F36=""),"",I36+F36)</f>
        <v/>
      </c>
      <c r="L36" s="5">
        <f>IF(OR(J36="",G36=""),"",J36+G36)</f>
        <v/>
      </c>
      <c r="M36" s="7">
        <f>IF(OR(K36="",L36=""),"",K36/(K36+L36))</f>
        <v/>
      </c>
      <c r="N36" s="7">
        <f>IF(M36="","",BETA.INV(0.025,K36,L36))</f>
        <v/>
      </c>
      <c r="O36" s="7">
        <f>IF(M36="","",BETA.INV(0.975,K36,L36))</f>
        <v/>
      </c>
      <c r="P36" s="5">
        <f>IF(F36+G36=0,"先填真/假计数",IF(F36+G36&lt;30,"组合样本太少",IF(MIN(F36,G36)&lt;5,"结果类别不足","可作CPT参考；逻辑权重仍需整体拟合")))</f>
        <v/>
      </c>
      <c r="Q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5">
        <f>IF(OR(I37="",F37=""),"",I37+F37)</f>
        <v/>
      </c>
      <c r="L37" s="5">
        <f>IF(OR(J37="",G37=""),"",J37+G37)</f>
        <v/>
      </c>
      <c r="M37" s="7">
        <f>IF(OR(K37="",L37=""),"",K37/(K37+L37))</f>
        <v/>
      </c>
      <c r="N37" s="7">
        <f>IF(M37="","",BETA.INV(0.025,K37,L37))</f>
        <v/>
      </c>
      <c r="O37" s="7">
        <f>IF(M37="","",BETA.INV(0.975,K37,L37))</f>
        <v/>
      </c>
      <c r="P37" s="5">
        <f>IF(F37+G37=0,"先填真/假计数",IF(F37+G37&lt;30,"组合样本太少",IF(MIN(F37,G37)&lt;5,"结果类别不足","可作CPT参考；逻辑权重仍需整体拟合")))</f>
        <v/>
      </c>
      <c r="Q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5">
        <f>IF(OR(I38="",F38=""),"",I38+F38)</f>
        <v/>
      </c>
      <c r="L38" s="5">
        <f>IF(OR(J38="",G38=""),"",J38+G38)</f>
        <v/>
      </c>
      <c r="M38" s="7">
        <f>IF(OR(K38="",L38=""),"",K38/(K38+L38))</f>
        <v/>
      </c>
      <c r="N38" s="7">
        <f>IF(M38="","",BETA.INV(0.025,K38,L38))</f>
        <v/>
      </c>
      <c r="O38" s="7">
        <f>IF(M38="","",BETA.INV(0.975,K38,L38))</f>
        <v/>
      </c>
      <c r="P38" s="5">
        <f>IF(F38+G38=0,"先填真/假计数",IF(F38+G38&lt;30,"组合样本太少",IF(MIN(F38,G38)&lt;5,"结果类别不足","可作CPT参考；逻辑权重仍需整体拟合")))</f>
        <v/>
      </c>
      <c r="Q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5">
        <f>IF(OR(I39="",F39=""),"",I39+F39)</f>
        <v/>
      </c>
      <c r="L39" s="5">
        <f>IF(OR(J39="",G39=""),"",J39+G39)</f>
        <v/>
      </c>
      <c r="M39" s="7">
        <f>IF(OR(K39="",L39=""),"",K39/(K39+L39))</f>
        <v/>
      </c>
      <c r="N39" s="7">
        <f>IF(M39="","",BETA.INV(0.025,K39,L39))</f>
        <v/>
      </c>
      <c r="O39" s="7">
        <f>IF(M39="","",BETA.INV(0.975,K39,L39))</f>
        <v/>
      </c>
      <c r="P39" s="5">
        <f>IF(F39+G39=0,"先填真/假计数",IF(F39+G39&lt;30,"组合样本太少",IF(MIN(F39,G39)&lt;5,"结果类别不足","可作CPT参考；逻辑权重仍需整体拟合")))</f>
        <v/>
      </c>
      <c r="Q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5">
        <f>IF(OR(I40="",F40=""),"",I40+F40)</f>
        <v/>
      </c>
      <c r="L40" s="5">
        <f>IF(OR(J40="",G40=""),"",J40+G40)</f>
        <v/>
      </c>
      <c r="M40" s="7">
        <f>IF(OR(K40="",L40=""),"",K40/(K40+L40))</f>
        <v/>
      </c>
      <c r="N40" s="7">
        <f>IF(M40="","",BETA.INV(0.025,K40,L40))</f>
        <v/>
      </c>
      <c r="O40" s="7">
        <f>IF(M40="","",BETA.INV(0.975,K40,L40))</f>
        <v/>
      </c>
      <c r="P40" s="5">
        <f>IF(F40+G40=0,"先填真/假计数",IF(F40+G40&lt;30,"组合样本太少",IF(MIN(F40,G40)&lt;5,"结果类别不足","可作CPT参考；逻辑权重仍需整体拟合")))</f>
        <v/>
      </c>
      <c r="Q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5">
        <f>IF(OR(I41="",F41=""),"",I41+F41)</f>
        <v/>
      </c>
      <c r="L41" s="5">
        <f>IF(OR(J41="",G41=""),"",J41+G41)</f>
        <v/>
      </c>
      <c r="M41" s="7">
        <f>IF(OR(K41="",L41=""),"",K41/(K41+L41))</f>
        <v/>
      </c>
      <c r="N41" s="7">
        <f>IF(M41="","",BETA.INV(0.025,K41,L41))</f>
        <v/>
      </c>
      <c r="O41" s="7">
        <f>IF(M41="","",BETA.INV(0.975,K41,L41))</f>
        <v/>
      </c>
      <c r="P41" s="5">
        <f>IF(F41+G41=0,"先填真/假计数",IF(F41+G41&lt;30,"组合样本太少",IF(MIN(F41,G41)&lt;5,"结果类别不足","可作CPT参考；逻辑权重仍需整体拟合")))</f>
        <v/>
      </c>
      <c r="Q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5">
        <f>IF(OR(I42="",F42=""),"",I42+F42)</f>
        <v/>
      </c>
      <c r="L42" s="5">
        <f>IF(OR(J42="",G42=""),"",J42+G42)</f>
        <v/>
      </c>
      <c r="M42" s="7">
        <f>IF(OR(K42="",L42=""),"",K42/(K42+L42))</f>
        <v/>
      </c>
      <c r="N42" s="7">
        <f>IF(M42="","",BETA.INV(0.025,K42,L42))</f>
        <v/>
      </c>
      <c r="O42" s="7">
        <f>IF(M42="","",BETA.INV(0.975,K42,L42))</f>
        <v/>
      </c>
      <c r="P42" s="5">
        <f>IF(F42+G42=0,"先填真/假计数",IF(F42+G42&lt;30,"组合样本太少",IF(MIN(F42,G42)&lt;5,"结果类别不足","可作CPT参考；逻辑权重仍需整体拟合")))</f>
        <v/>
      </c>
      <c r="Q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5">
        <f>IF(OR(I43="",F43=""),"",I43+F43)</f>
        <v/>
      </c>
      <c r="L43" s="5">
        <f>IF(OR(J43="",G43=""),"",J43+G43)</f>
        <v/>
      </c>
      <c r="M43" s="7">
        <f>IF(OR(K43="",L43=""),"",K43/(K43+L43))</f>
        <v/>
      </c>
      <c r="N43" s="7">
        <f>IF(M43="","",BETA.INV(0.025,K43,L43))</f>
        <v/>
      </c>
      <c r="O43" s="7">
        <f>IF(M43="","",BETA.INV(0.975,K43,L43))</f>
        <v/>
      </c>
      <c r="P43" s="5">
        <f>IF(F43+G43=0,"先填真/假计数",IF(F43+G43&lt;30,"组合样本太少",IF(MIN(F43,G43)&lt;5,"结果类别不足","可作CPT参考；逻辑权重仍需整体拟合")))</f>
        <v/>
      </c>
      <c r="Q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5">
        <f>IF(OR(I44="",F44=""),"",I44+F44)</f>
        <v/>
      </c>
      <c r="L44" s="5">
        <f>IF(OR(J44="",G44=""),"",J44+G44)</f>
        <v/>
      </c>
      <c r="M44" s="7">
        <f>IF(OR(K44="",L44=""),"",K44/(K44+L44))</f>
        <v/>
      </c>
      <c r="N44" s="7">
        <f>IF(M44="","",BETA.INV(0.025,K44,L44))</f>
        <v/>
      </c>
      <c r="O44" s="7">
        <f>IF(M44="","",BETA.INV(0.975,K44,L44))</f>
        <v/>
      </c>
      <c r="P44" s="5">
        <f>IF(F44+G44=0,"先填真/假计数",IF(F44+G44&lt;30,"组合样本太少",IF(MIN(F44,G44)&lt;5,"结果类别不足","可作CPT参考；逻辑权重仍需整体拟合")))</f>
        <v/>
      </c>
      <c r="Q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5">
        <f>IF(OR(I45="",F45=""),"",I45+F45)</f>
        <v/>
      </c>
      <c r="L45" s="5">
        <f>IF(OR(J45="",G45=""),"",J45+G45)</f>
        <v/>
      </c>
      <c r="M45" s="7">
        <f>IF(OR(K45="",L45=""),"",K45/(K45+L45))</f>
        <v/>
      </c>
      <c r="N45" s="7">
        <f>IF(M45="","",BETA.INV(0.025,K45,L45))</f>
        <v/>
      </c>
      <c r="O45" s="7">
        <f>IF(M45="","",BETA.INV(0.975,K45,L45))</f>
        <v/>
      </c>
      <c r="P45" s="5">
        <f>IF(F45+G45=0,"先填真/假计数",IF(F45+G45&lt;30,"组合样本太少",IF(MIN(F45,G45)&lt;5,"结果类别不足","可作CPT参考；逻辑权重仍需整体拟合")))</f>
        <v/>
      </c>
      <c r="Q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5">
        <f>IF(OR(I46="",F46=""),"",I46+F46)</f>
        <v/>
      </c>
      <c r="L46" s="5">
        <f>IF(OR(J46="",G46=""),"",J46+G46)</f>
        <v/>
      </c>
      <c r="M46" s="7">
        <f>IF(OR(K46="",L46=""),"",K46/(K46+L46))</f>
        <v/>
      </c>
      <c r="N46" s="7">
        <f>IF(M46="","",BETA.INV(0.025,K46,L46))</f>
        <v/>
      </c>
      <c r="O46" s="7">
        <f>IF(M46="","",BETA.INV(0.975,K46,L46))</f>
        <v/>
      </c>
      <c r="P46" s="5">
        <f>IF(F46+G46=0,"先填真/假计数",IF(F46+G46&lt;30,"组合样本太少",IF(MIN(F46,G46)&lt;5,"结果类别不足","可作CPT参考；逻辑权重仍需整体拟合")))</f>
        <v/>
      </c>
      <c r="Q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5">
        <f>IF(OR(I47="",F47=""),"",I47+F47)</f>
        <v/>
      </c>
      <c r="L47" s="5">
        <f>IF(OR(J47="",G47=""),"",J47+G47)</f>
        <v/>
      </c>
      <c r="M47" s="7">
        <f>IF(OR(K47="",L47=""),"",K47/(K47+L47))</f>
        <v/>
      </c>
      <c r="N47" s="7">
        <f>IF(M47="","",BETA.INV(0.025,K47,L47))</f>
        <v/>
      </c>
      <c r="O47" s="7">
        <f>IF(M47="","",BETA.INV(0.975,K47,L47))</f>
        <v/>
      </c>
      <c r="P47" s="5">
        <f>IF(F47+G47=0,"先填真/假计数",IF(F47+G47&lt;30,"组合样本太少",IF(MIN(F47,G47)&lt;5,"结果类别不足","可作CPT参考；逻辑权重仍需整体拟合")))</f>
        <v/>
      </c>
      <c r="Q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5">
        <f>IF(OR(I48="",F48=""),"",I48+F48)</f>
        <v/>
      </c>
      <c r="L48" s="5">
        <f>IF(OR(J48="",G48=""),"",J48+G48)</f>
        <v/>
      </c>
      <c r="M48" s="7">
        <f>IF(OR(K48="",L48=""),"",K48/(K48+L48))</f>
        <v/>
      </c>
      <c r="N48" s="7">
        <f>IF(M48="","",BETA.INV(0.025,K48,L48))</f>
        <v/>
      </c>
      <c r="O48" s="7">
        <f>IF(M48="","",BETA.INV(0.975,K48,L48))</f>
        <v/>
      </c>
      <c r="P48" s="5">
        <f>IF(F48+G48=0,"先填真/假计数",IF(F48+G48&lt;30,"组合样本太少",IF(MIN(F48,G48)&lt;5,"结果类别不足","可作CPT参考；逻辑权重仍需整体拟合")))</f>
        <v/>
      </c>
      <c r="Q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5">
        <f>IF(OR(I49="",F49=""),"",I49+F49)</f>
        <v/>
      </c>
      <c r="L49" s="5">
        <f>IF(OR(J49="",G49=""),"",J49+G49)</f>
        <v/>
      </c>
      <c r="M49" s="7">
        <f>IF(OR(K49="",L49=""),"",K49/(K49+L49))</f>
        <v/>
      </c>
      <c r="N49" s="7">
        <f>IF(M49="","",BETA.INV(0.025,K49,L49))</f>
        <v/>
      </c>
      <c r="O49" s="7">
        <f>IF(M49="","",BETA.INV(0.975,K49,L49))</f>
        <v/>
      </c>
      <c r="P49" s="5">
        <f>IF(F49+G49=0,"先填真/假计数",IF(F49+G49&lt;30,"组合样本太少",IF(MIN(F49,G49)&lt;5,"结果类别不足","可作CPT参考；逻辑权重仍需整体拟合")))</f>
        <v/>
      </c>
      <c r="Q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5">
        <f>IF(OR(I50="",F50=""),"",I50+F50)</f>
        <v/>
      </c>
      <c r="L50" s="5">
        <f>IF(OR(J50="",G50=""),"",J50+G50)</f>
        <v/>
      </c>
      <c r="M50" s="7">
        <f>IF(OR(K50="",L50=""),"",K50/(K50+L50))</f>
        <v/>
      </c>
      <c r="N50" s="7">
        <f>IF(M50="","",BETA.INV(0.025,K50,L50))</f>
        <v/>
      </c>
      <c r="O50" s="7">
        <f>IF(M50="","",BETA.INV(0.975,K50,L50))</f>
        <v/>
      </c>
      <c r="P50" s="5">
        <f>IF(F50+G50=0,"先填真/假计数",IF(F50+G50&lt;30,"组合样本太少",IF(MIN(F50,G50)&lt;5,"结果类别不足","可作CPT参考；逻辑权重仍需整体拟合")))</f>
        <v/>
      </c>
      <c r="Q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5">
        <f>IF(OR(I51="",F51=""),"",I51+F51)</f>
        <v/>
      </c>
      <c r="L51" s="5">
        <f>IF(OR(J51="",G51=""),"",J51+G51)</f>
        <v/>
      </c>
      <c r="M51" s="7">
        <f>IF(OR(K51="",L51=""),"",K51/(K51+L51))</f>
        <v/>
      </c>
      <c r="N51" s="7">
        <f>IF(M51="","",BETA.INV(0.025,K51,L51))</f>
        <v/>
      </c>
      <c r="O51" s="7">
        <f>IF(M51="","",BETA.INV(0.975,K51,L51))</f>
        <v/>
      </c>
      <c r="P51" s="5">
        <f>IF(F51+G51=0,"先填真/假计数",IF(F51+G51&lt;30,"组合样本太少",IF(MIN(F51,G51)&lt;5,"结果类别不足","可作CPT参考；逻辑权重仍需整体拟合")))</f>
        <v/>
      </c>
      <c r="Q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5">
        <f>IF(OR(I52="",F52=""),"",I52+F52)</f>
        <v/>
      </c>
      <c r="L52" s="5">
        <f>IF(OR(J52="",G52=""),"",J52+G52)</f>
        <v/>
      </c>
      <c r="M52" s="7">
        <f>IF(OR(K52="",L52=""),"",K52/(K52+L52))</f>
        <v/>
      </c>
      <c r="N52" s="7">
        <f>IF(M52="","",BETA.INV(0.025,K52,L52))</f>
        <v/>
      </c>
      <c r="O52" s="7">
        <f>IF(M52="","",BETA.INV(0.975,K52,L52))</f>
        <v/>
      </c>
      <c r="P52" s="5">
        <f>IF(F52+G52=0,"先填真/假计数",IF(F52+G52&lt;30,"组合样本太少",IF(MIN(F52,G52)&lt;5,"结果类别不足","可作CPT参考；逻辑权重仍需整体拟合")))</f>
        <v/>
      </c>
      <c r="Q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5">
        <f>IF(OR(I53="",F53=""),"",I53+F53)</f>
        <v/>
      </c>
      <c r="L53" s="5">
        <f>IF(OR(J53="",G53=""),"",J53+G53)</f>
        <v/>
      </c>
      <c r="M53" s="7">
        <f>IF(OR(K53="",L53=""),"",K53/(K53+L53))</f>
        <v/>
      </c>
      <c r="N53" s="7">
        <f>IF(M53="","",BETA.INV(0.025,K53,L53))</f>
        <v/>
      </c>
      <c r="O53" s="7">
        <f>IF(M53="","",BETA.INV(0.975,K53,L53))</f>
        <v/>
      </c>
      <c r="P53" s="5">
        <f>IF(F53+G53=0,"先填真/假计数",IF(F53+G53&lt;30,"组合样本太少",IF(MIN(F53,G53)&lt;5,"结果类别不足","可作CPT参考；逻辑权重仍需整体拟合")))</f>
        <v/>
      </c>
      <c r="Q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5">
        <f>IF(OR(I54="",F54=""),"",I54+F54)</f>
        <v/>
      </c>
      <c r="L54" s="5">
        <f>IF(OR(J54="",G54=""),"",J54+G54)</f>
        <v/>
      </c>
      <c r="M54" s="7">
        <f>IF(OR(K54="",L54=""),"",K54/(K54+L54))</f>
        <v/>
      </c>
      <c r="N54" s="7">
        <f>IF(M54="","",BETA.INV(0.025,K54,L54))</f>
        <v/>
      </c>
      <c r="O54" s="7">
        <f>IF(M54="","",BETA.INV(0.975,K54,L54))</f>
        <v/>
      </c>
      <c r="P54" s="5">
        <f>IF(F54+G54=0,"先填真/假计数",IF(F54+G54&lt;30,"组合样本太少",IF(MIN(F54,G54)&lt;5,"结果类别不足","可作CPT参考；逻辑权重仍需整体拟合")))</f>
        <v/>
      </c>
      <c r="Q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5">
        <f>IF(OR(I55="",F55=""),"",I55+F55)</f>
        <v/>
      </c>
      <c r="L55" s="5">
        <f>IF(OR(J55="",G55=""),"",J55+G55)</f>
        <v/>
      </c>
      <c r="M55" s="7">
        <f>IF(OR(K55="",L55=""),"",K55/(K55+L55))</f>
        <v/>
      </c>
      <c r="N55" s="7">
        <f>IF(M55="","",BETA.INV(0.025,K55,L55))</f>
        <v/>
      </c>
      <c r="O55" s="7">
        <f>IF(M55="","",BETA.INV(0.975,K55,L55))</f>
        <v/>
      </c>
      <c r="P55" s="5">
        <f>IF(F55+G55=0,"先填真/假计数",IF(F55+G55&lt;30,"组合样本太少",IF(MIN(F55,G55)&lt;5,"结果类别不足","可作CPT参考；逻辑权重仍需整体拟合")))</f>
        <v/>
      </c>
      <c r="Q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5">
        <f>IF(OR(I56="",F56=""),"",I56+F56)</f>
        <v/>
      </c>
      <c r="L56" s="5">
        <f>IF(OR(J56="",G56=""),"",J56+G56)</f>
        <v/>
      </c>
      <c r="M56" s="7">
        <f>IF(OR(K56="",L56=""),"",K56/(K56+L56))</f>
        <v/>
      </c>
      <c r="N56" s="7">
        <f>IF(M56="","",BETA.INV(0.025,K56,L56))</f>
        <v/>
      </c>
      <c r="O56" s="7">
        <f>IF(M56="","",BETA.INV(0.975,K56,L56))</f>
        <v/>
      </c>
      <c r="P56" s="5">
        <f>IF(F56+G56=0,"先填真/假计数",IF(F56+G56&lt;30,"组合样本太少",IF(MIN(F56,G56)&lt;5,"结果类别不足","可作CPT参考；逻辑权重仍需整体拟合")))</f>
        <v/>
      </c>
      <c r="Q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5">
        <f>IF(OR(I57="",F57=""),"",I57+F57)</f>
        <v/>
      </c>
      <c r="L57" s="5">
        <f>IF(OR(J57="",G57=""),"",J57+G57)</f>
        <v/>
      </c>
      <c r="M57" s="7">
        <f>IF(OR(K57="",L57=""),"",K57/(K57+L57))</f>
        <v/>
      </c>
      <c r="N57" s="7">
        <f>IF(M57="","",BETA.INV(0.025,K57,L57))</f>
        <v/>
      </c>
      <c r="O57" s="7">
        <f>IF(M57="","",BETA.INV(0.975,K57,L57))</f>
        <v/>
      </c>
      <c r="P57" s="5">
        <f>IF(F57+G57=0,"先填真/假计数",IF(F57+G57&lt;30,"组合样本太少",IF(MIN(F57,G57)&lt;5,"结果类别不足","可作CPT参考；逻辑权重仍需整体拟合")))</f>
        <v/>
      </c>
      <c r="Q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5">
        <f>IF(OR(I58="",F58=""),"",I58+F58)</f>
        <v/>
      </c>
      <c r="L58" s="5">
        <f>IF(OR(J58="",G58=""),"",J58+G58)</f>
        <v/>
      </c>
      <c r="M58" s="7">
        <f>IF(OR(K58="",L58=""),"",K58/(K58+L58))</f>
        <v/>
      </c>
      <c r="N58" s="7">
        <f>IF(M58="","",BETA.INV(0.025,K58,L58))</f>
        <v/>
      </c>
      <c r="O58" s="7">
        <f>IF(M58="","",BETA.INV(0.975,K58,L58))</f>
        <v/>
      </c>
      <c r="P58" s="5">
        <f>IF(F58+G58=0,"先填真/假计数",IF(F58+G58&lt;30,"组合样本太少",IF(MIN(F58,G58)&lt;5,"结果类别不足","可作CPT参考；逻辑权重仍需整体拟合")))</f>
        <v/>
      </c>
      <c r="Q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5">
        <f>IF(OR(I59="",F59=""),"",I59+F59)</f>
        <v/>
      </c>
      <c r="L59" s="5">
        <f>IF(OR(J59="",G59=""),"",J59+G59)</f>
        <v/>
      </c>
      <c r="M59" s="7">
        <f>IF(OR(K59="",L59=""),"",K59/(K59+L59))</f>
        <v/>
      </c>
      <c r="N59" s="7">
        <f>IF(M59="","",BETA.INV(0.025,K59,L59))</f>
        <v/>
      </c>
      <c r="O59" s="7">
        <f>IF(M59="","",BETA.INV(0.975,K59,L59))</f>
        <v/>
      </c>
      <c r="P59" s="5">
        <f>IF(F59+G59=0,"先填真/假计数",IF(F59+G59&lt;30,"组合样本太少",IF(MIN(F59,G59)&lt;5,"结果类别不足","可作CPT参考；逻辑权重仍需整体拟合")))</f>
        <v/>
      </c>
      <c r="Q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5">
        <f>IF(OR(I60="",F60=""),"",I60+F60)</f>
        <v/>
      </c>
      <c r="L60" s="5">
        <f>IF(OR(J60="",G60=""),"",J60+G60)</f>
        <v/>
      </c>
      <c r="M60" s="7">
        <f>IF(OR(K60="",L60=""),"",K60/(K60+L60))</f>
        <v/>
      </c>
      <c r="N60" s="7">
        <f>IF(M60="","",BETA.INV(0.025,K60,L60))</f>
        <v/>
      </c>
      <c r="O60" s="7">
        <f>IF(M60="","",BETA.INV(0.975,K60,L60))</f>
        <v/>
      </c>
      <c r="P60" s="5">
        <f>IF(F60+G60=0,"先填真/假计数",IF(F60+G60&lt;30,"组合样本太少",IF(MIN(F60,G60)&lt;5,"结果类别不足","可作CPT参考；逻辑权重仍需整体拟合")))</f>
        <v/>
      </c>
      <c r="Q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5">
        <f>IF(OR(I61="",F61=""),"",I61+F61)</f>
        <v/>
      </c>
      <c r="L61" s="5">
        <f>IF(OR(J61="",G61=""),"",J61+G61)</f>
        <v/>
      </c>
      <c r="M61" s="7">
        <f>IF(OR(K61="",L61=""),"",K61/(K61+L61))</f>
        <v/>
      </c>
      <c r="N61" s="7">
        <f>IF(M61="","",BETA.INV(0.025,K61,L61))</f>
        <v/>
      </c>
      <c r="O61" s="7">
        <f>IF(M61="","",BETA.INV(0.975,K61,L61))</f>
        <v/>
      </c>
      <c r="P61" s="5">
        <f>IF(F61+G61=0,"先填真/假计数",IF(F61+G61&lt;30,"组合样本太少",IF(MIN(F61,G61)&lt;5,"结果类别不足","可作CPT参考；逻辑权重仍需整体拟合")))</f>
        <v/>
      </c>
      <c r="Q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5">
        <f>IF(OR(I62="",F62=""),"",I62+F62)</f>
        <v/>
      </c>
      <c r="L62" s="5">
        <f>IF(OR(J62="",G62=""),"",J62+G62)</f>
        <v/>
      </c>
      <c r="M62" s="7">
        <f>IF(OR(K62="",L62=""),"",K62/(K62+L62))</f>
        <v/>
      </c>
      <c r="N62" s="7">
        <f>IF(M62="","",BETA.INV(0.025,K62,L62))</f>
        <v/>
      </c>
      <c r="O62" s="7">
        <f>IF(M62="","",BETA.INV(0.975,K62,L62))</f>
        <v/>
      </c>
      <c r="P62" s="5">
        <f>IF(F62+G62=0,"先填真/假计数",IF(F62+G62&lt;30,"组合样本太少",IF(MIN(F62,G62)&lt;5,"结果类别不足","可作CPT参考；逻辑权重仍需整体拟合")))</f>
        <v/>
      </c>
      <c r="Q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5">
        <f>IF(OR(I63="",F63=""),"",I63+F63)</f>
        <v/>
      </c>
      <c r="L63" s="5">
        <f>IF(OR(J63="",G63=""),"",J63+G63)</f>
        <v/>
      </c>
      <c r="M63" s="7">
        <f>IF(OR(K63="",L63=""),"",K63/(K63+L63))</f>
        <v/>
      </c>
      <c r="N63" s="7">
        <f>IF(M63="","",BETA.INV(0.025,K63,L63))</f>
        <v/>
      </c>
      <c r="O63" s="7">
        <f>IF(M63="","",BETA.INV(0.975,K63,L63))</f>
        <v/>
      </c>
      <c r="P63" s="5">
        <f>IF(F63+G63=0,"先填真/假计数",IF(F63+G63&lt;30,"组合样本太少",IF(MIN(F63,G63)&lt;5,"结果类别不足","可作CPT参考；逻辑权重仍需整体拟合")))</f>
        <v/>
      </c>
      <c r="Q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5">
        <f>IF(OR(I64="",F64=""),"",I64+F64)</f>
        <v/>
      </c>
      <c r="L64" s="5">
        <f>IF(OR(J64="",G64=""),"",J64+G64)</f>
        <v/>
      </c>
      <c r="M64" s="7">
        <f>IF(OR(K64="",L64=""),"",K64/(K64+L64))</f>
        <v/>
      </c>
      <c r="N64" s="7">
        <f>IF(M64="","",BETA.INV(0.025,K64,L64))</f>
        <v/>
      </c>
      <c r="O64" s="7">
        <f>IF(M64="","",BETA.INV(0.975,K64,L64))</f>
        <v/>
      </c>
      <c r="P64" s="5">
        <f>IF(F64+G64=0,"先填真/假计数",IF(F64+G64&lt;30,"组合样本太少",IF(MIN(F64,G64)&lt;5,"结果类别不足","可作CPT参考；逻辑权重仍需整体拟合")))</f>
        <v/>
      </c>
      <c r="Q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5">
        <f>IF(OR(I65="",F65=""),"",I65+F65)</f>
        <v/>
      </c>
      <c r="L65" s="5">
        <f>IF(OR(J65="",G65=""),"",J65+G65)</f>
        <v/>
      </c>
      <c r="M65" s="7">
        <f>IF(OR(K65="",L65=""),"",K65/(K65+L65))</f>
        <v/>
      </c>
      <c r="N65" s="7">
        <f>IF(M65="","",BETA.INV(0.025,K65,L65))</f>
        <v/>
      </c>
      <c r="O65" s="7">
        <f>IF(M65="","",BETA.INV(0.975,K65,L65))</f>
        <v/>
      </c>
      <c r="P65" s="5">
        <f>IF(F65+G65=0,"先填真/假计数",IF(F65+G65&lt;30,"组合样本太少",IF(MIN(F65,G65)&lt;5,"结果类别不足","可作CPT参考；逻辑权重仍需整体拟合")))</f>
        <v/>
      </c>
      <c r="Q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5">
        <f>IF(OR(I66="",F66=""),"",I66+F66)</f>
        <v/>
      </c>
      <c r="L66" s="5">
        <f>IF(OR(J66="",G66=""),"",J66+G66)</f>
        <v/>
      </c>
      <c r="M66" s="7">
        <f>IF(OR(K66="",L66=""),"",K66/(K66+L66))</f>
        <v/>
      </c>
      <c r="N66" s="7">
        <f>IF(M66="","",BETA.INV(0.025,K66,L66))</f>
        <v/>
      </c>
      <c r="O66" s="7">
        <f>IF(M66="","",BETA.INV(0.975,K66,L66))</f>
        <v/>
      </c>
      <c r="P66" s="5">
        <f>IF(F66+G66=0,"先填真/假计数",IF(F66+G66&lt;30,"组合样本太少",IF(MIN(F66,G66)&lt;5,"结果类别不足","可作CPT参考；逻辑权重仍需整体拟合")))</f>
        <v/>
      </c>
      <c r="Q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5">
        <f>IF(OR(I67="",F67=""),"",I67+F67)</f>
        <v/>
      </c>
      <c r="L67" s="5">
        <f>IF(OR(J67="",G67=""),"",J67+G67)</f>
        <v/>
      </c>
      <c r="M67" s="7">
        <f>IF(OR(K67="",L67=""),"",K67/(K67+L67))</f>
        <v/>
      </c>
      <c r="N67" s="7">
        <f>IF(M67="","",BETA.INV(0.025,K67,L67))</f>
        <v/>
      </c>
      <c r="O67" s="7">
        <f>IF(M67="","",BETA.INV(0.975,K67,L67))</f>
        <v/>
      </c>
      <c r="P67" s="5">
        <f>IF(F67+G67=0,"先填真/假计数",IF(F67+G67&lt;30,"组合样本太少",IF(MIN(F67,G67)&lt;5,"结果类别不足","可作CPT参考；逻辑权重仍需整体拟合")))</f>
        <v/>
      </c>
      <c r="Q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5">
        <f>IF(OR(I68="",F68=""),"",I68+F68)</f>
        <v/>
      </c>
      <c r="L68" s="5">
        <f>IF(OR(J68="",G68=""),"",J68+G68)</f>
        <v/>
      </c>
      <c r="M68" s="7">
        <f>IF(OR(K68="",L68=""),"",K68/(K68+L68))</f>
        <v/>
      </c>
      <c r="N68" s="7">
        <f>IF(M68="","",BETA.INV(0.025,K68,L68))</f>
        <v/>
      </c>
      <c r="O68" s="7">
        <f>IF(M68="","",BETA.INV(0.975,K68,L68))</f>
        <v/>
      </c>
      <c r="P68" s="5">
        <f>IF(F68+G68=0,"先填真/假计数",IF(F68+G68&lt;30,"组合样本太少",IF(MIN(F68,G68)&lt;5,"结果类别不足","可作CPT参考；逻辑权重仍需整体拟合")))</f>
        <v/>
      </c>
      <c r="Q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5">
        <f>IF(OR(I69="",F69=""),"",I69+F69)</f>
        <v/>
      </c>
      <c r="L69" s="5">
        <f>IF(OR(J69="",G69=""),"",J69+G69)</f>
        <v/>
      </c>
      <c r="M69" s="7">
        <f>IF(OR(K69="",L69=""),"",K69/(K69+L69))</f>
        <v/>
      </c>
      <c r="N69" s="7">
        <f>IF(M69="","",BETA.INV(0.025,K69,L69))</f>
        <v/>
      </c>
      <c r="O69" s="7">
        <f>IF(M69="","",BETA.INV(0.975,K69,L69))</f>
        <v/>
      </c>
      <c r="P69" s="5">
        <f>IF(F69+G69=0,"先填真/假计数",IF(F69+G69&lt;30,"组合样本太少",IF(MIN(F69,G69)&lt;5,"结果类别不足","可作CPT参考；逻辑权重仍需整体拟合")))</f>
        <v/>
      </c>
      <c r="Q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5">
        <f>IF(OR(I70="",F70=""),"",I70+F70)</f>
        <v/>
      </c>
      <c r="L70" s="5">
        <f>IF(OR(J70="",G70=""),"",J70+G70)</f>
        <v/>
      </c>
      <c r="M70" s="7">
        <f>IF(OR(K70="",L70=""),"",K70/(K70+L70))</f>
        <v/>
      </c>
      <c r="N70" s="7">
        <f>IF(M70="","",BETA.INV(0.025,K70,L70))</f>
        <v/>
      </c>
      <c r="O70" s="7">
        <f>IF(M70="","",BETA.INV(0.975,K70,L70))</f>
        <v/>
      </c>
      <c r="P70" s="5">
        <f>IF(F70+G70=0,"先填真/假计数",IF(F70+G70&lt;30,"组合样本太少",IF(MIN(F70,G70)&lt;5,"结果类别不足","可作CPT参考；逻辑权重仍需整体拟合")))</f>
        <v/>
      </c>
      <c r="Q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5">
        <f>IF(OR(I71="",F71=""),"",I71+F71)</f>
        <v/>
      </c>
      <c r="L71" s="5">
        <f>IF(OR(J71="",G71=""),"",J71+G71)</f>
        <v/>
      </c>
      <c r="M71" s="7">
        <f>IF(OR(K71="",L71=""),"",K71/(K71+L71))</f>
        <v/>
      </c>
      <c r="N71" s="7">
        <f>IF(M71="","",BETA.INV(0.025,K71,L71))</f>
        <v/>
      </c>
      <c r="O71" s="7">
        <f>IF(M71="","",BETA.INV(0.975,K71,L71))</f>
        <v/>
      </c>
      <c r="P71" s="5">
        <f>IF(F71+G71=0,"先填真/假计数",IF(F71+G71&lt;30,"组合样本太少",IF(MIN(F71,G71)&lt;5,"结果类别不足","可作CPT参考；逻辑权重仍需整体拟合")))</f>
        <v/>
      </c>
      <c r="Q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5">
        <f>IF(OR(I72="",F72=""),"",I72+F72)</f>
        <v/>
      </c>
      <c r="L72" s="5">
        <f>IF(OR(J72="",G72=""),"",J72+G72)</f>
        <v/>
      </c>
      <c r="M72" s="7">
        <f>IF(OR(K72="",L72=""),"",K72/(K72+L72))</f>
        <v/>
      </c>
      <c r="N72" s="7">
        <f>IF(M72="","",BETA.INV(0.025,K72,L72))</f>
        <v/>
      </c>
      <c r="O72" s="7">
        <f>IF(M72="","",BETA.INV(0.975,K72,L72))</f>
        <v/>
      </c>
      <c r="P72" s="5">
        <f>IF(F72+G72=0,"先填真/假计数",IF(F72+G72&lt;30,"组合样本太少",IF(MIN(F72,G72)&lt;5,"结果类别不足","可作CPT参考；逻辑权重仍需整体拟合")))</f>
        <v/>
      </c>
      <c r="Q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5">
        <f>IF(OR(I73="",F73=""),"",I73+F73)</f>
        <v/>
      </c>
      <c r="L73" s="5">
        <f>IF(OR(J73="",G73=""),"",J73+G73)</f>
        <v/>
      </c>
      <c r="M73" s="7">
        <f>IF(OR(K73="",L73=""),"",K73/(K73+L73))</f>
        <v/>
      </c>
      <c r="N73" s="7">
        <f>IF(M73="","",BETA.INV(0.025,K73,L73))</f>
        <v/>
      </c>
      <c r="O73" s="7">
        <f>IF(M73="","",BETA.INV(0.975,K73,L73))</f>
        <v/>
      </c>
      <c r="P73" s="5">
        <f>IF(F73+G73=0,"先填真/假计数",IF(F73+G73&lt;30,"组合样本太少",IF(MIN(F73,G73)&lt;5,"结果类别不足","可作CPT参考；逻辑权重仍需整体拟合")))</f>
        <v/>
      </c>
      <c r="Q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5">
        <f>IF(OR(I74="",F74=""),"",I74+F74)</f>
        <v/>
      </c>
      <c r="L74" s="5">
        <f>IF(OR(J74="",G74=""),"",J74+G74)</f>
        <v/>
      </c>
      <c r="M74" s="7">
        <f>IF(OR(K74="",L74=""),"",K74/(K74+L74))</f>
        <v/>
      </c>
      <c r="N74" s="7">
        <f>IF(M74="","",BETA.INV(0.025,K74,L74))</f>
        <v/>
      </c>
      <c r="O74" s="7">
        <f>IF(M74="","",BETA.INV(0.975,K74,L74))</f>
        <v/>
      </c>
      <c r="P74" s="5">
        <f>IF(F74+G74=0,"先填真/假计数",IF(F74+G74&lt;30,"组合样本太少",IF(MIN(F74,G74)&lt;5,"结果类别不足","可作CPT参考；逻辑权重仍需整体拟合")))</f>
        <v/>
      </c>
      <c r="Q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5">
        <f>IF(OR(I75="",F75=""),"",I75+F75)</f>
        <v/>
      </c>
      <c r="L75" s="5">
        <f>IF(OR(J75="",G75=""),"",J75+G75)</f>
        <v/>
      </c>
      <c r="M75" s="7">
        <f>IF(OR(K75="",L75=""),"",K75/(K75+L75))</f>
        <v/>
      </c>
      <c r="N75" s="7">
        <f>IF(M75="","",BETA.INV(0.025,K75,L75))</f>
        <v/>
      </c>
      <c r="O75" s="7">
        <f>IF(M75="","",BETA.INV(0.975,K75,L75))</f>
        <v/>
      </c>
      <c r="P75" s="5">
        <f>IF(F75+G75=0,"先填真/假计数",IF(F75+G75&lt;30,"组合样本太少",IF(MIN(F75,G75)&lt;5,"结果类别不足","可作CPT参考；逻辑权重仍需整体拟合")))</f>
        <v/>
      </c>
      <c r="Q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5">
        <f>IF(OR(I76="",F76=""),"",I76+F76)</f>
        <v/>
      </c>
      <c r="L76" s="5">
        <f>IF(OR(J76="",G76=""),"",J76+G76)</f>
        <v/>
      </c>
      <c r="M76" s="7">
        <f>IF(OR(K76="",L76=""),"",K76/(K76+L76))</f>
        <v/>
      </c>
      <c r="N76" s="7">
        <f>IF(M76="","",BETA.INV(0.025,K76,L76))</f>
        <v/>
      </c>
      <c r="O76" s="7">
        <f>IF(M76="","",BETA.INV(0.975,K76,L76))</f>
        <v/>
      </c>
      <c r="P76" s="5">
        <f>IF(F76+G76=0,"先填真/假计数",IF(F76+G76&lt;30,"组合样本太少",IF(MIN(F76,G76)&lt;5,"结果类别不足","可作CPT参考；逻辑权重仍需整体拟合")))</f>
        <v/>
      </c>
      <c r="Q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5">
        <f>IF(OR(I77="",F77=""),"",I77+F77)</f>
        <v/>
      </c>
      <c r="L77" s="5">
        <f>IF(OR(J77="",G77=""),"",J77+G77)</f>
        <v/>
      </c>
      <c r="M77" s="7">
        <f>IF(OR(K77="",L77=""),"",K77/(K77+L77))</f>
        <v/>
      </c>
      <c r="N77" s="7">
        <f>IF(M77="","",BETA.INV(0.025,K77,L77))</f>
        <v/>
      </c>
      <c r="O77" s="7">
        <f>IF(M77="","",BETA.INV(0.975,K77,L77))</f>
        <v/>
      </c>
      <c r="P77" s="5">
        <f>IF(F77+G77=0,"先填真/假计数",IF(F77+G77&lt;30,"组合样本太少",IF(MIN(F77,G77)&lt;5,"结果类别不足","可作CPT参考；逻辑权重仍需整体拟合")))</f>
        <v/>
      </c>
      <c r="Q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5">
        <f>IF(OR(I78="",F78=""),"",I78+F78)</f>
        <v/>
      </c>
      <c r="L78" s="5">
        <f>IF(OR(J78="",G78=""),"",J78+G78)</f>
        <v/>
      </c>
      <c r="M78" s="7">
        <f>IF(OR(K78="",L78=""),"",K78/(K78+L78))</f>
        <v/>
      </c>
      <c r="N78" s="7">
        <f>IF(M78="","",BETA.INV(0.025,K78,L78))</f>
        <v/>
      </c>
      <c r="O78" s="7">
        <f>IF(M78="","",BETA.INV(0.975,K78,L78))</f>
        <v/>
      </c>
      <c r="P78" s="5">
        <f>IF(F78+G78=0,"先填真/假计数",IF(F78+G78&lt;30,"组合样本太少",IF(MIN(F78,G78)&lt;5,"结果类别不足","可作CPT参考；逻辑权重仍需整体拟合")))</f>
        <v/>
      </c>
      <c r="Q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5">
        <f>IF(OR(I79="",F79=""),"",I79+F79)</f>
        <v/>
      </c>
      <c r="L79" s="5">
        <f>IF(OR(J79="",G79=""),"",J79+G79)</f>
        <v/>
      </c>
      <c r="M79" s="7">
        <f>IF(OR(K79="",L79=""),"",K79/(K79+L79))</f>
        <v/>
      </c>
      <c r="N79" s="7">
        <f>IF(M79="","",BETA.INV(0.025,K79,L79))</f>
        <v/>
      </c>
      <c r="O79" s="7">
        <f>IF(M79="","",BETA.INV(0.975,K79,L79))</f>
        <v/>
      </c>
      <c r="P79" s="5">
        <f>IF(F79+G79=0,"先填真/假计数",IF(F79+G79&lt;30,"组合样本太少",IF(MIN(F79,G79)&lt;5,"结果类别不足","可作CPT参考；逻辑权重仍需整体拟合")))</f>
        <v/>
      </c>
      <c r="Q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5">
        <f>IF(OR(I80="",F80=""),"",I80+F80)</f>
        <v/>
      </c>
      <c r="L80" s="5">
        <f>IF(OR(J80="",G80=""),"",J80+G80)</f>
        <v/>
      </c>
      <c r="M80" s="7">
        <f>IF(OR(K80="",L80=""),"",K80/(K80+L80))</f>
        <v/>
      </c>
      <c r="N80" s="7">
        <f>IF(M80="","",BETA.INV(0.025,K80,L80))</f>
        <v/>
      </c>
      <c r="O80" s="7">
        <f>IF(M80="","",BETA.INV(0.975,K80,L80))</f>
        <v/>
      </c>
      <c r="P80" s="5">
        <f>IF(F80+G80=0,"先填真/假计数",IF(F80+G80&lt;30,"组合样本太少",IF(MIN(F80,G80)&lt;5,"结果类别不足","可作CPT参考；逻辑权重仍需整体拟合")))</f>
        <v/>
      </c>
      <c r="Q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5">
        <f>IF(OR(I81="",F81=""),"",I81+F81)</f>
        <v/>
      </c>
      <c r="L81" s="5">
        <f>IF(OR(J81="",G81=""),"",J81+G81)</f>
        <v/>
      </c>
      <c r="M81" s="7">
        <f>IF(OR(K81="",L81=""),"",K81/(K81+L81))</f>
        <v/>
      </c>
      <c r="N81" s="7">
        <f>IF(M81="","",BETA.INV(0.025,K81,L81))</f>
        <v/>
      </c>
      <c r="O81" s="7">
        <f>IF(M81="","",BETA.INV(0.975,K81,L81))</f>
        <v/>
      </c>
      <c r="P81" s="5">
        <f>IF(F81+G81=0,"先填真/假计数",IF(F81+G81&lt;30,"组合样本太少",IF(MIN(F81,G81)&lt;5,"结果类别不足","可作CPT参考；逻辑权重仍需整体拟合")))</f>
        <v/>
      </c>
      <c r="Q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5">
        <f>IF(OR(I82="",F82=""),"",I82+F82)</f>
        <v/>
      </c>
      <c r="L82" s="5">
        <f>IF(OR(J82="",G82=""),"",J82+G82)</f>
        <v/>
      </c>
      <c r="M82" s="7">
        <f>IF(OR(K82="",L82=""),"",K82/(K82+L82))</f>
        <v/>
      </c>
      <c r="N82" s="7">
        <f>IF(M82="","",BETA.INV(0.025,K82,L82))</f>
        <v/>
      </c>
      <c r="O82" s="7">
        <f>IF(M82="","",BETA.INV(0.975,K82,L82))</f>
        <v/>
      </c>
      <c r="P82" s="5">
        <f>IF(F82+G82=0,"先填真/假计数",IF(F82+G82&lt;30,"组合样本太少",IF(MIN(F82,G82)&lt;5,"结果类别不足","可作CPT参考；逻辑权重仍需整体拟合")))</f>
        <v/>
      </c>
      <c r="Q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5">
        <f>IF(OR(I83="",F83=""),"",I83+F83)</f>
        <v/>
      </c>
      <c r="L83" s="5">
        <f>IF(OR(J83="",G83=""),"",J83+G83)</f>
        <v/>
      </c>
      <c r="M83" s="7">
        <f>IF(OR(K83="",L83=""),"",K83/(K83+L83))</f>
        <v/>
      </c>
      <c r="N83" s="7">
        <f>IF(M83="","",BETA.INV(0.025,K83,L83))</f>
        <v/>
      </c>
      <c r="O83" s="7">
        <f>IF(M83="","",BETA.INV(0.975,K83,L83))</f>
        <v/>
      </c>
      <c r="P83" s="5">
        <f>IF(F83+G83=0,"先填真/假计数",IF(F83+G83&lt;30,"组合样本太少",IF(MIN(F83,G83)&lt;5,"结果类别不足","可作CPT参考；逻辑权重仍需整体拟合")))</f>
        <v/>
      </c>
      <c r="Q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5">
        <f>IF(OR(I84="",F84=""),"",I84+F84)</f>
        <v/>
      </c>
      <c r="L84" s="5">
        <f>IF(OR(J84="",G84=""),"",J84+G84)</f>
        <v/>
      </c>
      <c r="M84" s="7">
        <f>IF(OR(K84="",L84=""),"",K84/(K84+L84))</f>
        <v/>
      </c>
      <c r="N84" s="7">
        <f>IF(M84="","",BETA.INV(0.025,K84,L84))</f>
        <v/>
      </c>
      <c r="O84" s="7">
        <f>IF(M84="","",BETA.INV(0.975,K84,L84))</f>
        <v/>
      </c>
      <c r="P84" s="5">
        <f>IF(F84+G84=0,"先填真/假计数",IF(F84+G84&lt;30,"组合样本太少",IF(MIN(F84,G84)&lt;5,"结果类别不足","可作CPT参考；逻辑权重仍需整体拟合")))</f>
        <v/>
      </c>
      <c r="Q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5">
        <f>IF(OR(I85="",F85=""),"",I85+F85)</f>
        <v/>
      </c>
      <c r="L85" s="5">
        <f>IF(OR(J85="",G85=""),"",J85+G85)</f>
        <v/>
      </c>
      <c r="M85" s="7">
        <f>IF(OR(K85="",L85=""),"",K85/(K85+L85))</f>
        <v/>
      </c>
      <c r="N85" s="7">
        <f>IF(M85="","",BETA.INV(0.025,K85,L85))</f>
        <v/>
      </c>
      <c r="O85" s="7">
        <f>IF(M85="","",BETA.INV(0.975,K85,L85))</f>
        <v/>
      </c>
      <c r="P85" s="5">
        <f>IF(F85+G85=0,"先填真/假计数",IF(F85+G85&lt;30,"组合样本太少",IF(MIN(F85,G85)&lt;5,"结果类别不足","可作CPT参考；逻辑权重仍需整体拟合")))</f>
        <v/>
      </c>
      <c r="Q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5">
        <f>IF(OR(I86="",F86=""),"",I86+F86)</f>
        <v/>
      </c>
      <c r="L86" s="5">
        <f>IF(OR(J86="",G86=""),"",J86+G86)</f>
        <v/>
      </c>
      <c r="M86" s="7">
        <f>IF(OR(K86="",L86=""),"",K86/(K86+L86))</f>
        <v/>
      </c>
      <c r="N86" s="7">
        <f>IF(M86="","",BETA.INV(0.025,K86,L86))</f>
        <v/>
      </c>
      <c r="O86" s="7">
        <f>IF(M86="","",BETA.INV(0.975,K86,L86))</f>
        <v/>
      </c>
      <c r="P86" s="5">
        <f>IF(F86+G86=0,"先填真/假计数",IF(F86+G86&lt;30,"组合样本太少",IF(MIN(F86,G86)&lt;5,"结果类别不足","可作CPT参考；逻辑权重仍需整体拟合")))</f>
        <v/>
      </c>
      <c r="Q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5">
        <f>IF(OR(I87="",F87=""),"",I87+F87)</f>
        <v/>
      </c>
      <c r="L87" s="5">
        <f>IF(OR(J87="",G87=""),"",J87+G87)</f>
        <v/>
      </c>
      <c r="M87" s="7">
        <f>IF(OR(K87="",L87=""),"",K87/(K87+L87))</f>
        <v/>
      </c>
      <c r="N87" s="7">
        <f>IF(M87="","",BETA.INV(0.025,K87,L87))</f>
        <v/>
      </c>
      <c r="O87" s="7">
        <f>IF(M87="","",BETA.INV(0.975,K87,L87))</f>
        <v/>
      </c>
      <c r="P87" s="5">
        <f>IF(F87+G87=0,"先填真/假计数",IF(F87+G87&lt;30,"组合样本太少",IF(MIN(F87,G87)&lt;5,"结果类别不足","可作CPT参考；逻辑权重仍需整体拟合")))</f>
        <v/>
      </c>
      <c r="Q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5">
        <f>IF(OR(I88="",F88=""),"",I88+F88)</f>
        <v/>
      </c>
      <c r="L88" s="5">
        <f>IF(OR(J88="",G88=""),"",J88+G88)</f>
        <v/>
      </c>
      <c r="M88" s="7">
        <f>IF(OR(K88="",L88=""),"",K88/(K88+L88))</f>
        <v/>
      </c>
      <c r="N88" s="7">
        <f>IF(M88="","",BETA.INV(0.025,K88,L88))</f>
        <v/>
      </c>
      <c r="O88" s="7">
        <f>IF(M88="","",BETA.INV(0.975,K88,L88))</f>
        <v/>
      </c>
      <c r="P88" s="5">
        <f>IF(F88+G88=0,"先填真/假计数",IF(F88+G88&lt;30,"组合样本太少",IF(MIN(F88,G88)&lt;5,"结果类别不足","可作CPT参考；逻辑权重仍需整体拟合")))</f>
        <v/>
      </c>
      <c r="Q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5">
        <f>IF(OR(I89="",F89=""),"",I89+F89)</f>
        <v/>
      </c>
      <c r="L89" s="5">
        <f>IF(OR(J89="",G89=""),"",J89+G89)</f>
        <v/>
      </c>
      <c r="M89" s="7">
        <f>IF(OR(K89="",L89=""),"",K89/(K89+L89))</f>
        <v/>
      </c>
      <c r="N89" s="7">
        <f>IF(M89="","",BETA.INV(0.025,K89,L89))</f>
        <v/>
      </c>
      <c r="O89" s="7">
        <f>IF(M89="","",BETA.INV(0.975,K89,L89))</f>
        <v/>
      </c>
      <c r="P89" s="5">
        <f>IF(F89+G89=0,"先填真/假计数",IF(F89+G89&lt;30,"组合样本太少",IF(MIN(F89,G89)&lt;5,"结果类别不足","可作CPT参考；逻辑权重仍需整体拟合")))</f>
        <v/>
      </c>
      <c r="Q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5">
        <f>IF(OR(I90="",F90=""),"",I90+F90)</f>
        <v/>
      </c>
      <c r="L90" s="5">
        <f>IF(OR(J90="",G90=""),"",J90+G90)</f>
        <v/>
      </c>
      <c r="M90" s="7">
        <f>IF(OR(K90="",L90=""),"",K90/(K90+L90))</f>
        <v/>
      </c>
      <c r="N90" s="7">
        <f>IF(M90="","",BETA.INV(0.025,K90,L90))</f>
        <v/>
      </c>
      <c r="O90" s="7">
        <f>IF(M90="","",BETA.INV(0.975,K90,L90))</f>
        <v/>
      </c>
      <c r="P90" s="5">
        <f>IF(F90+G90=0,"先填真/假计数",IF(F90+G90&lt;30,"组合样本太少",IF(MIN(F90,G90)&lt;5,"结果类别不足","可作CPT参考；逻辑权重仍需整体拟合")))</f>
        <v/>
      </c>
      <c r="Q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5">
        <f>IF(OR(I91="",F91=""),"",I91+F91)</f>
        <v/>
      </c>
      <c r="L91" s="5">
        <f>IF(OR(J91="",G91=""),"",J91+G91)</f>
        <v/>
      </c>
      <c r="M91" s="7">
        <f>IF(OR(K91="",L91=""),"",K91/(K91+L91))</f>
        <v/>
      </c>
      <c r="N91" s="7">
        <f>IF(M91="","",BETA.INV(0.025,K91,L91))</f>
        <v/>
      </c>
      <c r="O91" s="7">
        <f>IF(M91="","",BETA.INV(0.975,K91,L91))</f>
        <v/>
      </c>
      <c r="P91" s="5">
        <f>IF(F91+G91=0,"先填真/假计数",IF(F91+G91&lt;30,"组合样本太少",IF(MIN(F91,G91)&lt;5,"结果类别不足","可作CPT参考；逻辑权重仍需整体拟合")))</f>
        <v/>
      </c>
      <c r="Q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5">
        <f>IF(OR(I92="",F92=""),"",I92+F92)</f>
        <v/>
      </c>
      <c r="L92" s="5">
        <f>IF(OR(J92="",G92=""),"",J92+G92)</f>
        <v/>
      </c>
      <c r="M92" s="7">
        <f>IF(OR(K92="",L92=""),"",K92/(K92+L92))</f>
        <v/>
      </c>
      <c r="N92" s="7">
        <f>IF(M92="","",BETA.INV(0.025,K92,L92))</f>
        <v/>
      </c>
      <c r="O92" s="7">
        <f>IF(M92="","",BETA.INV(0.975,K92,L92))</f>
        <v/>
      </c>
      <c r="P92" s="5">
        <f>IF(F92+G92=0,"先填真/假计数",IF(F92+G92&lt;30,"组合样本太少",IF(MIN(F92,G92)&lt;5,"结果类别不足","可作CPT参考；逻辑权重仍需整体拟合")))</f>
        <v/>
      </c>
      <c r="Q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5">
        <f>IF(OR(I93="",F93=""),"",I93+F93)</f>
        <v/>
      </c>
      <c r="L93" s="5">
        <f>IF(OR(J93="",G93=""),"",J93+G93)</f>
        <v/>
      </c>
      <c r="M93" s="7">
        <f>IF(OR(K93="",L93=""),"",K93/(K93+L93))</f>
        <v/>
      </c>
      <c r="N93" s="7">
        <f>IF(M93="","",BETA.INV(0.025,K93,L93))</f>
        <v/>
      </c>
      <c r="O93" s="7">
        <f>IF(M93="","",BETA.INV(0.975,K93,L93))</f>
        <v/>
      </c>
      <c r="P93" s="5">
        <f>IF(F93+G93=0,"先填真/假计数",IF(F93+G93&lt;30,"组合样本太少",IF(MIN(F93,G93)&lt;5,"结果类别不足","可作CPT参考；逻辑权重仍需整体拟合")))</f>
        <v/>
      </c>
      <c r="Q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5">
        <f>IF(OR(I94="",F94=""),"",I94+F94)</f>
        <v/>
      </c>
      <c r="L94" s="5">
        <f>IF(OR(J94="",G94=""),"",J94+G94)</f>
        <v/>
      </c>
      <c r="M94" s="7">
        <f>IF(OR(K94="",L94=""),"",K94/(K94+L94))</f>
        <v/>
      </c>
      <c r="N94" s="7">
        <f>IF(M94="","",BETA.INV(0.025,K94,L94))</f>
        <v/>
      </c>
      <c r="O94" s="7">
        <f>IF(M94="","",BETA.INV(0.975,K94,L94))</f>
        <v/>
      </c>
      <c r="P94" s="5">
        <f>IF(F94+G94=0,"先填真/假计数",IF(F94+G94&lt;30,"组合样本太少",IF(MIN(F94,G94)&lt;5,"结果类别不足","可作CPT参考；逻辑权重仍需整体拟合")))</f>
        <v/>
      </c>
      <c r="Q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5">
        <f>IF(OR(I95="",F95=""),"",I95+F95)</f>
        <v/>
      </c>
      <c r="L95" s="5">
        <f>IF(OR(J95="",G95=""),"",J95+G95)</f>
        <v/>
      </c>
      <c r="M95" s="7">
        <f>IF(OR(K95="",L95=""),"",K95/(K95+L95))</f>
        <v/>
      </c>
      <c r="N95" s="7">
        <f>IF(M95="","",BETA.INV(0.025,K95,L95))</f>
        <v/>
      </c>
      <c r="O95" s="7">
        <f>IF(M95="","",BETA.INV(0.975,K95,L95))</f>
        <v/>
      </c>
      <c r="P95" s="5">
        <f>IF(F95+G95=0,"先填真/假计数",IF(F95+G95&lt;30,"组合样本太少",IF(MIN(F95,G95)&lt;5,"结果类别不足","可作CPT参考；逻辑权重仍需整体拟合")))</f>
        <v/>
      </c>
      <c r="Q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5">
        <f>IF(OR(I96="",F96=""),"",I96+F96)</f>
        <v/>
      </c>
      <c r="L96" s="5">
        <f>IF(OR(J96="",G96=""),"",J96+G96)</f>
        <v/>
      </c>
      <c r="M96" s="7">
        <f>IF(OR(K96="",L96=""),"",K96/(K96+L96))</f>
        <v/>
      </c>
      <c r="N96" s="7">
        <f>IF(M96="","",BETA.INV(0.025,K96,L96))</f>
        <v/>
      </c>
      <c r="O96" s="7">
        <f>IF(M96="","",BETA.INV(0.975,K96,L96))</f>
        <v/>
      </c>
      <c r="P96" s="5">
        <f>IF(F96+G96=0,"先填真/假计数",IF(F96+G96&lt;30,"组合样本太少",IF(MIN(F96,G96)&lt;5,"结果类别不足","可作CPT参考；逻辑权重仍需整体拟合")))</f>
        <v/>
      </c>
      <c r="Q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5">
        <f>IF(OR(I97="",F97=""),"",I97+F97)</f>
        <v/>
      </c>
      <c r="L97" s="5">
        <f>IF(OR(J97="",G97=""),"",J97+G97)</f>
        <v/>
      </c>
      <c r="M97" s="7">
        <f>IF(OR(K97="",L97=""),"",K97/(K97+L97))</f>
        <v/>
      </c>
      <c r="N97" s="7">
        <f>IF(M97="","",BETA.INV(0.025,K97,L97))</f>
        <v/>
      </c>
      <c r="O97" s="7">
        <f>IF(M97="","",BETA.INV(0.975,K97,L97))</f>
        <v/>
      </c>
      <c r="P97" s="5">
        <f>IF(F97+G97=0,"先填真/假计数",IF(F97+G97&lt;30,"组合样本太少",IF(MIN(F97,G97)&lt;5,"结果类别不足","可作CPT参考；逻辑权重仍需整体拟合")))</f>
        <v/>
      </c>
      <c r="Q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5">
        <f>IF(OR(I98="",F98=""),"",I98+F98)</f>
        <v/>
      </c>
      <c r="L98" s="5">
        <f>IF(OR(J98="",G98=""),"",J98+G98)</f>
        <v/>
      </c>
      <c r="M98" s="7">
        <f>IF(OR(K98="",L98=""),"",K98/(K98+L98))</f>
        <v/>
      </c>
      <c r="N98" s="7">
        <f>IF(M98="","",BETA.INV(0.025,K98,L98))</f>
        <v/>
      </c>
      <c r="O98" s="7">
        <f>IF(M98="","",BETA.INV(0.975,K98,L98))</f>
        <v/>
      </c>
      <c r="P98" s="5">
        <f>IF(F98+G98=0,"先填真/假计数",IF(F98+G98&lt;30,"组合样本太少",IF(MIN(F98,G98)&lt;5,"结果类别不足","可作CPT参考；逻辑权重仍需整体拟合")))</f>
        <v/>
      </c>
      <c r="Q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5">
        <f>IF(OR(I99="",F99=""),"",I99+F99)</f>
        <v/>
      </c>
      <c r="L99" s="5">
        <f>IF(OR(J99="",G99=""),"",J99+G99)</f>
        <v/>
      </c>
      <c r="M99" s="7">
        <f>IF(OR(K99="",L99=""),"",K99/(K99+L99))</f>
        <v/>
      </c>
      <c r="N99" s="7">
        <f>IF(M99="","",BETA.INV(0.025,K99,L99))</f>
        <v/>
      </c>
      <c r="O99" s="7">
        <f>IF(M99="","",BETA.INV(0.975,K99,L99))</f>
        <v/>
      </c>
      <c r="P99" s="5">
        <f>IF(F99+G99=0,"先填真/假计数",IF(F99+G99&lt;30,"组合样本太少",IF(MIN(F99,G99)&lt;5,"结果类别不足","可作CPT参考；逻辑权重仍需整体拟合")))</f>
        <v/>
      </c>
      <c r="Q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5">
        <f>IF(OR(I100="",F100=""),"",I100+F100)</f>
        <v/>
      </c>
      <c r="L100" s="5">
        <f>IF(OR(J100="",G100=""),"",J100+G100)</f>
        <v/>
      </c>
      <c r="M100" s="7">
        <f>IF(OR(K100="",L100=""),"",K100/(K100+L100))</f>
        <v/>
      </c>
      <c r="N100" s="7">
        <f>IF(M100="","",BETA.INV(0.025,K100,L100))</f>
        <v/>
      </c>
      <c r="O100" s="7">
        <f>IF(M100="","",BETA.INV(0.975,K100,L100))</f>
        <v/>
      </c>
      <c r="P100" s="5">
        <f>IF(F100+G100=0,"先填真/假计数",IF(F100+G100&lt;30,"组合样本太少",IF(MIN(F100,G100)&lt;5,"结果类别不足","可作CPT参考；逻辑权重仍需整体拟合")))</f>
        <v/>
      </c>
      <c r="Q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5">
        <f>IF(OR(I101="",F101=""),"",I101+F101)</f>
        <v/>
      </c>
      <c r="L101" s="5">
        <f>IF(OR(J101="",G101=""),"",J101+G101)</f>
        <v/>
      </c>
      <c r="M101" s="7">
        <f>IF(OR(K101="",L101=""),"",K101/(K101+L101))</f>
        <v/>
      </c>
      <c r="N101" s="7">
        <f>IF(M101="","",BETA.INV(0.025,K101,L101))</f>
        <v/>
      </c>
      <c r="O101" s="7">
        <f>IF(M101="","",BETA.INV(0.975,K101,L101))</f>
        <v/>
      </c>
      <c r="P101" s="5">
        <f>IF(F101+G101=0,"先填真/假计数",IF(F101+G101&lt;30,"组合样本太少",IF(MIN(F101,G101)&lt;5,"结果类别不足","可作CPT参考；逻辑权重仍需整体拟合")))</f>
        <v/>
      </c>
      <c r="Q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5">
        <f>IF(OR(I102="",F102=""),"",I102+F102)</f>
        <v/>
      </c>
      <c r="L102" s="5">
        <f>IF(OR(J102="",G102=""),"",J102+G102)</f>
        <v/>
      </c>
      <c r="M102" s="7">
        <f>IF(OR(K102="",L102=""),"",K102/(K102+L102))</f>
        <v/>
      </c>
      <c r="N102" s="7">
        <f>IF(M102="","",BETA.INV(0.025,K102,L102))</f>
        <v/>
      </c>
      <c r="O102" s="7">
        <f>IF(M102="","",BETA.INV(0.975,K102,L102))</f>
        <v/>
      </c>
      <c r="P102" s="5">
        <f>IF(F102+G102=0,"先填真/假计数",IF(F102+G102&lt;30,"组合样本太少",IF(MIN(F102,G102)&lt;5,"结果类别不足","可作CPT参考；逻辑权重仍需整体拟合")))</f>
        <v/>
      </c>
      <c r="Q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5">
        <f>IF(OR(I103="",F103=""),"",I103+F103)</f>
        <v/>
      </c>
      <c r="L103" s="5">
        <f>IF(OR(J103="",G103=""),"",J103+G103)</f>
        <v/>
      </c>
      <c r="M103" s="7">
        <f>IF(OR(K103="",L103=""),"",K103/(K103+L103))</f>
        <v/>
      </c>
      <c r="N103" s="7">
        <f>IF(M103="","",BETA.INV(0.025,K103,L103))</f>
        <v/>
      </c>
      <c r="O103" s="7">
        <f>IF(M103="","",BETA.INV(0.975,K103,L103))</f>
        <v/>
      </c>
      <c r="P103" s="5">
        <f>IF(F103+G103=0,"先填真/假计数",IF(F103+G103&lt;30,"组合样本太少",IF(MIN(F103,G103)&lt;5,"结果类别不足","可作CPT参考；逻辑权重仍需整体拟合")))</f>
        <v/>
      </c>
      <c r="Q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5">
        <f>IF(OR(I104="",F104=""),"",I104+F104)</f>
        <v/>
      </c>
      <c r="L104" s="5">
        <f>IF(OR(J104="",G104=""),"",J104+G104)</f>
        <v/>
      </c>
      <c r="M104" s="7">
        <f>IF(OR(K104="",L104=""),"",K104/(K104+L104))</f>
        <v/>
      </c>
      <c r="N104" s="7">
        <f>IF(M104="","",BETA.INV(0.025,K104,L104))</f>
        <v/>
      </c>
      <c r="O104" s="7">
        <f>IF(M104="","",BETA.INV(0.975,K104,L104))</f>
        <v/>
      </c>
      <c r="P104" s="5">
        <f>IF(F104+G104=0,"先填真/假计数",IF(F104+G104&lt;30,"组合样本太少",IF(MIN(F104,G104)&lt;5,"结果类别不足","可作CPT参考；逻辑权重仍需整体拟合")))</f>
        <v/>
      </c>
      <c r="Q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5">
        <f>IF(OR(I105="",F105=""),"",I105+F105)</f>
        <v/>
      </c>
      <c r="L105" s="5">
        <f>IF(OR(J105="",G105=""),"",J105+G105)</f>
        <v/>
      </c>
      <c r="M105" s="7">
        <f>IF(OR(K105="",L105=""),"",K105/(K105+L105))</f>
        <v/>
      </c>
      <c r="N105" s="7">
        <f>IF(M105="","",BETA.INV(0.025,K105,L105))</f>
        <v/>
      </c>
      <c r="O105" s="7">
        <f>IF(M105="","",BETA.INV(0.975,K105,L105))</f>
        <v/>
      </c>
      <c r="P105" s="5">
        <f>IF(F105+G105=0,"先填真/假计数",IF(F105+G105&lt;30,"组合样本太少",IF(MIN(F105,G105)&lt;5,"结果类别不足","可作CPT参考；逻辑权重仍需整体拟合")))</f>
        <v/>
      </c>
      <c r="Q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5">
        <f>IF(OR(I106="",F106=""),"",I106+F106)</f>
        <v/>
      </c>
      <c r="L106" s="5">
        <f>IF(OR(J106="",G106=""),"",J106+G106)</f>
        <v/>
      </c>
      <c r="M106" s="7">
        <f>IF(OR(K106="",L106=""),"",K106/(K106+L106))</f>
        <v/>
      </c>
      <c r="N106" s="7">
        <f>IF(M106="","",BETA.INV(0.025,K106,L106))</f>
        <v/>
      </c>
      <c r="O106" s="7">
        <f>IF(M106="","",BETA.INV(0.975,K106,L106))</f>
        <v/>
      </c>
      <c r="P106" s="5">
        <f>IF(F106+G106=0,"先填真/假计数",IF(F106+G106&lt;30,"组合样本太少",IF(MIN(F106,G106)&lt;5,"结果类别不足","可作CPT参考；逻辑权重仍需整体拟合")))</f>
        <v/>
      </c>
      <c r="Q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5">
        <f>IF(OR(I107="",F107=""),"",I107+F107)</f>
        <v/>
      </c>
      <c r="L107" s="5">
        <f>IF(OR(J107="",G107=""),"",J107+G107)</f>
        <v/>
      </c>
      <c r="M107" s="7">
        <f>IF(OR(K107="",L107=""),"",K107/(K107+L107))</f>
        <v/>
      </c>
      <c r="N107" s="7">
        <f>IF(M107="","",BETA.INV(0.025,K107,L107))</f>
        <v/>
      </c>
      <c r="O107" s="7">
        <f>IF(M107="","",BETA.INV(0.975,K107,L107))</f>
        <v/>
      </c>
      <c r="P107" s="5">
        <f>IF(F107+G107=0,"先填真/假计数",IF(F107+G107&lt;30,"组合样本太少",IF(MIN(F107,G107)&lt;5,"结果类别不足","可作CPT参考；逻辑权重仍需整体拟合")))</f>
        <v/>
      </c>
      <c r="Q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5">
        <f>IF(OR(I108="",F108=""),"",I108+F108)</f>
        <v/>
      </c>
      <c r="L108" s="5">
        <f>IF(OR(J108="",G108=""),"",J108+G108)</f>
        <v/>
      </c>
      <c r="M108" s="7">
        <f>IF(OR(K108="",L108=""),"",K108/(K108+L108))</f>
        <v/>
      </c>
      <c r="N108" s="7">
        <f>IF(M108="","",BETA.INV(0.025,K108,L108))</f>
        <v/>
      </c>
      <c r="O108" s="7">
        <f>IF(M108="","",BETA.INV(0.975,K108,L108))</f>
        <v/>
      </c>
      <c r="P108" s="5">
        <f>IF(F108+G108=0,"先填真/假计数",IF(F108+G108&lt;30,"组合样本太少",IF(MIN(F108,G108)&lt;5,"结果类别不足","可作CPT参考；逻辑权重仍需整体拟合")))</f>
        <v/>
      </c>
      <c r="Q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5">
        <f>IF(OR(I109="",F109=""),"",I109+F109)</f>
        <v/>
      </c>
      <c r="L109" s="5">
        <f>IF(OR(J109="",G109=""),"",J109+G109)</f>
        <v/>
      </c>
      <c r="M109" s="7">
        <f>IF(OR(K109="",L109=""),"",K109/(K109+L109))</f>
        <v/>
      </c>
      <c r="N109" s="7">
        <f>IF(M109="","",BETA.INV(0.025,K109,L109))</f>
        <v/>
      </c>
      <c r="O109" s="7">
        <f>IF(M109="","",BETA.INV(0.975,K109,L109))</f>
        <v/>
      </c>
      <c r="P109" s="5">
        <f>IF(F109+G109=0,"先填真/假计数",IF(F109+G109&lt;30,"组合样本太少",IF(MIN(F109,G109)&lt;5,"结果类别不足","可作CPT参考；逻辑权重仍需整体拟合")))</f>
        <v/>
      </c>
      <c r="Q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5">
        <f>IF(OR(I110="",F110=""),"",I110+F110)</f>
        <v/>
      </c>
      <c r="L110" s="5">
        <f>IF(OR(J110="",G110=""),"",J110+G110)</f>
        <v/>
      </c>
      <c r="M110" s="7">
        <f>IF(OR(K110="",L110=""),"",K110/(K110+L110))</f>
        <v/>
      </c>
      <c r="N110" s="7">
        <f>IF(M110="","",BETA.INV(0.025,K110,L110))</f>
        <v/>
      </c>
      <c r="O110" s="7">
        <f>IF(M110="","",BETA.INV(0.975,K110,L110))</f>
        <v/>
      </c>
      <c r="P110" s="5">
        <f>IF(F110+G110=0,"先填真/假计数",IF(F110+G110&lt;30,"组合样本太少",IF(MIN(F110,G110)&lt;5,"结果类别不足","可作CPT参考；逻辑权重仍需整体拟合")))</f>
        <v/>
      </c>
      <c r="Q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5">
        <f>IF(OR(I111="",F111=""),"",I111+F111)</f>
        <v/>
      </c>
      <c r="L111" s="5">
        <f>IF(OR(J111="",G111=""),"",J111+G111)</f>
        <v/>
      </c>
      <c r="M111" s="7">
        <f>IF(OR(K111="",L111=""),"",K111/(K111+L111))</f>
        <v/>
      </c>
      <c r="N111" s="7">
        <f>IF(M111="","",BETA.INV(0.025,K111,L111))</f>
        <v/>
      </c>
      <c r="O111" s="7">
        <f>IF(M111="","",BETA.INV(0.975,K111,L111))</f>
        <v/>
      </c>
      <c r="P111" s="5">
        <f>IF(F111+G111=0,"先填真/假计数",IF(F111+G111&lt;30,"组合样本太少",IF(MIN(F111,G111)&lt;5,"结果类别不足","可作CPT参考；逻辑权重仍需整体拟合")))</f>
        <v/>
      </c>
      <c r="Q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5">
        <f>IF(OR(I112="",F112=""),"",I112+F112)</f>
        <v/>
      </c>
      <c r="L112" s="5">
        <f>IF(OR(J112="",G112=""),"",J112+G112)</f>
        <v/>
      </c>
      <c r="M112" s="7">
        <f>IF(OR(K112="",L112=""),"",K112/(K112+L112))</f>
        <v/>
      </c>
      <c r="N112" s="7">
        <f>IF(M112="","",BETA.INV(0.025,K112,L112))</f>
        <v/>
      </c>
      <c r="O112" s="7">
        <f>IF(M112="","",BETA.INV(0.975,K112,L112))</f>
        <v/>
      </c>
      <c r="P112" s="5">
        <f>IF(F112+G112=0,"先填真/假计数",IF(F112+G112&lt;30,"组合样本太少",IF(MIN(F112,G112)&lt;5,"结果类别不足","可作CPT参考；逻辑权重仍需整体拟合")))</f>
        <v/>
      </c>
      <c r="Q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5">
        <f>IF(OR(I113="",F113=""),"",I113+F113)</f>
        <v/>
      </c>
      <c r="L113" s="5">
        <f>IF(OR(J113="",G113=""),"",J113+G113)</f>
        <v/>
      </c>
      <c r="M113" s="7">
        <f>IF(OR(K113="",L113=""),"",K113/(K113+L113))</f>
        <v/>
      </c>
      <c r="N113" s="7">
        <f>IF(M113="","",BETA.INV(0.025,K113,L113))</f>
        <v/>
      </c>
      <c r="O113" s="7">
        <f>IF(M113="","",BETA.INV(0.975,K113,L113))</f>
        <v/>
      </c>
      <c r="P113" s="5">
        <f>IF(F113+G113=0,"先填真/假计数",IF(F113+G113&lt;30,"组合样本太少",IF(MIN(F113,G113)&lt;5,"结果类别不足","可作CPT参考；逻辑权重仍需整体拟合")))</f>
        <v/>
      </c>
      <c r="Q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5">
        <f>IF(OR(I114="",F114=""),"",I114+F114)</f>
        <v/>
      </c>
      <c r="L114" s="5">
        <f>IF(OR(J114="",G114=""),"",J114+G114)</f>
        <v/>
      </c>
      <c r="M114" s="7">
        <f>IF(OR(K114="",L114=""),"",K114/(K114+L114))</f>
        <v/>
      </c>
      <c r="N114" s="7">
        <f>IF(M114="","",BETA.INV(0.025,K114,L114))</f>
        <v/>
      </c>
      <c r="O114" s="7">
        <f>IF(M114="","",BETA.INV(0.975,K114,L114))</f>
        <v/>
      </c>
      <c r="P114" s="5">
        <f>IF(F114+G114=0,"先填真/假计数",IF(F114+G114&lt;30,"组合样本太少",IF(MIN(F114,G114)&lt;5,"结果类别不足","可作CPT参考；逻辑权重仍需整体拟合")))</f>
        <v/>
      </c>
      <c r="Q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5">
        <f>IF(OR(I115="",F115=""),"",I115+F115)</f>
        <v/>
      </c>
      <c r="L115" s="5">
        <f>IF(OR(J115="",G115=""),"",J115+G115)</f>
        <v/>
      </c>
      <c r="M115" s="7">
        <f>IF(OR(K115="",L115=""),"",K115/(K115+L115))</f>
        <v/>
      </c>
      <c r="N115" s="7">
        <f>IF(M115="","",BETA.INV(0.025,K115,L115))</f>
        <v/>
      </c>
      <c r="O115" s="7">
        <f>IF(M115="","",BETA.INV(0.975,K115,L115))</f>
        <v/>
      </c>
      <c r="P115" s="5">
        <f>IF(F115+G115=0,"先填真/假计数",IF(F115+G115&lt;30,"组合样本太少",IF(MIN(F115,G115)&lt;5,"结果类别不足","可作CPT参考；逻辑权重仍需整体拟合")))</f>
        <v/>
      </c>
      <c r="Q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5">
        <f>IF(OR(I116="",F116=""),"",I116+F116)</f>
        <v/>
      </c>
      <c r="L116" s="5">
        <f>IF(OR(J116="",G116=""),"",J116+G116)</f>
        <v/>
      </c>
      <c r="M116" s="7">
        <f>IF(OR(K116="",L116=""),"",K116/(K116+L116))</f>
        <v/>
      </c>
      <c r="N116" s="7">
        <f>IF(M116="","",BETA.INV(0.025,K116,L116))</f>
        <v/>
      </c>
      <c r="O116" s="7">
        <f>IF(M116="","",BETA.INV(0.975,K116,L116))</f>
        <v/>
      </c>
      <c r="P116" s="5">
        <f>IF(F116+G116=0,"先填真/假计数",IF(F116+G116&lt;30,"组合样本太少",IF(MIN(F116,G116)&lt;5,"结果类别不足","可作CPT参考；逻辑权重仍需整体拟合")))</f>
        <v/>
      </c>
      <c r="Q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5">
        <f>IF(OR(I117="",F117=""),"",I117+F117)</f>
        <v/>
      </c>
      <c r="L117" s="5">
        <f>IF(OR(J117="",G117=""),"",J117+G117)</f>
        <v/>
      </c>
      <c r="M117" s="7">
        <f>IF(OR(K117="",L117=""),"",K117/(K117+L117))</f>
        <v/>
      </c>
      <c r="N117" s="7">
        <f>IF(M117="","",BETA.INV(0.025,K117,L117))</f>
        <v/>
      </c>
      <c r="O117" s="7">
        <f>IF(M117="","",BETA.INV(0.975,K117,L117))</f>
        <v/>
      </c>
      <c r="P117" s="5">
        <f>IF(F117+G117=0,"先填真/假计数",IF(F117+G117&lt;30,"组合样本太少",IF(MIN(F117,G117)&lt;5,"结果类别不足","可作CPT参考；逻辑权重仍需整体拟合")))</f>
        <v/>
      </c>
      <c r="Q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5">
        <f>IF(OR(I118="",F118=""),"",I118+F118)</f>
        <v/>
      </c>
      <c r="L118" s="5">
        <f>IF(OR(J118="",G118=""),"",J118+G118)</f>
        <v/>
      </c>
      <c r="M118" s="7">
        <f>IF(OR(K118="",L118=""),"",K118/(K118+L118))</f>
        <v/>
      </c>
      <c r="N118" s="7">
        <f>IF(M118="","",BETA.INV(0.025,K118,L118))</f>
        <v/>
      </c>
      <c r="O118" s="7">
        <f>IF(M118="","",BETA.INV(0.975,K118,L118))</f>
        <v/>
      </c>
      <c r="P118" s="5">
        <f>IF(F118+G118=0,"先填真/假计数",IF(F118+G118&lt;30,"组合样本太少",IF(MIN(F118,G118)&lt;5,"结果类别不足","可作CPT参考；逻辑权重仍需整体拟合")))</f>
        <v/>
      </c>
      <c r="Q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5">
        <f>IF(OR(I119="",F119=""),"",I119+F119)</f>
        <v/>
      </c>
      <c r="L119" s="5">
        <f>IF(OR(J119="",G119=""),"",J119+G119)</f>
        <v/>
      </c>
      <c r="M119" s="7">
        <f>IF(OR(K119="",L119=""),"",K119/(K119+L119))</f>
        <v/>
      </c>
      <c r="N119" s="7">
        <f>IF(M119="","",BETA.INV(0.025,K119,L119))</f>
        <v/>
      </c>
      <c r="O119" s="7">
        <f>IF(M119="","",BETA.INV(0.975,K119,L119))</f>
        <v/>
      </c>
      <c r="P119" s="5">
        <f>IF(F119+G119=0,"先填真/假计数",IF(F119+G119&lt;30,"组合样本太少",IF(MIN(F119,G119)&lt;5,"结果类别不足","可作CPT参考；逻辑权重仍需整体拟合")))</f>
        <v/>
      </c>
      <c r="Q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5">
        <f>IF(OR(I120="",F120=""),"",I120+F120)</f>
        <v/>
      </c>
      <c r="L120" s="5">
        <f>IF(OR(J120="",G120=""),"",J120+G120)</f>
        <v/>
      </c>
      <c r="M120" s="7">
        <f>IF(OR(K120="",L120=""),"",K120/(K120+L120))</f>
        <v/>
      </c>
      <c r="N120" s="7">
        <f>IF(M120="","",BETA.INV(0.025,K120,L120))</f>
        <v/>
      </c>
      <c r="O120" s="7">
        <f>IF(M120="","",BETA.INV(0.975,K120,L120))</f>
        <v/>
      </c>
      <c r="P120" s="5">
        <f>IF(F120+G120=0,"先填真/假计数",IF(F120+G120&lt;30,"组合样本太少",IF(MIN(F120,G120)&lt;5,"结果类别不足","可作CPT参考；逻辑权重仍需整体拟合")))</f>
        <v/>
      </c>
      <c r="Q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5">
        <f>IF(OR(I121="",F121=""),"",I121+F121)</f>
        <v/>
      </c>
      <c r="L121" s="5">
        <f>IF(OR(J121="",G121=""),"",J121+G121)</f>
        <v/>
      </c>
      <c r="M121" s="7">
        <f>IF(OR(K121="",L121=""),"",K121/(K121+L121))</f>
        <v/>
      </c>
      <c r="N121" s="7">
        <f>IF(M121="","",BETA.INV(0.025,K121,L121))</f>
        <v/>
      </c>
      <c r="O121" s="7">
        <f>IF(M121="","",BETA.INV(0.975,K121,L121))</f>
        <v/>
      </c>
      <c r="P121" s="5">
        <f>IF(F121+G121=0,"先填真/假计数",IF(F121+G121&lt;30,"组合样本太少",IF(MIN(F121,G121)&lt;5,"结果类别不足","可作CPT参考；逻辑权重仍需整体拟合")))</f>
        <v/>
      </c>
      <c r="Q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5">
        <f>IF(OR(I122="",F122=""),"",I122+F122)</f>
        <v/>
      </c>
      <c r="L122" s="5">
        <f>IF(OR(J122="",G122=""),"",J122+G122)</f>
        <v/>
      </c>
      <c r="M122" s="7">
        <f>IF(OR(K122="",L122=""),"",K122/(K122+L122))</f>
        <v/>
      </c>
      <c r="N122" s="7">
        <f>IF(M122="","",BETA.INV(0.025,K122,L122))</f>
        <v/>
      </c>
      <c r="O122" s="7">
        <f>IF(M122="","",BETA.INV(0.975,K122,L122))</f>
        <v/>
      </c>
      <c r="P122" s="5">
        <f>IF(F122+G122=0,"先填真/假计数",IF(F122+G122&lt;30,"组合样本太少",IF(MIN(F122,G122)&lt;5,"结果类别不足","可作CPT参考；逻辑权重仍需整体拟合")))</f>
        <v/>
      </c>
      <c r="Q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5">
        <f>IF(OR(I123="",F123=""),"",I123+F123)</f>
        <v/>
      </c>
      <c r="L123" s="5">
        <f>IF(OR(J123="",G123=""),"",J123+G123)</f>
        <v/>
      </c>
      <c r="M123" s="7">
        <f>IF(OR(K123="",L123=""),"",K123/(K123+L123))</f>
        <v/>
      </c>
      <c r="N123" s="7">
        <f>IF(M123="","",BETA.INV(0.025,K123,L123))</f>
        <v/>
      </c>
      <c r="O123" s="7">
        <f>IF(M123="","",BETA.INV(0.975,K123,L123))</f>
        <v/>
      </c>
      <c r="P123" s="5">
        <f>IF(F123+G123=0,"先填真/假计数",IF(F123+G123&lt;30,"组合样本太少",IF(MIN(F123,G123)&lt;5,"结果类别不足","可作CPT参考；逻辑权重仍需整体拟合")))</f>
        <v/>
      </c>
      <c r="Q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5">
        <f>IF(OR(I124="",F124=""),"",I124+F124)</f>
        <v/>
      </c>
      <c r="L124" s="5">
        <f>IF(OR(J124="",G124=""),"",J124+G124)</f>
        <v/>
      </c>
      <c r="M124" s="7">
        <f>IF(OR(K124="",L124=""),"",K124/(K124+L124))</f>
        <v/>
      </c>
      <c r="N124" s="7">
        <f>IF(M124="","",BETA.INV(0.025,K124,L124))</f>
        <v/>
      </c>
      <c r="O124" s="7">
        <f>IF(M124="","",BETA.INV(0.975,K124,L124))</f>
        <v/>
      </c>
      <c r="P124" s="5">
        <f>IF(F124+G124=0,"先填真/假计数",IF(F124+G124&lt;30,"组合样本太少",IF(MIN(F124,G124)&lt;5,"结果类别不足","可作CPT参考；逻辑权重仍需整体拟合")))</f>
        <v/>
      </c>
      <c r="Q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5">
        <f>IF(OR(I125="",F125=""),"",I125+F125)</f>
        <v/>
      </c>
      <c r="L125" s="5">
        <f>IF(OR(J125="",G125=""),"",J125+G125)</f>
        <v/>
      </c>
      <c r="M125" s="7">
        <f>IF(OR(K125="",L125=""),"",K125/(K125+L125))</f>
        <v/>
      </c>
      <c r="N125" s="7">
        <f>IF(M125="","",BETA.INV(0.025,K125,L125))</f>
        <v/>
      </c>
      <c r="O125" s="7">
        <f>IF(M125="","",BETA.INV(0.975,K125,L125))</f>
        <v/>
      </c>
      <c r="P125" s="5">
        <f>IF(F125+G125=0,"先填真/假计数",IF(F125+G125&lt;30,"组合样本太少",IF(MIN(F125,G125)&lt;5,"结果类别不足","可作CPT参考；逻辑权重仍需整体拟合")))</f>
        <v/>
      </c>
      <c r="Q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5">
        <f>IF(OR(I126="",F126=""),"",I126+F126)</f>
        <v/>
      </c>
      <c r="L126" s="5">
        <f>IF(OR(J126="",G126=""),"",J126+G126)</f>
        <v/>
      </c>
      <c r="M126" s="7">
        <f>IF(OR(K126="",L126=""),"",K126/(K126+L126))</f>
        <v/>
      </c>
      <c r="N126" s="7">
        <f>IF(M126="","",BETA.INV(0.025,K126,L126))</f>
        <v/>
      </c>
      <c r="O126" s="7">
        <f>IF(M126="","",BETA.INV(0.975,K126,L126))</f>
        <v/>
      </c>
      <c r="P126" s="5">
        <f>IF(F126+G126=0,"先填真/假计数",IF(F126+G126&lt;30,"组合样本太少",IF(MIN(F126,G126)&lt;5,"结果类别不足","可作CPT参考；逻辑权重仍需整体拟合")))</f>
        <v/>
      </c>
      <c r="Q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5">
        <f>IF(OR(I127="",F127=""),"",I127+F127)</f>
        <v/>
      </c>
      <c r="L127" s="5">
        <f>IF(OR(J127="",G127=""),"",J127+G127)</f>
        <v/>
      </c>
      <c r="M127" s="7">
        <f>IF(OR(K127="",L127=""),"",K127/(K127+L127))</f>
        <v/>
      </c>
      <c r="N127" s="7">
        <f>IF(M127="","",BETA.INV(0.025,K127,L127))</f>
        <v/>
      </c>
      <c r="O127" s="7">
        <f>IF(M127="","",BETA.INV(0.975,K127,L127))</f>
        <v/>
      </c>
      <c r="P127" s="5">
        <f>IF(F127+G127=0,"先填真/假计数",IF(F127+G127&lt;30,"组合样本太少",IF(MIN(F127,G127)&lt;5,"结果类别不足","可作CPT参考；逻辑权重仍需整体拟合")))</f>
        <v/>
      </c>
      <c r="Q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5">
        <f>IF(OR(I128="",F128=""),"",I128+F128)</f>
        <v/>
      </c>
      <c r="L128" s="5">
        <f>IF(OR(J128="",G128=""),"",J128+G128)</f>
        <v/>
      </c>
      <c r="M128" s="7">
        <f>IF(OR(K128="",L128=""),"",K128/(K128+L128))</f>
        <v/>
      </c>
      <c r="N128" s="7">
        <f>IF(M128="","",BETA.INV(0.025,K128,L128))</f>
        <v/>
      </c>
      <c r="O128" s="7">
        <f>IF(M128="","",BETA.INV(0.975,K128,L128))</f>
        <v/>
      </c>
      <c r="P128" s="5">
        <f>IF(F128+G128=0,"先填真/假计数",IF(F128+G128&lt;30,"组合样本太少",IF(MIN(F128,G128)&lt;5,"结果类别不足","可作CPT参考；逻辑权重仍需整体拟合")))</f>
        <v/>
      </c>
      <c r="Q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5">
        <f>IF(OR(I129="",F129=""),"",I129+F129)</f>
        <v/>
      </c>
      <c r="L129" s="5">
        <f>IF(OR(J129="",G129=""),"",J129+G129)</f>
        <v/>
      </c>
      <c r="M129" s="7">
        <f>IF(OR(K129="",L129=""),"",K129/(K129+L129))</f>
        <v/>
      </c>
      <c r="N129" s="7">
        <f>IF(M129="","",BETA.INV(0.025,K129,L129))</f>
        <v/>
      </c>
      <c r="O129" s="7">
        <f>IF(M129="","",BETA.INV(0.975,K129,L129))</f>
        <v/>
      </c>
      <c r="P129" s="5">
        <f>IF(F129+G129=0,"先填真/假计数",IF(F129+G129&lt;30,"组合样本太少",IF(MIN(F129,G129)&lt;5,"结果类别不足","可作CPT参考；逻辑权重仍需整体拟合")))</f>
        <v/>
      </c>
      <c r="Q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5">
        <f>IF(OR(I130="",F130=""),"",I130+F130)</f>
        <v/>
      </c>
      <c r="L130" s="5">
        <f>IF(OR(J130="",G130=""),"",J130+G130)</f>
        <v/>
      </c>
      <c r="M130" s="7">
        <f>IF(OR(K130="",L130=""),"",K130/(K130+L130))</f>
        <v/>
      </c>
      <c r="N130" s="7">
        <f>IF(M130="","",BETA.INV(0.025,K130,L130))</f>
        <v/>
      </c>
      <c r="O130" s="7">
        <f>IF(M130="","",BETA.INV(0.975,K130,L130))</f>
        <v/>
      </c>
      <c r="P130" s="5">
        <f>IF(F130+G130=0,"先填真/假计数",IF(F130+G130&lt;30,"组合样本太少",IF(MIN(F130,G130)&lt;5,"结果类别不足","可作CPT参考；逻辑权重仍需整体拟合")))</f>
        <v/>
      </c>
      <c r="Q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5">
        <f>IF(OR(I131="",F131=""),"",I131+F131)</f>
        <v/>
      </c>
      <c r="L131" s="5">
        <f>IF(OR(J131="",G131=""),"",J131+G131)</f>
        <v/>
      </c>
      <c r="M131" s="7">
        <f>IF(OR(K131="",L131=""),"",K131/(K131+L131))</f>
        <v/>
      </c>
      <c r="N131" s="7">
        <f>IF(M131="","",BETA.INV(0.025,K131,L131))</f>
        <v/>
      </c>
      <c r="O131" s="7">
        <f>IF(M131="","",BETA.INV(0.975,K131,L131))</f>
        <v/>
      </c>
      <c r="P131" s="5">
        <f>IF(F131+G131=0,"先填真/假计数",IF(F131+G131&lt;30,"组合样本太少",IF(MIN(F131,G131)&lt;5,"结果类别不足","可作CPT参考；逻辑权重仍需整体拟合")))</f>
        <v/>
      </c>
      <c r="Q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5">
        <f>IF(OR(I132="",F132=""),"",I132+F132)</f>
        <v/>
      </c>
      <c r="L132" s="5">
        <f>IF(OR(J132="",G132=""),"",J132+G132)</f>
        <v/>
      </c>
      <c r="M132" s="7">
        <f>IF(OR(K132="",L132=""),"",K132/(K132+L132))</f>
        <v/>
      </c>
      <c r="N132" s="7">
        <f>IF(M132="","",BETA.INV(0.025,K132,L132))</f>
        <v/>
      </c>
      <c r="O132" s="7">
        <f>IF(M132="","",BETA.INV(0.975,K132,L132))</f>
        <v/>
      </c>
      <c r="P132" s="5">
        <f>IF(F132+G132=0,"先填真/假计数",IF(F132+G132&lt;30,"组合样本太少",IF(MIN(F132,G132)&lt;5,"结果类别不足","可作CPT参考；逻辑权重仍需整体拟合")))</f>
        <v/>
      </c>
      <c r="Q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5">
        <f>IF(OR(I133="",F133=""),"",I133+F133)</f>
        <v/>
      </c>
      <c r="L133" s="5">
        <f>IF(OR(J133="",G133=""),"",J133+G133)</f>
        <v/>
      </c>
      <c r="M133" s="7">
        <f>IF(OR(K133="",L133=""),"",K133/(K133+L133))</f>
        <v/>
      </c>
      <c r="N133" s="7">
        <f>IF(M133="","",BETA.INV(0.025,K133,L133))</f>
        <v/>
      </c>
      <c r="O133" s="7">
        <f>IF(M133="","",BETA.INV(0.975,K133,L133))</f>
        <v/>
      </c>
      <c r="P133" s="5">
        <f>IF(F133+G133=0,"先填真/假计数",IF(F133+G133&lt;30,"组合样本太少",IF(MIN(F133,G133)&lt;5,"结果类别不足","可作CPT参考；逻辑权重仍需整体拟合")))</f>
        <v/>
      </c>
      <c r="Q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5">
        <f>IF(OR(I134="",F134=""),"",I134+F134)</f>
        <v/>
      </c>
      <c r="L134" s="5">
        <f>IF(OR(J134="",G134=""),"",J134+G134)</f>
        <v/>
      </c>
      <c r="M134" s="7">
        <f>IF(OR(K134="",L134=""),"",K134/(K134+L134))</f>
        <v/>
      </c>
      <c r="N134" s="7">
        <f>IF(M134="","",BETA.INV(0.025,K134,L134))</f>
        <v/>
      </c>
      <c r="O134" s="7">
        <f>IF(M134="","",BETA.INV(0.975,K134,L134))</f>
        <v/>
      </c>
      <c r="P134" s="5">
        <f>IF(F134+G134=0,"先填真/假计数",IF(F134+G134&lt;30,"组合样本太少",IF(MIN(F134,G134)&lt;5,"结果类别不足","可作CPT参考；逻辑权重仍需整体拟合")))</f>
        <v/>
      </c>
      <c r="Q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5">
        <f>IF(OR(I135="",F135=""),"",I135+F135)</f>
        <v/>
      </c>
      <c r="L135" s="5">
        <f>IF(OR(J135="",G135=""),"",J135+G135)</f>
        <v/>
      </c>
      <c r="M135" s="7">
        <f>IF(OR(K135="",L135=""),"",K135/(K135+L135))</f>
        <v/>
      </c>
      <c r="N135" s="7">
        <f>IF(M135="","",BETA.INV(0.025,K135,L135))</f>
        <v/>
      </c>
      <c r="O135" s="7">
        <f>IF(M135="","",BETA.INV(0.975,K135,L135))</f>
        <v/>
      </c>
      <c r="P135" s="5">
        <f>IF(F135+G135=0,"先填真/假计数",IF(F135+G135&lt;30,"组合样本太少",IF(MIN(F135,G135)&lt;5,"结果类别不足","可作CPT参考；逻辑权重仍需整体拟合")))</f>
        <v/>
      </c>
      <c r="Q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5">
        <f>IF(OR(I136="",F136=""),"",I136+F136)</f>
        <v/>
      </c>
      <c r="L136" s="5">
        <f>IF(OR(J136="",G136=""),"",J136+G136)</f>
        <v/>
      </c>
      <c r="M136" s="7">
        <f>IF(OR(K136="",L136=""),"",K136/(K136+L136))</f>
        <v/>
      </c>
      <c r="N136" s="7">
        <f>IF(M136="","",BETA.INV(0.025,K136,L136))</f>
        <v/>
      </c>
      <c r="O136" s="7">
        <f>IF(M136="","",BETA.INV(0.975,K136,L136))</f>
        <v/>
      </c>
      <c r="P136" s="5">
        <f>IF(F136+G136=0,"先填真/假计数",IF(F136+G136&lt;30,"组合样本太少",IF(MIN(F136,G136)&lt;5,"结果类别不足","可作CPT参考；逻辑权重仍需整体拟合")))</f>
        <v/>
      </c>
      <c r="Q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5">
        <f>IF(OR(I137="",F137=""),"",I137+F137)</f>
        <v/>
      </c>
      <c r="L137" s="5">
        <f>IF(OR(J137="",G137=""),"",J137+G137)</f>
        <v/>
      </c>
      <c r="M137" s="7">
        <f>IF(OR(K137="",L137=""),"",K137/(K137+L137))</f>
        <v/>
      </c>
      <c r="N137" s="7">
        <f>IF(M137="","",BETA.INV(0.025,K137,L137))</f>
        <v/>
      </c>
      <c r="O137" s="7">
        <f>IF(M137="","",BETA.INV(0.975,K137,L137))</f>
        <v/>
      </c>
      <c r="P137" s="5">
        <f>IF(F137+G137=0,"先填真/假计数",IF(F137+G137&lt;30,"组合样本太少",IF(MIN(F137,G137)&lt;5,"结果类别不足","可作CPT参考；逻辑权重仍需整体拟合")))</f>
        <v/>
      </c>
      <c r="Q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5">
        <f>IF(OR(I138="",F138=""),"",I138+F138)</f>
        <v/>
      </c>
      <c r="L138" s="5">
        <f>IF(OR(J138="",G138=""),"",J138+G138)</f>
        <v/>
      </c>
      <c r="M138" s="7">
        <f>IF(OR(K138="",L138=""),"",K138/(K138+L138))</f>
        <v/>
      </c>
      <c r="N138" s="7">
        <f>IF(M138="","",BETA.INV(0.025,K138,L138))</f>
        <v/>
      </c>
      <c r="O138" s="7">
        <f>IF(M138="","",BETA.INV(0.975,K138,L138))</f>
        <v/>
      </c>
      <c r="P138" s="5">
        <f>IF(F138+G138=0,"先填真/假计数",IF(F138+G138&lt;30,"组合样本太少",IF(MIN(F138,G138)&lt;5,"结果类别不足","可作CPT参考；逻辑权重仍需整体拟合")))</f>
        <v/>
      </c>
      <c r="Q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5">
        <f>IF(OR(I139="",F139=""),"",I139+F139)</f>
        <v/>
      </c>
      <c r="L139" s="5">
        <f>IF(OR(J139="",G139=""),"",J139+G139)</f>
        <v/>
      </c>
      <c r="M139" s="7">
        <f>IF(OR(K139="",L139=""),"",K139/(K139+L139))</f>
        <v/>
      </c>
      <c r="N139" s="7">
        <f>IF(M139="","",BETA.INV(0.025,K139,L139))</f>
        <v/>
      </c>
      <c r="O139" s="7">
        <f>IF(M139="","",BETA.INV(0.975,K139,L139))</f>
        <v/>
      </c>
      <c r="P139" s="5">
        <f>IF(F139+G139=0,"先填真/假计数",IF(F139+G139&lt;30,"组合样本太少",IF(MIN(F139,G139)&lt;5,"结果类别不足","可作CPT参考；逻辑权重仍需整体拟合")))</f>
        <v/>
      </c>
      <c r="Q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5">
        <f>IF(OR(I140="",F140=""),"",I140+F140)</f>
        <v/>
      </c>
      <c r="L140" s="5">
        <f>IF(OR(J140="",G140=""),"",J140+G140)</f>
        <v/>
      </c>
      <c r="M140" s="7">
        <f>IF(OR(K140="",L140=""),"",K140/(K140+L140))</f>
        <v/>
      </c>
      <c r="N140" s="7">
        <f>IF(M140="","",BETA.INV(0.025,K140,L140))</f>
        <v/>
      </c>
      <c r="O140" s="7">
        <f>IF(M140="","",BETA.INV(0.975,K140,L140))</f>
        <v/>
      </c>
      <c r="P140" s="5">
        <f>IF(F140+G140=0,"先填真/假计数",IF(F140+G140&lt;30,"组合样本太少",IF(MIN(F140,G140)&lt;5,"结果类别不足","可作CPT参考；逻辑权重仍需整体拟合")))</f>
        <v/>
      </c>
      <c r="Q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5">
        <f>IF(OR(I141="",F141=""),"",I141+F141)</f>
        <v/>
      </c>
      <c r="L141" s="5">
        <f>IF(OR(J141="",G141=""),"",J141+G141)</f>
        <v/>
      </c>
      <c r="M141" s="7">
        <f>IF(OR(K141="",L141=""),"",K141/(K141+L141))</f>
        <v/>
      </c>
      <c r="N141" s="7">
        <f>IF(M141="","",BETA.INV(0.025,K141,L141))</f>
        <v/>
      </c>
      <c r="O141" s="7">
        <f>IF(M141="","",BETA.INV(0.975,K141,L141))</f>
        <v/>
      </c>
      <c r="P141" s="5">
        <f>IF(F141+G141=0,"先填真/假计数",IF(F141+G141&lt;30,"组合样本太少",IF(MIN(F141,G141)&lt;5,"结果类别不足","可作CPT参考；逻辑权重仍需整体拟合")))</f>
        <v/>
      </c>
      <c r="Q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5">
        <f>IF(OR(I142="",F142=""),"",I142+F142)</f>
        <v/>
      </c>
      <c r="L142" s="5">
        <f>IF(OR(J142="",G142=""),"",J142+G142)</f>
        <v/>
      </c>
      <c r="M142" s="7">
        <f>IF(OR(K142="",L142=""),"",K142/(K142+L142))</f>
        <v/>
      </c>
      <c r="N142" s="7">
        <f>IF(M142="","",BETA.INV(0.025,K142,L142))</f>
        <v/>
      </c>
      <c r="O142" s="7">
        <f>IF(M142="","",BETA.INV(0.975,K142,L142))</f>
        <v/>
      </c>
      <c r="P142" s="5">
        <f>IF(F142+G142=0,"先填真/假计数",IF(F142+G142&lt;30,"组合样本太少",IF(MIN(F142,G142)&lt;5,"结果类别不足","可作CPT参考；逻辑权重仍需整体拟合")))</f>
        <v/>
      </c>
      <c r="Q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5">
        <f>IF(OR(I143="",F143=""),"",I143+F143)</f>
        <v/>
      </c>
      <c r="L143" s="5">
        <f>IF(OR(J143="",G143=""),"",J143+G143)</f>
        <v/>
      </c>
      <c r="M143" s="7">
        <f>IF(OR(K143="",L143=""),"",K143/(K143+L143))</f>
        <v/>
      </c>
      <c r="N143" s="7">
        <f>IF(M143="","",BETA.INV(0.025,K143,L143))</f>
        <v/>
      </c>
      <c r="O143" s="7">
        <f>IF(M143="","",BETA.INV(0.975,K143,L143))</f>
        <v/>
      </c>
      <c r="P143" s="5">
        <f>IF(F143+G143=0,"先填真/假计数",IF(F143+G143&lt;30,"组合样本太少",IF(MIN(F143,G143)&lt;5,"结果类别不足","可作CPT参考；逻辑权重仍需整体拟合")))</f>
        <v/>
      </c>
      <c r="Q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5">
        <f>IF(OR(I144="",F144=""),"",I144+F144)</f>
        <v/>
      </c>
      <c r="L144" s="5">
        <f>IF(OR(J144="",G144=""),"",J144+G144)</f>
        <v/>
      </c>
      <c r="M144" s="7">
        <f>IF(OR(K144="",L144=""),"",K144/(K144+L144))</f>
        <v/>
      </c>
      <c r="N144" s="7">
        <f>IF(M144="","",BETA.INV(0.025,K144,L144))</f>
        <v/>
      </c>
      <c r="O144" s="7">
        <f>IF(M144="","",BETA.INV(0.975,K144,L144))</f>
        <v/>
      </c>
      <c r="P144" s="5">
        <f>IF(F144+G144=0,"先填真/假计数",IF(F144+G144&lt;30,"组合样本太少",IF(MIN(F144,G144)&lt;5,"结果类别不足","可作CPT参考；逻辑权重仍需整体拟合")))</f>
        <v/>
      </c>
      <c r="Q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5">
        <f>IF(OR(I145="",F145=""),"",I145+F145)</f>
        <v/>
      </c>
      <c r="L145" s="5">
        <f>IF(OR(J145="",G145=""),"",J145+G145)</f>
        <v/>
      </c>
      <c r="M145" s="7">
        <f>IF(OR(K145="",L145=""),"",K145/(K145+L145))</f>
        <v/>
      </c>
      <c r="N145" s="7">
        <f>IF(M145="","",BETA.INV(0.025,K145,L145))</f>
        <v/>
      </c>
      <c r="O145" s="7">
        <f>IF(M145="","",BETA.INV(0.975,K145,L145))</f>
        <v/>
      </c>
      <c r="P145" s="5">
        <f>IF(F145+G145=0,"先填真/假计数",IF(F145+G145&lt;30,"组合样本太少",IF(MIN(F145,G145)&lt;5,"结果类别不足","可作CPT参考；逻辑权重仍需整体拟合")))</f>
        <v/>
      </c>
      <c r="Q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5">
        <f>IF(OR(I146="",F146=""),"",I146+F146)</f>
        <v/>
      </c>
      <c r="L146" s="5">
        <f>IF(OR(J146="",G146=""),"",J146+G146)</f>
        <v/>
      </c>
      <c r="M146" s="7">
        <f>IF(OR(K146="",L146=""),"",K146/(K146+L146))</f>
        <v/>
      </c>
      <c r="N146" s="7">
        <f>IF(M146="","",BETA.INV(0.025,K146,L146))</f>
        <v/>
      </c>
      <c r="O146" s="7">
        <f>IF(M146="","",BETA.INV(0.975,K146,L146))</f>
        <v/>
      </c>
      <c r="P146" s="5">
        <f>IF(F146+G146=0,"先填真/假计数",IF(F146+G146&lt;30,"组合样本太少",IF(MIN(F146,G146)&lt;5,"结果类别不足","可作CPT参考；逻辑权重仍需整体拟合")))</f>
        <v/>
      </c>
      <c r="Q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5">
        <f>IF(OR(I147="",F147=""),"",I147+F147)</f>
        <v/>
      </c>
      <c r="L147" s="5">
        <f>IF(OR(J147="",G147=""),"",J147+G147)</f>
        <v/>
      </c>
      <c r="M147" s="7">
        <f>IF(OR(K147="",L147=""),"",K147/(K147+L147))</f>
        <v/>
      </c>
      <c r="N147" s="7">
        <f>IF(M147="","",BETA.INV(0.025,K147,L147))</f>
        <v/>
      </c>
      <c r="O147" s="7">
        <f>IF(M147="","",BETA.INV(0.975,K147,L147))</f>
        <v/>
      </c>
      <c r="P147" s="5">
        <f>IF(F147+G147=0,"先填真/假计数",IF(F147+G147&lt;30,"组合样本太少",IF(MIN(F147,G147)&lt;5,"结果类别不足","可作CPT参考；逻辑权重仍需整体拟合")))</f>
        <v/>
      </c>
      <c r="Q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5">
        <f>IF(OR(I148="",F148=""),"",I148+F148)</f>
        <v/>
      </c>
      <c r="L148" s="5">
        <f>IF(OR(J148="",G148=""),"",J148+G148)</f>
        <v/>
      </c>
      <c r="M148" s="7">
        <f>IF(OR(K148="",L148=""),"",K148/(K148+L148))</f>
        <v/>
      </c>
      <c r="N148" s="7">
        <f>IF(M148="","",BETA.INV(0.025,K148,L148))</f>
        <v/>
      </c>
      <c r="O148" s="7">
        <f>IF(M148="","",BETA.INV(0.975,K148,L148))</f>
        <v/>
      </c>
      <c r="P148" s="5">
        <f>IF(F148+G148=0,"先填真/假计数",IF(F148+G148&lt;30,"组合样本太少",IF(MIN(F148,G148)&lt;5,"结果类别不足","可作CPT参考；逻辑权重仍需整体拟合")))</f>
        <v/>
      </c>
      <c r="Q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5">
        <f>IF(OR(I149="",F149=""),"",I149+F149)</f>
        <v/>
      </c>
      <c r="L149" s="5">
        <f>IF(OR(J149="",G149=""),"",J149+G149)</f>
        <v/>
      </c>
      <c r="M149" s="7">
        <f>IF(OR(K149="",L149=""),"",K149/(K149+L149))</f>
        <v/>
      </c>
      <c r="N149" s="7">
        <f>IF(M149="","",BETA.INV(0.025,K149,L149))</f>
        <v/>
      </c>
      <c r="O149" s="7">
        <f>IF(M149="","",BETA.INV(0.975,K149,L149))</f>
        <v/>
      </c>
      <c r="P149" s="5">
        <f>IF(F149+G149=0,"先填真/假计数",IF(F149+G149&lt;30,"组合样本太少",IF(MIN(F149,G149)&lt;5,"结果类别不足","可作CPT参考；逻辑权重仍需整体拟合")))</f>
        <v/>
      </c>
      <c r="Q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5">
        <f>IF(OR(I150="",F150=""),"",I150+F150)</f>
        <v/>
      </c>
      <c r="L150" s="5">
        <f>IF(OR(J150="",G150=""),"",J150+G150)</f>
        <v/>
      </c>
      <c r="M150" s="7">
        <f>IF(OR(K150="",L150=""),"",K150/(K150+L150))</f>
        <v/>
      </c>
      <c r="N150" s="7">
        <f>IF(M150="","",BETA.INV(0.025,K150,L150))</f>
        <v/>
      </c>
      <c r="O150" s="7">
        <f>IF(M150="","",BETA.INV(0.975,K150,L150))</f>
        <v/>
      </c>
      <c r="P150" s="5">
        <f>IF(F150+G150=0,"先填真/假计数",IF(F150+G150&lt;30,"组合样本太少",IF(MIN(F150,G150)&lt;5,"结果类别不足","可作CPT参考；逻辑权重仍需整体拟合")))</f>
        <v/>
      </c>
      <c r="Q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5">
        <f>IF(OR(I151="",F151=""),"",I151+F151)</f>
        <v/>
      </c>
      <c r="L151" s="5">
        <f>IF(OR(J151="",G151=""),"",J151+G151)</f>
        <v/>
      </c>
      <c r="M151" s="7">
        <f>IF(OR(K151="",L151=""),"",K151/(K151+L151))</f>
        <v/>
      </c>
      <c r="N151" s="7">
        <f>IF(M151="","",BETA.INV(0.025,K151,L151))</f>
        <v/>
      </c>
      <c r="O151" s="7">
        <f>IF(M151="","",BETA.INV(0.975,K151,L151))</f>
        <v/>
      </c>
      <c r="P151" s="5">
        <f>IF(F151+G151=0,"先填真/假计数",IF(F151+G151&lt;30,"组合样本太少",IF(MIN(F151,G151)&lt;5,"结果类别不足","可作CPT参考；逻辑权重仍需整体拟合")))</f>
        <v/>
      </c>
      <c r="Q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5">
        <f>IF(OR(I152="",F152=""),"",I152+F152)</f>
        <v/>
      </c>
      <c r="L152" s="5">
        <f>IF(OR(J152="",G152=""),"",J152+G152)</f>
        <v/>
      </c>
      <c r="M152" s="7">
        <f>IF(OR(K152="",L152=""),"",K152/(K152+L152))</f>
        <v/>
      </c>
      <c r="N152" s="7">
        <f>IF(M152="","",BETA.INV(0.025,K152,L152))</f>
        <v/>
      </c>
      <c r="O152" s="7">
        <f>IF(M152="","",BETA.INV(0.975,K152,L152))</f>
        <v/>
      </c>
      <c r="P152" s="5">
        <f>IF(F152+G152=0,"先填真/假计数",IF(F152+G152&lt;30,"组合样本太少",IF(MIN(F152,G152)&lt;5,"结果类别不足","可作CPT参考；逻辑权重仍需整体拟合")))</f>
        <v/>
      </c>
      <c r="Q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5">
        <f>IF(OR(I153="",F153=""),"",I153+F153)</f>
        <v/>
      </c>
      <c r="L153" s="5">
        <f>IF(OR(J153="",G153=""),"",J153+G153)</f>
        <v/>
      </c>
      <c r="M153" s="7">
        <f>IF(OR(K153="",L153=""),"",K153/(K153+L153))</f>
        <v/>
      </c>
      <c r="N153" s="7">
        <f>IF(M153="","",BETA.INV(0.025,K153,L153))</f>
        <v/>
      </c>
      <c r="O153" s="7">
        <f>IF(M153="","",BETA.INV(0.975,K153,L153))</f>
        <v/>
      </c>
      <c r="P153" s="5">
        <f>IF(F153+G153=0,"先填真/假计数",IF(F153+G153&lt;30,"组合样本太少",IF(MIN(F153,G153)&lt;5,"结果类别不足","可作CPT参考；逻辑权重仍需整体拟合")))</f>
        <v/>
      </c>
      <c r="Q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5">
        <f>IF(OR(I154="",F154=""),"",I154+F154)</f>
        <v/>
      </c>
      <c r="L154" s="5">
        <f>IF(OR(J154="",G154=""),"",J154+G154)</f>
        <v/>
      </c>
      <c r="M154" s="7">
        <f>IF(OR(K154="",L154=""),"",K154/(K154+L154))</f>
        <v/>
      </c>
      <c r="N154" s="7">
        <f>IF(M154="","",BETA.INV(0.025,K154,L154))</f>
        <v/>
      </c>
      <c r="O154" s="7">
        <f>IF(M154="","",BETA.INV(0.975,K154,L154))</f>
        <v/>
      </c>
      <c r="P154" s="5">
        <f>IF(F154+G154=0,"先填真/假计数",IF(F154+G154&lt;30,"组合样本太少",IF(MIN(F154,G154)&lt;5,"结果类别不足","可作CPT参考；逻辑权重仍需整体拟合")))</f>
        <v/>
      </c>
      <c r="Q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5">
        <f>IF(OR(I155="",F155=""),"",I155+F155)</f>
        <v/>
      </c>
      <c r="L155" s="5">
        <f>IF(OR(J155="",G155=""),"",J155+G155)</f>
        <v/>
      </c>
      <c r="M155" s="7">
        <f>IF(OR(K155="",L155=""),"",K155/(K155+L155))</f>
        <v/>
      </c>
      <c r="N155" s="7">
        <f>IF(M155="","",BETA.INV(0.025,K155,L155))</f>
        <v/>
      </c>
      <c r="O155" s="7">
        <f>IF(M155="","",BETA.INV(0.975,K155,L155))</f>
        <v/>
      </c>
      <c r="P155" s="5">
        <f>IF(F155+G155=0,"先填真/假计数",IF(F155+G155&lt;30,"组合样本太少",IF(MIN(F155,G155)&lt;5,"结果类别不足","可作CPT参考；逻辑权重仍需整体拟合")))</f>
        <v/>
      </c>
      <c r="Q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5">
        <f>IF(OR(I156="",F156=""),"",I156+F156)</f>
        <v/>
      </c>
      <c r="L156" s="5">
        <f>IF(OR(J156="",G156=""),"",J156+G156)</f>
        <v/>
      </c>
      <c r="M156" s="7">
        <f>IF(OR(K156="",L156=""),"",K156/(K156+L156))</f>
        <v/>
      </c>
      <c r="N156" s="7">
        <f>IF(M156="","",BETA.INV(0.025,K156,L156))</f>
        <v/>
      </c>
      <c r="O156" s="7">
        <f>IF(M156="","",BETA.INV(0.975,K156,L156))</f>
        <v/>
      </c>
      <c r="P156" s="5">
        <f>IF(F156+G156=0,"先填真/假计数",IF(F156+G156&lt;30,"组合样本太少",IF(MIN(F156,G156)&lt;5,"结果类别不足","可作CPT参考；逻辑权重仍需整体拟合")))</f>
        <v/>
      </c>
      <c r="Q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5">
        <f>IF(OR(I157="",F157=""),"",I157+F157)</f>
        <v/>
      </c>
      <c r="L157" s="5">
        <f>IF(OR(J157="",G157=""),"",J157+G157)</f>
        <v/>
      </c>
      <c r="M157" s="7">
        <f>IF(OR(K157="",L157=""),"",K157/(K157+L157))</f>
        <v/>
      </c>
      <c r="N157" s="7">
        <f>IF(M157="","",BETA.INV(0.025,K157,L157))</f>
        <v/>
      </c>
      <c r="O157" s="7">
        <f>IF(M157="","",BETA.INV(0.975,K157,L157))</f>
        <v/>
      </c>
      <c r="P157" s="5">
        <f>IF(F157+G157=0,"先填真/假计数",IF(F157+G157&lt;30,"组合样本太少",IF(MIN(F157,G157)&lt;5,"结果类别不足","可作CPT参考；逻辑权重仍需整体拟合")))</f>
        <v/>
      </c>
      <c r="Q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5">
        <f>IF(OR(I158="",F158=""),"",I158+F158)</f>
        <v/>
      </c>
      <c r="L158" s="5">
        <f>IF(OR(J158="",G158=""),"",J158+G158)</f>
        <v/>
      </c>
      <c r="M158" s="7">
        <f>IF(OR(K158="",L158=""),"",K158/(K158+L158))</f>
        <v/>
      </c>
      <c r="N158" s="7">
        <f>IF(M158="","",BETA.INV(0.025,K158,L158))</f>
        <v/>
      </c>
      <c r="O158" s="7">
        <f>IF(M158="","",BETA.INV(0.975,K158,L158))</f>
        <v/>
      </c>
      <c r="P158" s="5">
        <f>IF(F158+G158=0,"先填真/假计数",IF(F158+G158&lt;30,"组合样本太少",IF(MIN(F158,G158)&lt;5,"结果类别不足","可作CPT参考；逻辑权重仍需整体拟合")))</f>
        <v/>
      </c>
      <c r="Q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5">
        <f>IF(OR(I159="",F159=""),"",I159+F159)</f>
        <v/>
      </c>
      <c r="L159" s="5">
        <f>IF(OR(J159="",G159=""),"",J159+G159)</f>
        <v/>
      </c>
      <c r="M159" s="7">
        <f>IF(OR(K159="",L159=""),"",K159/(K159+L159))</f>
        <v/>
      </c>
      <c r="N159" s="7">
        <f>IF(M159="","",BETA.INV(0.025,K159,L159))</f>
        <v/>
      </c>
      <c r="O159" s="7">
        <f>IF(M159="","",BETA.INV(0.975,K159,L159))</f>
        <v/>
      </c>
      <c r="P159" s="5">
        <f>IF(F159+G159=0,"先填真/假计数",IF(F159+G159&lt;30,"组合样本太少",IF(MIN(F159,G159)&lt;5,"结果类别不足","可作CPT参考；逻辑权重仍需整体拟合")))</f>
        <v/>
      </c>
      <c r="Q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5">
        <f>IF(OR(I160="",F160=""),"",I160+F160)</f>
        <v/>
      </c>
      <c r="L160" s="5">
        <f>IF(OR(J160="",G160=""),"",J160+G160)</f>
        <v/>
      </c>
      <c r="M160" s="7">
        <f>IF(OR(K160="",L160=""),"",K160/(K160+L160))</f>
        <v/>
      </c>
      <c r="N160" s="7">
        <f>IF(M160="","",BETA.INV(0.025,K160,L160))</f>
        <v/>
      </c>
      <c r="O160" s="7">
        <f>IF(M160="","",BETA.INV(0.975,K160,L160))</f>
        <v/>
      </c>
      <c r="P160" s="5">
        <f>IF(F160+G160=0,"先填真/假计数",IF(F160+G160&lt;30,"组合样本太少",IF(MIN(F160,G160)&lt;5,"结果类别不足","可作CPT参考；逻辑权重仍需整体拟合")))</f>
        <v/>
      </c>
      <c r="Q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5">
        <f>IF(OR(I161="",F161=""),"",I161+F161)</f>
        <v/>
      </c>
      <c r="L161" s="5">
        <f>IF(OR(J161="",G161=""),"",J161+G161)</f>
        <v/>
      </c>
      <c r="M161" s="7">
        <f>IF(OR(K161="",L161=""),"",K161/(K161+L161))</f>
        <v/>
      </c>
      <c r="N161" s="7">
        <f>IF(M161="","",BETA.INV(0.025,K161,L161))</f>
        <v/>
      </c>
      <c r="O161" s="7">
        <f>IF(M161="","",BETA.INV(0.975,K161,L161))</f>
        <v/>
      </c>
      <c r="P161" s="5">
        <f>IF(F161+G161=0,"先填真/假计数",IF(F161+G161&lt;30,"组合样本太少",IF(MIN(F161,G161)&lt;5,"结果类别不足","可作CPT参考；逻辑权重仍需整体拟合")))</f>
        <v/>
      </c>
      <c r="Q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5">
        <f>IF(OR(I162="",F162=""),"",I162+F162)</f>
        <v/>
      </c>
      <c r="L162" s="5">
        <f>IF(OR(J162="",G162=""),"",J162+G162)</f>
        <v/>
      </c>
      <c r="M162" s="7">
        <f>IF(OR(K162="",L162=""),"",K162/(K162+L162))</f>
        <v/>
      </c>
      <c r="N162" s="7">
        <f>IF(M162="","",BETA.INV(0.025,K162,L162))</f>
        <v/>
      </c>
      <c r="O162" s="7">
        <f>IF(M162="","",BETA.INV(0.975,K162,L162))</f>
        <v/>
      </c>
      <c r="P162" s="5">
        <f>IF(F162+G162=0,"先填真/假计数",IF(F162+G162&lt;30,"组合样本太少",IF(MIN(F162,G162)&lt;5,"结果类别不足","可作CPT参考；逻辑权重仍需整体拟合")))</f>
        <v/>
      </c>
      <c r="Q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5">
        <f>IF(OR(I163="",F163=""),"",I163+F163)</f>
        <v/>
      </c>
      <c r="L163" s="5">
        <f>IF(OR(J163="",G163=""),"",J163+G163)</f>
        <v/>
      </c>
      <c r="M163" s="7">
        <f>IF(OR(K163="",L163=""),"",K163/(K163+L163))</f>
        <v/>
      </c>
      <c r="N163" s="7">
        <f>IF(M163="","",BETA.INV(0.025,K163,L163))</f>
        <v/>
      </c>
      <c r="O163" s="7">
        <f>IF(M163="","",BETA.INV(0.975,K163,L163))</f>
        <v/>
      </c>
      <c r="P163" s="5">
        <f>IF(F163+G163=0,"先填真/假计数",IF(F163+G163&lt;30,"组合样本太少",IF(MIN(F163,G163)&lt;5,"结果类别不足","可作CPT参考；逻辑权重仍需整体拟合")))</f>
        <v/>
      </c>
      <c r="Q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5">
        <f>IF(OR(I164="",F164=""),"",I164+F164)</f>
        <v/>
      </c>
      <c r="L164" s="5">
        <f>IF(OR(J164="",G164=""),"",J164+G164)</f>
        <v/>
      </c>
      <c r="M164" s="7">
        <f>IF(OR(K164="",L164=""),"",K164/(K164+L164))</f>
        <v/>
      </c>
      <c r="N164" s="7">
        <f>IF(M164="","",BETA.INV(0.025,K164,L164))</f>
        <v/>
      </c>
      <c r="O164" s="7">
        <f>IF(M164="","",BETA.INV(0.975,K164,L164))</f>
        <v/>
      </c>
      <c r="P164" s="5">
        <f>IF(F164+G164=0,"先填真/假计数",IF(F164+G164&lt;30,"组合样本太少",IF(MIN(F164,G164)&lt;5,"结果类别不足","可作CPT参考；逻辑权重仍需整体拟合")))</f>
        <v/>
      </c>
      <c r="Q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5">
        <f>IF(OR(I165="",F165=""),"",I165+F165)</f>
        <v/>
      </c>
      <c r="L165" s="5">
        <f>IF(OR(J165="",G165=""),"",J165+G165)</f>
        <v/>
      </c>
      <c r="M165" s="7">
        <f>IF(OR(K165="",L165=""),"",K165/(K165+L165))</f>
        <v/>
      </c>
      <c r="N165" s="7">
        <f>IF(M165="","",BETA.INV(0.025,K165,L165))</f>
        <v/>
      </c>
      <c r="O165" s="7">
        <f>IF(M165="","",BETA.INV(0.975,K165,L165))</f>
        <v/>
      </c>
      <c r="P165" s="5">
        <f>IF(F165+G165=0,"先填真/假计数",IF(F165+G165&lt;30,"组合样本太少",IF(MIN(F165,G165)&lt;5,"结果类别不足","可作CPT参考；逻辑权重仍需整体拟合")))</f>
        <v/>
      </c>
      <c r="Q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5">
        <f>IF(OR(I166="",F166=""),"",I166+F166)</f>
        <v/>
      </c>
      <c r="L166" s="5">
        <f>IF(OR(J166="",G166=""),"",J166+G166)</f>
        <v/>
      </c>
      <c r="M166" s="7">
        <f>IF(OR(K166="",L166=""),"",K166/(K166+L166))</f>
        <v/>
      </c>
      <c r="N166" s="7">
        <f>IF(M166="","",BETA.INV(0.025,K166,L166))</f>
        <v/>
      </c>
      <c r="O166" s="7">
        <f>IF(M166="","",BETA.INV(0.975,K166,L166))</f>
        <v/>
      </c>
      <c r="P166" s="5">
        <f>IF(F166+G166=0,"先填真/假计数",IF(F166+G166&lt;30,"组合样本太少",IF(MIN(F166,G166)&lt;5,"结果类别不足","可作CPT参考；逻辑权重仍需整体拟合")))</f>
        <v/>
      </c>
      <c r="Q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5">
        <f>IF(OR(I167="",F167=""),"",I167+F167)</f>
        <v/>
      </c>
      <c r="L167" s="5">
        <f>IF(OR(J167="",G167=""),"",J167+G167)</f>
        <v/>
      </c>
      <c r="M167" s="7">
        <f>IF(OR(K167="",L167=""),"",K167/(K167+L167))</f>
        <v/>
      </c>
      <c r="N167" s="7">
        <f>IF(M167="","",BETA.INV(0.025,K167,L167))</f>
        <v/>
      </c>
      <c r="O167" s="7">
        <f>IF(M167="","",BETA.INV(0.975,K167,L167))</f>
        <v/>
      </c>
      <c r="P167" s="5">
        <f>IF(F167+G167=0,"先填真/假计数",IF(F167+G167&lt;30,"组合样本太少",IF(MIN(F167,G167)&lt;5,"结果类别不足","可作CPT参考；逻辑权重仍需整体拟合")))</f>
        <v/>
      </c>
      <c r="Q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5">
        <f>IF(OR(I168="",F168=""),"",I168+F168)</f>
        <v/>
      </c>
      <c r="L168" s="5">
        <f>IF(OR(J168="",G168=""),"",J168+G168)</f>
        <v/>
      </c>
      <c r="M168" s="7">
        <f>IF(OR(K168="",L168=""),"",K168/(K168+L168))</f>
        <v/>
      </c>
      <c r="N168" s="7">
        <f>IF(M168="","",BETA.INV(0.025,K168,L168))</f>
        <v/>
      </c>
      <c r="O168" s="7">
        <f>IF(M168="","",BETA.INV(0.975,K168,L168))</f>
        <v/>
      </c>
      <c r="P168" s="5">
        <f>IF(F168+G168=0,"先填真/假计数",IF(F168+G168&lt;30,"组合样本太少",IF(MIN(F168,G168)&lt;5,"结果类别不足","可作CPT参考；逻辑权重仍需整体拟合")))</f>
        <v/>
      </c>
      <c r="Q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5">
        <f>IF(OR(I169="",F169=""),"",I169+F169)</f>
        <v/>
      </c>
      <c r="L169" s="5">
        <f>IF(OR(J169="",G169=""),"",J169+G169)</f>
        <v/>
      </c>
      <c r="M169" s="7">
        <f>IF(OR(K169="",L169=""),"",K169/(K169+L169))</f>
        <v/>
      </c>
      <c r="N169" s="7">
        <f>IF(M169="","",BETA.INV(0.025,K169,L169))</f>
        <v/>
      </c>
      <c r="O169" s="7">
        <f>IF(M169="","",BETA.INV(0.975,K169,L169))</f>
        <v/>
      </c>
      <c r="P169" s="5">
        <f>IF(F169+G169=0,"先填真/假计数",IF(F169+G169&lt;30,"组合样本太少",IF(MIN(F169,G169)&lt;5,"结果类别不足","可作CPT参考；逻辑权重仍需整体拟合")))</f>
        <v/>
      </c>
      <c r="Q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5">
        <f>IF(OR(I170="",F170=""),"",I170+F170)</f>
        <v/>
      </c>
      <c r="L170" s="5">
        <f>IF(OR(J170="",G170=""),"",J170+G170)</f>
        <v/>
      </c>
      <c r="M170" s="7">
        <f>IF(OR(K170="",L170=""),"",K170/(K170+L170))</f>
        <v/>
      </c>
      <c r="N170" s="7">
        <f>IF(M170="","",BETA.INV(0.025,K170,L170))</f>
        <v/>
      </c>
      <c r="O170" s="7">
        <f>IF(M170="","",BETA.INV(0.975,K170,L170))</f>
        <v/>
      </c>
      <c r="P170" s="5">
        <f>IF(F170+G170=0,"先填真/假计数",IF(F170+G170&lt;30,"组合样本太少",IF(MIN(F170,G170)&lt;5,"结果类别不足","可作CPT参考；逻辑权重仍需整体拟合")))</f>
        <v/>
      </c>
      <c r="Q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5">
        <f>IF(OR(I171="",F171=""),"",I171+F171)</f>
        <v/>
      </c>
      <c r="L171" s="5">
        <f>IF(OR(J171="",G171=""),"",J171+G171)</f>
        <v/>
      </c>
      <c r="M171" s="7">
        <f>IF(OR(K171="",L171=""),"",K171/(K171+L171))</f>
        <v/>
      </c>
      <c r="N171" s="7">
        <f>IF(M171="","",BETA.INV(0.025,K171,L171))</f>
        <v/>
      </c>
      <c r="O171" s="7">
        <f>IF(M171="","",BETA.INV(0.975,K171,L171))</f>
        <v/>
      </c>
      <c r="P171" s="5">
        <f>IF(F171+G171=0,"先填真/假计数",IF(F171+G171&lt;30,"组合样本太少",IF(MIN(F171,G171)&lt;5,"结果类别不足","可作CPT参考；逻辑权重仍需整体拟合")))</f>
        <v/>
      </c>
      <c r="Q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5">
        <f>IF(OR(I172="",F172=""),"",I172+F172)</f>
        <v/>
      </c>
      <c r="L172" s="5">
        <f>IF(OR(J172="",G172=""),"",J172+G172)</f>
        <v/>
      </c>
      <c r="M172" s="7">
        <f>IF(OR(K172="",L172=""),"",K172/(K172+L172))</f>
        <v/>
      </c>
      <c r="N172" s="7">
        <f>IF(M172="","",BETA.INV(0.025,K172,L172))</f>
        <v/>
      </c>
      <c r="O172" s="7">
        <f>IF(M172="","",BETA.INV(0.975,K172,L172))</f>
        <v/>
      </c>
      <c r="P172" s="5">
        <f>IF(F172+G172=0,"先填真/假计数",IF(F172+G172&lt;30,"组合样本太少",IF(MIN(F172,G172)&lt;5,"结果类别不足","可作CPT参考；逻辑权重仍需整体拟合")))</f>
        <v/>
      </c>
      <c r="Q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5">
        <f>IF(OR(I173="",F173=""),"",I173+F173)</f>
        <v/>
      </c>
      <c r="L173" s="5">
        <f>IF(OR(J173="",G173=""),"",J173+G173)</f>
        <v/>
      </c>
      <c r="M173" s="7">
        <f>IF(OR(K173="",L173=""),"",K173/(K173+L173))</f>
        <v/>
      </c>
      <c r="N173" s="7">
        <f>IF(M173="","",BETA.INV(0.025,K173,L173))</f>
        <v/>
      </c>
      <c r="O173" s="7">
        <f>IF(M173="","",BETA.INV(0.975,K173,L173))</f>
        <v/>
      </c>
      <c r="P173" s="5">
        <f>IF(F173+G173=0,"先填真/假计数",IF(F173+G173&lt;30,"组合样本太少",IF(MIN(F173,G173)&lt;5,"结果类别不足","可作CPT参考；逻辑权重仍需整体拟合")))</f>
        <v/>
      </c>
      <c r="Q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5">
        <f>IF(OR(I174="",F174=""),"",I174+F174)</f>
        <v/>
      </c>
      <c r="L174" s="5">
        <f>IF(OR(J174="",G174=""),"",J174+G174)</f>
        <v/>
      </c>
      <c r="M174" s="7">
        <f>IF(OR(K174="",L174=""),"",K174/(K174+L174))</f>
        <v/>
      </c>
      <c r="N174" s="7">
        <f>IF(M174="","",BETA.INV(0.025,K174,L174))</f>
        <v/>
      </c>
      <c r="O174" s="7">
        <f>IF(M174="","",BETA.INV(0.975,K174,L174))</f>
        <v/>
      </c>
      <c r="P174" s="5">
        <f>IF(F174+G174=0,"先填真/假计数",IF(F174+G174&lt;30,"组合样本太少",IF(MIN(F174,G174)&lt;5,"结果类别不足","可作CPT参考；逻辑权重仍需整体拟合")))</f>
        <v/>
      </c>
      <c r="Q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5">
        <f>IF(OR(I175="",F175=""),"",I175+F175)</f>
        <v/>
      </c>
      <c r="L175" s="5">
        <f>IF(OR(J175="",G175=""),"",J175+G175)</f>
        <v/>
      </c>
      <c r="M175" s="7">
        <f>IF(OR(K175="",L175=""),"",K175/(K175+L175))</f>
        <v/>
      </c>
      <c r="N175" s="7">
        <f>IF(M175="","",BETA.INV(0.025,K175,L175))</f>
        <v/>
      </c>
      <c r="O175" s="7">
        <f>IF(M175="","",BETA.INV(0.975,K175,L175))</f>
        <v/>
      </c>
      <c r="P175" s="5">
        <f>IF(F175+G175=0,"先填真/假计数",IF(F175+G175&lt;30,"组合样本太少",IF(MIN(F175,G175)&lt;5,"结果类别不足","可作CPT参考；逻辑权重仍需整体拟合")))</f>
        <v/>
      </c>
      <c r="Q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5">
        <f>IF(OR(I176="",F176=""),"",I176+F176)</f>
        <v/>
      </c>
      <c r="L176" s="5">
        <f>IF(OR(J176="",G176=""),"",J176+G176)</f>
        <v/>
      </c>
      <c r="M176" s="7">
        <f>IF(OR(K176="",L176=""),"",K176/(K176+L176))</f>
        <v/>
      </c>
      <c r="N176" s="7">
        <f>IF(M176="","",BETA.INV(0.025,K176,L176))</f>
        <v/>
      </c>
      <c r="O176" s="7">
        <f>IF(M176="","",BETA.INV(0.975,K176,L176))</f>
        <v/>
      </c>
      <c r="P176" s="5">
        <f>IF(F176+G176=0,"先填真/假计数",IF(F176+G176&lt;30,"组合样本太少",IF(MIN(F176,G176)&lt;5,"结果类别不足","可作CPT参考；逻辑权重仍需整体拟合")))</f>
        <v/>
      </c>
      <c r="Q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5">
        <f>IF(OR(I177="",F177=""),"",I177+F177)</f>
        <v/>
      </c>
      <c r="L177" s="5">
        <f>IF(OR(J177="",G177=""),"",J177+G177)</f>
        <v/>
      </c>
      <c r="M177" s="7">
        <f>IF(OR(K177="",L177=""),"",K177/(K177+L177))</f>
        <v/>
      </c>
      <c r="N177" s="7">
        <f>IF(M177="","",BETA.INV(0.025,K177,L177))</f>
        <v/>
      </c>
      <c r="O177" s="7">
        <f>IF(M177="","",BETA.INV(0.975,K177,L177))</f>
        <v/>
      </c>
      <c r="P177" s="5">
        <f>IF(F177+G177=0,"先填真/假计数",IF(F177+G177&lt;30,"组合样本太少",IF(MIN(F177,G177)&lt;5,"结果类别不足","可作CPT参考；逻辑权重仍需整体拟合")))</f>
        <v/>
      </c>
      <c r="Q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5">
        <f>IF(OR(I178="",F178=""),"",I178+F178)</f>
        <v/>
      </c>
      <c r="L178" s="5">
        <f>IF(OR(J178="",G178=""),"",J178+G178)</f>
        <v/>
      </c>
      <c r="M178" s="7">
        <f>IF(OR(K178="",L178=""),"",K178/(K178+L178))</f>
        <v/>
      </c>
      <c r="N178" s="7">
        <f>IF(M178="","",BETA.INV(0.025,K178,L178))</f>
        <v/>
      </c>
      <c r="O178" s="7">
        <f>IF(M178="","",BETA.INV(0.975,K178,L178))</f>
        <v/>
      </c>
      <c r="P178" s="5">
        <f>IF(F178+G178=0,"先填真/假计数",IF(F178+G178&lt;30,"组合样本太少",IF(MIN(F178,G178)&lt;5,"结果类别不足","可作CPT参考；逻辑权重仍需整体拟合")))</f>
        <v/>
      </c>
      <c r="Q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5">
        <f>IF(OR(I179="",F179=""),"",I179+F179)</f>
        <v/>
      </c>
      <c r="L179" s="5">
        <f>IF(OR(J179="",G179=""),"",J179+G179)</f>
        <v/>
      </c>
      <c r="M179" s="7">
        <f>IF(OR(K179="",L179=""),"",K179/(K179+L179))</f>
        <v/>
      </c>
      <c r="N179" s="7">
        <f>IF(M179="","",BETA.INV(0.025,K179,L179))</f>
        <v/>
      </c>
      <c r="O179" s="7">
        <f>IF(M179="","",BETA.INV(0.975,K179,L179))</f>
        <v/>
      </c>
      <c r="P179" s="5">
        <f>IF(F179+G179=0,"先填真/假计数",IF(F179+G179&lt;30,"组合样本太少",IF(MIN(F179,G179)&lt;5,"结果类别不足","可作CPT参考；逻辑权重仍需整体拟合")))</f>
        <v/>
      </c>
      <c r="Q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5">
        <f>IF(OR(I180="",F180=""),"",I180+F180)</f>
        <v/>
      </c>
      <c r="L180" s="5">
        <f>IF(OR(J180="",G180=""),"",J180+G180)</f>
        <v/>
      </c>
      <c r="M180" s="7">
        <f>IF(OR(K180="",L180=""),"",K180/(K180+L180))</f>
        <v/>
      </c>
      <c r="N180" s="7">
        <f>IF(M180="","",BETA.INV(0.025,K180,L180))</f>
        <v/>
      </c>
      <c r="O180" s="7">
        <f>IF(M180="","",BETA.INV(0.975,K180,L180))</f>
        <v/>
      </c>
      <c r="P180" s="5">
        <f>IF(F180+G180=0,"先填真/假计数",IF(F180+G180&lt;30,"组合样本太少",IF(MIN(F180,G180)&lt;5,"结果类别不足","可作CPT参考；逻辑权重仍需整体拟合")))</f>
        <v/>
      </c>
      <c r="Q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5">
        <f>IF(OR(I181="",F181=""),"",I181+F181)</f>
        <v/>
      </c>
      <c r="L181" s="5">
        <f>IF(OR(J181="",G181=""),"",J181+G181)</f>
        <v/>
      </c>
      <c r="M181" s="7">
        <f>IF(OR(K181="",L181=""),"",K181/(K181+L181))</f>
        <v/>
      </c>
      <c r="N181" s="7">
        <f>IF(M181="","",BETA.INV(0.025,K181,L181))</f>
        <v/>
      </c>
      <c r="O181" s="7">
        <f>IF(M181="","",BETA.INV(0.975,K181,L181))</f>
        <v/>
      </c>
      <c r="P181" s="5">
        <f>IF(F181+G181=0,"先填真/假计数",IF(F181+G181&lt;30,"组合样本太少",IF(MIN(F181,G181)&lt;5,"结果类别不足","可作CPT参考；逻辑权重仍需整体拟合")))</f>
        <v/>
      </c>
      <c r="Q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5">
        <f>IF(OR(I182="",F182=""),"",I182+F182)</f>
        <v/>
      </c>
      <c r="L182" s="5">
        <f>IF(OR(J182="",G182=""),"",J182+G182)</f>
        <v/>
      </c>
      <c r="M182" s="7">
        <f>IF(OR(K182="",L182=""),"",K182/(K182+L182))</f>
        <v/>
      </c>
      <c r="N182" s="7">
        <f>IF(M182="","",BETA.INV(0.025,K182,L182))</f>
        <v/>
      </c>
      <c r="O182" s="7">
        <f>IF(M182="","",BETA.INV(0.975,K182,L182))</f>
        <v/>
      </c>
      <c r="P182" s="5">
        <f>IF(F182+G182=0,"先填真/假计数",IF(F182+G182&lt;30,"组合样本太少",IF(MIN(F182,G182)&lt;5,"结果类别不足","可作CPT参考；逻辑权重仍需整体拟合")))</f>
        <v/>
      </c>
      <c r="Q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5">
        <f>IF(OR(I183="",F183=""),"",I183+F183)</f>
        <v/>
      </c>
      <c r="L183" s="5">
        <f>IF(OR(J183="",G183=""),"",J183+G183)</f>
        <v/>
      </c>
      <c r="M183" s="7">
        <f>IF(OR(K183="",L183=""),"",K183/(K183+L183))</f>
        <v/>
      </c>
      <c r="N183" s="7">
        <f>IF(M183="","",BETA.INV(0.025,K183,L183))</f>
        <v/>
      </c>
      <c r="O183" s="7">
        <f>IF(M183="","",BETA.INV(0.975,K183,L183))</f>
        <v/>
      </c>
      <c r="P183" s="5">
        <f>IF(F183+G183=0,"先填真/假计数",IF(F183+G183&lt;30,"组合样本太少",IF(MIN(F183,G183)&lt;5,"结果类别不足","可作CPT参考；逻辑权重仍需整体拟合")))</f>
        <v/>
      </c>
      <c r="Q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5">
        <f>IF(OR(I184="",F184=""),"",I184+F184)</f>
        <v/>
      </c>
      <c r="L184" s="5">
        <f>IF(OR(J184="",G184=""),"",J184+G184)</f>
        <v/>
      </c>
      <c r="M184" s="7">
        <f>IF(OR(K184="",L184=""),"",K184/(K184+L184))</f>
        <v/>
      </c>
      <c r="N184" s="7">
        <f>IF(M184="","",BETA.INV(0.025,K184,L184))</f>
        <v/>
      </c>
      <c r="O184" s="7">
        <f>IF(M184="","",BETA.INV(0.975,K184,L184))</f>
        <v/>
      </c>
      <c r="P184" s="5">
        <f>IF(F184+G184=0,"先填真/假计数",IF(F184+G184&lt;30,"组合样本太少",IF(MIN(F184,G184)&lt;5,"结果类别不足","可作CPT参考；逻辑权重仍需整体拟合")))</f>
        <v/>
      </c>
      <c r="Q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5">
        <f>IF(OR(I185="",F185=""),"",I185+F185)</f>
        <v/>
      </c>
      <c r="L185" s="5">
        <f>IF(OR(J185="",G185=""),"",J185+G185)</f>
        <v/>
      </c>
      <c r="M185" s="7">
        <f>IF(OR(K185="",L185=""),"",K185/(K185+L185))</f>
        <v/>
      </c>
      <c r="N185" s="7">
        <f>IF(M185="","",BETA.INV(0.025,K185,L185))</f>
        <v/>
      </c>
      <c r="O185" s="7">
        <f>IF(M185="","",BETA.INV(0.975,K185,L185))</f>
        <v/>
      </c>
      <c r="P185" s="5">
        <f>IF(F185+G185=0,"先填真/假计数",IF(F185+G185&lt;30,"组合样本太少",IF(MIN(F185,G185)&lt;5,"结果类别不足","可作CPT参考；逻辑权重仍需整体拟合")))</f>
        <v/>
      </c>
      <c r="Q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5">
        <f>IF(OR(I186="",F186=""),"",I186+F186)</f>
        <v/>
      </c>
      <c r="L186" s="5">
        <f>IF(OR(J186="",G186=""),"",J186+G186)</f>
        <v/>
      </c>
      <c r="M186" s="7">
        <f>IF(OR(K186="",L186=""),"",K186/(K186+L186))</f>
        <v/>
      </c>
      <c r="N186" s="7">
        <f>IF(M186="","",BETA.INV(0.025,K186,L186))</f>
        <v/>
      </c>
      <c r="O186" s="7">
        <f>IF(M186="","",BETA.INV(0.975,K186,L186))</f>
        <v/>
      </c>
      <c r="P186" s="5">
        <f>IF(F186+G186=0,"先填真/假计数",IF(F186+G186&lt;30,"组合样本太少",IF(MIN(F186,G186)&lt;5,"结果类别不足","可作CPT参考；逻辑权重仍需整体拟合")))</f>
        <v/>
      </c>
      <c r="Q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5">
        <f>IF(OR(I187="",F187=""),"",I187+F187)</f>
        <v/>
      </c>
      <c r="L187" s="5">
        <f>IF(OR(J187="",G187=""),"",J187+G187)</f>
        <v/>
      </c>
      <c r="M187" s="7">
        <f>IF(OR(K187="",L187=""),"",K187/(K187+L187))</f>
        <v/>
      </c>
      <c r="N187" s="7">
        <f>IF(M187="","",BETA.INV(0.025,K187,L187))</f>
        <v/>
      </c>
      <c r="O187" s="7">
        <f>IF(M187="","",BETA.INV(0.975,K187,L187))</f>
        <v/>
      </c>
      <c r="P187" s="5">
        <f>IF(F187+G187=0,"先填真/假计数",IF(F187+G187&lt;30,"组合样本太少",IF(MIN(F187,G187)&lt;5,"结果类别不足","可作CPT参考；逻辑权重仍需整体拟合")))</f>
        <v/>
      </c>
      <c r="Q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5">
        <f>IF(OR(I188="",F188=""),"",I188+F188)</f>
        <v/>
      </c>
      <c r="L188" s="5">
        <f>IF(OR(J188="",G188=""),"",J188+G188)</f>
        <v/>
      </c>
      <c r="M188" s="7">
        <f>IF(OR(K188="",L188=""),"",K188/(K188+L188))</f>
        <v/>
      </c>
      <c r="N188" s="7">
        <f>IF(M188="","",BETA.INV(0.025,K188,L188))</f>
        <v/>
      </c>
      <c r="O188" s="7">
        <f>IF(M188="","",BETA.INV(0.975,K188,L188))</f>
        <v/>
      </c>
      <c r="P188" s="5">
        <f>IF(F188+G188=0,"先填真/假计数",IF(F188+G188&lt;30,"组合样本太少",IF(MIN(F188,G188)&lt;5,"结果类别不足","可作CPT参考；逻辑权重仍需整体拟合")))</f>
        <v/>
      </c>
      <c r="Q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5">
        <f>IF(OR(I189="",F189=""),"",I189+F189)</f>
        <v/>
      </c>
      <c r="L189" s="5">
        <f>IF(OR(J189="",G189=""),"",J189+G189)</f>
        <v/>
      </c>
      <c r="M189" s="7">
        <f>IF(OR(K189="",L189=""),"",K189/(K189+L189))</f>
        <v/>
      </c>
      <c r="N189" s="7">
        <f>IF(M189="","",BETA.INV(0.025,K189,L189))</f>
        <v/>
      </c>
      <c r="O189" s="7">
        <f>IF(M189="","",BETA.INV(0.975,K189,L189))</f>
        <v/>
      </c>
      <c r="P189" s="5">
        <f>IF(F189+G189=0,"先填真/假计数",IF(F189+G189&lt;30,"组合样本太少",IF(MIN(F189,G189)&lt;5,"结果类别不足","可作CPT参考；逻辑权重仍需整体拟合")))</f>
        <v/>
      </c>
      <c r="Q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5">
        <f>IF(OR(I190="",F190=""),"",I190+F190)</f>
        <v/>
      </c>
      <c r="L190" s="5">
        <f>IF(OR(J190="",G190=""),"",J190+G190)</f>
        <v/>
      </c>
      <c r="M190" s="7">
        <f>IF(OR(K190="",L190=""),"",K190/(K190+L190))</f>
        <v/>
      </c>
      <c r="N190" s="7">
        <f>IF(M190="","",BETA.INV(0.025,K190,L190))</f>
        <v/>
      </c>
      <c r="O190" s="7">
        <f>IF(M190="","",BETA.INV(0.975,K190,L190))</f>
        <v/>
      </c>
      <c r="P190" s="5">
        <f>IF(F190+G190=0,"先填真/假计数",IF(F190+G190&lt;30,"组合样本太少",IF(MIN(F190,G190)&lt;5,"结果类别不足","可作CPT参考；逻辑权重仍需整体拟合")))</f>
        <v/>
      </c>
      <c r="Q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5">
        <f>IF(OR(I191="",F191=""),"",I191+F191)</f>
        <v/>
      </c>
      <c r="L191" s="5">
        <f>IF(OR(J191="",G191=""),"",J191+G191)</f>
        <v/>
      </c>
      <c r="M191" s="7">
        <f>IF(OR(K191="",L191=""),"",K191/(K191+L191))</f>
        <v/>
      </c>
      <c r="N191" s="7">
        <f>IF(M191="","",BETA.INV(0.025,K191,L191))</f>
        <v/>
      </c>
      <c r="O191" s="7">
        <f>IF(M191="","",BETA.INV(0.975,K191,L191))</f>
        <v/>
      </c>
      <c r="P191" s="5">
        <f>IF(F191+G191=0,"先填真/假计数",IF(F191+G191&lt;30,"组合样本太少",IF(MIN(F191,G191)&lt;5,"结果类别不足","可作CPT参考；逻辑权重仍需整体拟合")))</f>
        <v/>
      </c>
      <c r="Q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5">
        <f>IF(OR(I192="",F192=""),"",I192+F192)</f>
        <v/>
      </c>
      <c r="L192" s="5">
        <f>IF(OR(J192="",G192=""),"",J192+G192)</f>
        <v/>
      </c>
      <c r="M192" s="7">
        <f>IF(OR(K192="",L192=""),"",K192/(K192+L192))</f>
        <v/>
      </c>
      <c r="N192" s="7">
        <f>IF(M192="","",BETA.INV(0.025,K192,L192))</f>
        <v/>
      </c>
      <c r="O192" s="7">
        <f>IF(M192="","",BETA.INV(0.975,K192,L192))</f>
        <v/>
      </c>
      <c r="P192" s="5">
        <f>IF(F192+G192=0,"先填真/假计数",IF(F192+G192&lt;30,"组合样本太少",IF(MIN(F192,G192)&lt;5,"结果类别不足","可作CPT参考；逻辑权重仍需整体拟合")))</f>
        <v/>
      </c>
      <c r="Q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5">
        <f>IF(OR(I193="",F193=""),"",I193+F193)</f>
        <v/>
      </c>
      <c r="L193" s="5">
        <f>IF(OR(J193="",G193=""),"",J193+G193)</f>
        <v/>
      </c>
      <c r="M193" s="7">
        <f>IF(OR(K193="",L193=""),"",K193/(K193+L193))</f>
        <v/>
      </c>
      <c r="N193" s="7">
        <f>IF(M193="","",BETA.INV(0.025,K193,L193))</f>
        <v/>
      </c>
      <c r="O193" s="7">
        <f>IF(M193="","",BETA.INV(0.975,K193,L193))</f>
        <v/>
      </c>
      <c r="P193" s="5">
        <f>IF(F193+G193=0,"先填真/假计数",IF(F193+G193&lt;30,"组合样本太少",IF(MIN(F193,G193)&lt;5,"结果类别不足","可作CPT参考；逻辑权重仍需整体拟合")))</f>
        <v/>
      </c>
      <c r="Q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5">
        <f>IF(OR(I194="",F194=""),"",I194+F194)</f>
        <v/>
      </c>
      <c r="L194" s="5">
        <f>IF(OR(J194="",G194=""),"",J194+G194)</f>
        <v/>
      </c>
      <c r="M194" s="7">
        <f>IF(OR(K194="",L194=""),"",K194/(K194+L194))</f>
        <v/>
      </c>
      <c r="N194" s="7">
        <f>IF(M194="","",BETA.INV(0.025,K194,L194))</f>
        <v/>
      </c>
      <c r="O194" s="7">
        <f>IF(M194="","",BETA.INV(0.975,K194,L194))</f>
        <v/>
      </c>
      <c r="P194" s="5">
        <f>IF(F194+G194=0,"先填真/假计数",IF(F194+G194&lt;30,"组合样本太少",IF(MIN(F194,G194)&lt;5,"结果类别不足","可作CPT参考；逻辑权重仍需整体拟合")))</f>
        <v/>
      </c>
      <c r="Q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5">
        <f>IF(OR(I195="",F195=""),"",I195+F195)</f>
        <v/>
      </c>
      <c r="L195" s="5">
        <f>IF(OR(J195="",G195=""),"",J195+G195)</f>
        <v/>
      </c>
      <c r="M195" s="7">
        <f>IF(OR(K195="",L195=""),"",K195/(K195+L195))</f>
        <v/>
      </c>
      <c r="N195" s="7">
        <f>IF(M195="","",BETA.INV(0.025,K195,L195))</f>
        <v/>
      </c>
      <c r="O195" s="7">
        <f>IF(M195="","",BETA.INV(0.975,K195,L195))</f>
        <v/>
      </c>
      <c r="P195" s="5">
        <f>IF(F195+G195=0,"先填真/假计数",IF(F195+G195&lt;30,"组合样本太少",IF(MIN(F195,G195)&lt;5,"结果类别不足","可作CPT参考；逻辑权重仍需整体拟合")))</f>
        <v/>
      </c>
      <c r="Q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5">
        <f>IF(OR(I196="",F196=""),"",I196+F196)</f>
        <v/>
      </c>
      <c r="L196" s="5">
        <f>IF(OR(J196="",G196=""),"",J196+G196)</f>
        <v/>
      </c>
      <c r="M196" s="7">
        <f>IF(OR(K196="",L196=""),"",K196/(K196+L196))</f>
        <v/>
      </c>
      <c r="N196" s="7">
        <f>IF(M196="","",BETA.INV(0.025,K196,L196))</f>
        <v/>
      </c>
      <c r="O196" s="7">
        <f>IF(M196="","",BETA.INV(0.975,K196,L196))</f>
        <v/>
      </c>
      <c r="P196" s="5">
        <f>IF(F196+G196=0,"先填真/假计数",IF(F196+G196&lt;30,"组合样本太少",IF(MIN(F196,G196)&lt;5,"结果类别不足","可作CPT参考；逻辑权重仍需整体拟合")))</f>
        <v/>
      </c>
      <c r="Q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5">
        <f>IF(OR(I197="",F197=""),"",I197+F197)</f>
        <v/>
      </c>
      <c r="L197" s="5">
        <f>IF(OR(J197="",G197=""),"",J197+G197)</f>
        <v/>
      </c>
      <c r="M197" s="7">
        <f>IF(OR(K197="",L197=""),"",K197/(K197+L197))</f>
        <v/>
      </c>
      <c r="N197" s="7">
        <f>IF(M197="","",BETA.INV(0.025,K197,L197))</f>
        <v/>
      </c>
      <c r="O197" s="7">
        <f>IF(M197="","",BETA.INV(0.975,K197,L197))</f>
        <v/>
      </c>
      <c r="P197" s="5">
        <f>IF(F197+G197=0,"先填真/假计数",IF(F197+G197&lt;30,"组合样本太少",IF(MIN(F197,G197)&lt;5,"结果类别不足","可作CPT参考；逻辑权重仍需整体拟合")))</f>
        <v/>
      </c>
      <c r="Q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5">
        <f>IF(OR(I198="",F198=""),"",I198+F198)</f>
        <v/>
      </c>
      <c r="L198" s="5">
        <f>IF(OR(J198="",G198=""),"",J198+G198)</f>
        <v/>
      </c>
      <c r="M198" s="7">
        <f>IF(OR(K198="",L198=""),"",K198/(K198+L198))</f>
        <v/>
      </c>
      <c r="N198" s="7">
        <f>IF(M198="","",BETA.INV(0.025,K198,L198))</f>
        <v/>
      </c>
      <c r="O198" s="7">
        <f>IF(M198="","",BETA.INV(0.975,K198,L198))</f>
        <v/>
      </c>
      <c r="P198" s="5">
        <f>IF(F198+G198=0,"先填真/假计数",IF(F198+G198&lt;30,"组合样本太少",IF(MIN(F198,G198)&lt;5,"结果类别不足","可作CPT参考；逻辑权重仍需整体拟合")))</f>
        <v/>
      </c>
      <c r="Q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5">
        <f>IF(OR(I199="",F199=""),"",I199+F199)</f>
        <v/>
      </c>
      <c r="L199" s="5">
        <f>IF(OR(J199="",G199=""),"",J199+G199)</f>
        <v/>
      </c>
      <c r="M199" s="7">
        <f>IF(OR(K199="",L199=""),"",K199/(K199+L199))</f>
        <v/>
      </c>
      <c r="N199" s="7">
        <f>IF(M199="","",BETA.INV(0.025,K199,L199))</f>
        <v/>
      </c>
      <c r="O199" s="7">
        <f>IF(M199="","",BETA.INV(0.975,K199,L199))</f>
        <v/>
      </c>
      <c r="P199" s="5">
        <f>IF(F199+G199=0,"先填真/假计数",IF(F199+G199&lt;30,"组合样本太少",IF(MIN(F199,G199)&lt;5,"结果类别不足","可作CPT参考；逻辑权重仍需整体拟合")))</f>
        <v/>
      </c>
      <c r="Q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5">
        <f>IF(OR(I200="",F200=""),"",I200+F200)</f>
        <v/>
      </c>
      <c r="L200" s="5">
        <f>IF(OR(J200="",G200=""),"",J200+G200)</f>
        <v/>
      </c>
      <c r="M200" s="7">
        <f>IF(OR(K200="",L200=""),"",K200/(K200+L200))</f>
        <v/>
      </c>
      <c r="N200" s="7">
        <f>IF(M200="","",BETA.INV(0.025,K200,L200))</f>
        <v/>
      </c>
      <c r="O200" s="7">
        <f>IF(M200="","",BETA.INV(0.975,K200,L200))</f>
        <v/>
      </c>
      <c r="P200" s="5">
        <f>IF(F200+G200=0,"先填真/假计数",IF(F200+G200&lt;30,"组合样本太少",IF(MIN(F200,G200)&lt;5,"结果类别不足","可作CPT参考；逻辑权重仍需整体拟合")))</f>
        <v/>
      </c>
      <c r="Q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5">
        <f>IF(OR(I201="",F201=""),"",I201+F201)</f>
        <v/>
      </c>
      <c r="L201" s="5">
        <f>IF(OR(J201="",G201=""),"",J201+G201)</f>
        <v/>
      </c>
      <c r="M201" s="7">
        <f>IF(OR(K201="",L201=""),"",K201/(K201+L201))</f>
        <v/>
      </c>
      <c r="N201" s="7">
        <f>IF(M201="","",BETA.INV(0.025,K201,L201))</f>
        <v/>
      </c>
      <c r="O201" s="7">
        <f>IF(M201="","",BETA.INV(0.975,K201,L201))</f>
        <v/>
      </c>
      <c r="P201" s="5">
        <f>IF(F201+G201=0,"先填真/假计数",IF(F201+G201&lt;30,"组合样本太少",IF(MIN(F201,G201)&lt;5,"结果类别不足","可作CPT参考；逻辑权重仍需整体拟合")))</f>
        <v/>
      </c>
      <c r="Q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5">
        <f>IF(OR(I202="",F202=""),"",I202+F202)</f>
        <v/>
      </c>
      <c r="L202" s="5">
        <f>IF(OR(J202="",G202=""),"",J202+G202)</f>
        <v/>
      </c>
      <c r="M202" s="7">
        <f>IF(OR(K202="",L202=""),"",K202/(K202+L202))</f>
        <v/>
      </c>
      <c r="N202" s="7">
        <f>IF(M202="","",BETA.INV(0.025,K202,L202))</f>
        <v/>
      </c>
      <c r="O202" s="7">
        <f>IF(M202="","",BETA.INV(0.975,K202,L202))</f>
        <v/>
      </c>
      <c r="P202" s="5">
        <f>IF(F202+G202=0,"先填真/假计数",IF(F202+G202&lt;30,"组合样本太少",IF(MIN(F202,G202)&lt;5,"结果类别不足","可作CPT参考；逻辑权重仍需整体拟合")))</f>
        <v/>
      </c>
      <c r="Q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5">
        <f>IF(OR(I203="",F203=""),"",I203+F203)</f>
        <v/>
      </c>
      <c r="L203" s="5">
        <f>IF(OR(J203="",G203=""),"",J203+G203)</f>
        <v/>
      </c>
      <c r="M203" s="7">
        <f>IF(OR(K203="",L203=""),"",K203/(K203+L203))</f>
        <v/>
      </c>
      <c r="N203" s="7">
        <f>IF(M203="","",BETA.INV(0.025,K203,L203))</f>
        <v/>
      </c>
      <c r="O203" s="7">
        <f>IF(M203="","",BETA.INV(0.975,K203,L203))</f>
        <v/>
      </c>
      <c r="P203" s="5">
        <f>IF(F203+G203=0,"先填真/假计数",IF(F203+G203&lt;30,"组合样本太少",IF(MIN(F203,G203)&lt;5,"结果类别不足","可作CPT参考；逻辑权重仍需整体拟合")))</f>
        <v/>
      </c>
      <c r="Q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5">
        <f>IF(OR(I204="",F204=""),"",I204+F204)</f>
        <v/>
      </c>
      <c r="L204" s="5">
        <f>IF(OR(J204="",G204=""),"",J204+G204)</f>
        <v/>
      </c>
      <c r="M204" s="7">
        <f>IF(OR(K204="",L204=""),"",K204/(K204+L204))</f>
        <v/>
      </c>
      <c r="N204" s="7">
        <f>IF(M204="","",BETA.INV(0.025,K204,L204))</f>
        <v/>
      </c>
      <c r="O204" s="7">
        <f>IF(M204="","",BETA.INV(0.975,K204,L204))</f>
        <v/>
      </c>
      <c r="P204" s="5">
        <f>IF(F204+G204=0,"先填真/假计数",IF(F204+G204&lt;30,"组合样本太少",IF(MIN(F204,G204)&lt;5,"结果类别不足","可作CPT参考；逻辑权重仍需整体拟合")))</f>
        <v/>
      </c>
      <c r="Q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5">
        <f>IF(OR(I205="",F205=""),"",I205+F205)</f>
        <v/>
      </c>
      <c r="L205" s="5">
        <f>IF(OR(J205="",G205=""),"",J205+G205)</f>
        <v/>
      </c>
      <c r="M205" s="7">
        <f>IF(OR(K205="",L205=""),"",K205/(K205+L205))</f>
        <v/>
      </c>
      <c r="N205" s="7">
        <f>IF(M205="","",BETA.INV(0.025,K205,L205))</f>
        <v/>
      </c>
      <c r="O205" s="7">
        <f>IF(M205="","",BETA.INV(0.975,K205,L205))</f>
        <v/>
      </c>
      <c r="P205" s="5">
        <f>IF(F205+G205=0,"先填真/假计数",IF(F205+G205&lt;30,"组合样本太少",IF(MIN(F205,G205)&lt;5,"结果类别不足","可作CPT参考；逻辑权重仍需整体拟合")))</f>
        <v/>
      </c>
      <c r="Q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5">
        <f>IF(OR(I206="",F206=""),"",I206+F206)</f>
        <v/>
      </c>
      <c r="L206" s="5">
        <f>IF(OR(J206="",G206=""),"",J206+G206)</f>
        <v/>
      </c>
      <c r="M206" s="7">
        <f>IF(OR(K206="",L206=""),"",K206/(K206+L206))</f>
        <v/>
      </c>
      <c r="N206" s="7">
        <f>IF(M206="","",BETA.INV(0.025,K206,L206))</f>
        <v/>
      </c>
      <c r="O206" s="7">
        <f>IF(M206="","",BETA.INV(0.975,K206,L206))</f>
        <v/>
      </c>
      <c r="P206" s="5">
        <f>IF(F206+G206=0,"先填真/假计数",IF(F206+G206&lt;30,"组合样本太少",IF(MIN(F206,G206)&lt;5,"结果类别不足","可作CPT参考；逻辑权重仍需整体拟合")))</f>
        <v/>
      </c>
      <c r="Q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5">
        <f>IF(OR(I207="",F207=""),"",I207+F207)</f>
        <v/>
      </c>
      <c r="L207" s="5">
        <f>IF(OR(J207="",G207=""),"",J207+G207)</f>
        <v/>
      </c>
      <c r="M207" s="7">
        <f>IF(OR(K207="",L207=""),"",K207/(K207+L207))</f>
        <v/>
      </c>
      <c r="N207" s="7">
        <f>IF(M207="","",BETA.INV(0.025,K207,L207))</f>
        <v/>
      </c>
      <c r="O207" s="7">
        <f>IF(M207="","",BETA.INV(0.975,K207,L207))</f>
        <v/>
      </c>
      <c r="P207" s="5">
        <f>IF(F207+G207=0,"先填真/假计数",IF(F207+G207&lt;30,"组合样本太少",IF(MIN(F207,G207)&lt;5,"结果类别不足","可作CPT参考；逻辑权重仍需整体拟合")))</f>
        <v/>
      </c>
      <c r="Q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5">
        <f>IF(OR(I208="",F208=""),"",I208+F208)</f>
        <v/>
      </c>
      <c r="L208" s="5">
        <f>IF(OR(J208="",G208=""),"",J208+G208)</f>
        <v/>
      </c>
      <c r="M208" s="7">
        <f>IF(OR(K208="",L208=""),"",K208/(K208+L208))</f>
        <v/>
      </c>
      <c r="N208" s="7">
        <f>IF(M208="","",BETA.INV(0.025,K208,L208))</f>
        <v/>
      </c>
      <c r="O208" s="7">
        <f>IF(M208="","",BETA.INV(0.975,K208,L208))</f>
        <v/>
      </c>
      <c r="P208" s="5">
        <f>IF(F208+G208=0,"先填真/假计数",IF(F208+G208&lt;30,"组合样本太少",IF(MIN(F208,G208)&lt;5,"结果类别不足","可作CPT参考；逻辑权重仍需整体拟合")))</f>
        <v/>
      </c>
      <c r="Q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5">
        <f>IF(OR(I209="",F209=""),"",I209+F209)</f>
        <v/>
      </c>
      <c r="L209" s="5">
        <f>IF(OR(J209="",G209=""),"",J209+G209)</f>
        <v/>
      </c>
      <c r="M209" s="7">
        <f>IF(OR(K209="",L209=""),"",K209/(K209+L209))</f>
        <v/>
      </c>
      <c r="N209" s="7">
        <f>IF(M209="","",BETA.INV(0.025,K209,L209))</f>
        <v/>
      </c>
      <c r="O209" s="7">
        <f>IF(M209="","",BETA.INV(0.975,K209,L209))</f>
        <v/>
      </c>
      <c r="P209" s="5">
        <f>IF(F209+G209=0,"先填真/假计数",IF(F209+G209&lt;30,"组合样本太少",IF(MIN(F209,G209)&lt;5,"结果类别不足","可作CPT参考；逻辑权重仍需整体拟合")))</f>
        <v/>
      </c>
      <c r="Q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5">
        <f>IF(OR(I210="",F210=""),"",I210+F210)</f>
        <v/>
      </c>
      <c r="L210" s="5">
        <f>IF(OR(J210="",G210=""),"",J210+G210)</f>
        <v/>
      </c>
      <c r="M210" s="7">
        <f>IF(OR(K210="",L210=""),"",K210/(K210+L210))</f>
        <v/>
      </c>
      <c r="N210" s="7">
        <f>IF(M210="","",BETA.INV(0.025,K210,L210))</f>
        <v/>
      </c>
      <c r="O210" s="7">
        <f>IF(M210="","",BETA.INV(0.975,K210,L210))</f>
        <v/>
      </c>
      <c r="P210" s="5">
        <f>IF(F210+G210=0,"先填真/假计数",IF(F210+G210&lt;30,"组合样本太少",IF(MIN(F210,G210)&lt;5,"结果类别不足","可作CPT参考；逻辑权重仍需整体拟合")))</f>
        <v/>
      </c>
      <c r="Q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5">
        <f>IF(OR(I211="",F211=""),"",I211+F211)</f>
        <v/>
      </c>
      <c r="L211" s="5">
        <f>IF(OR(J211="",G211=""),"",J211+G211)</f>
        <v/>
      </c>
      <c r="M211" s="7">
        <f>IF(OR(K211="",L211=""),"",K211/(K211+L211))</f>
        <v/>
      </c>
      <c r="N211" s="7">
        <f>IF(M211="","",BETA.INV(0.025,K211,L211))</f>
        <v/>
      </c>
      <c r="O211" s="7">
        <f>IF(M211="","",BETA.INV(0.975,K211,L211))</f>
        <v/>
      </c>
      <c r="P211" s="5">
        <f>IF(F211+G211=0,"先填真/假计数",IF(F211+G211&lt;30,"组合样本太少",IF(MIN(F211,G211)&lt;5,"结果类别不足","可作CPT参考；逻辑权重仍需整体拟合")))</f>
        <v/>
      </c>
      <c r="Q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5">
        <f>IF(OR(I212="",F212=""),"",I212+F212)</f>
        <v/>
      </c>
      <c r="L212" s="5">
        <f>IF(OR(J212="",G212=""),"",J212+G212)</f>
        <v/>
      </c>
      <c r="M212" s="7">
        <f>IF(OR(K212="",L212=""),"",K212/(K212+L212))</f>
        <v/>
      </c>
      <c r="N212" s="7">
        <f>IF(M212="","",BETA.INV(0.025,K212,L212))</f>
        <v/>
      </c>
      <c r="O212" s="7">
        <f>IF(M212="","",BETA.INV(0.975,K212,L212))</f>
        <v/>
      </c>
      <c r="P212" s="5">
        <f>IF(F212+G212=0,"先填真/假计数",IF(F212+G212&lt;30,"组合样本太少",IF(MIN(F212,G212)&lt;5,"结果类别不足","可作CPT参考；逻辑权重仍需整体拟合")))</f>
        <v/>
      </c>
      <c r="Q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5">
        <f>IF(OR(I213="",F213=""),"",I213+F213)</f>
        <v/>
      </c>
      <c r="L213" s="5">
        <f>IF(OR(J213="",G213=""),"",J213+G213)</f>
        <v/>
      </c>
      <c r="M213" s="7">
        <f>IF(OR(K213="",L213=""),"",K213/(K213+L213))</f>
        <v/>
      </c>
      <c r="N213" s="7">
        <f>IF(M213="","",BETA.INV(0.025,K213,L213))</f>
        <v/>
      </c>
      <c r="O213" s="7">
        <f>IF(M213="","",BETA.INV(0.975,K213,L213))</f>
        <v/>
      </c>
      <c r="P213" s="5">
        <f>IF(F213+G213=0,"先填真/假计数",IF(F213+G213&lt;30,"组合样本太少",IF(MIN(F213,G213)&lt;5,"结果类别不足","可作CPT参考；逻辑权重仍需整体拟合")))</f>
        <v/>
      </c>
      <c r="Q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5">
        <f>IF(OR(I214="",F214=""),"",I214+F214)</f>
        <v/>
      </c>
      <c r="L214" s="5">
        <f>IF(OR(J214="",G214=""),"",J214+G214)</f>
        <v/>
      </c>
      <c r="M214" s="7">
        <f>IF(OR(K214="",L214=""),"",K214/(K214+L214))</f>
        <v/>
      </c>
      <c r="N214" s="7">
        <f>IF(M214="","",BETA.INV(0.025,K214,L214))</f>
        <v/>
      </c>
      <c r="O214" s="7">
        <f>IF(M214="","",BETA.INV(0.975,K214,L214))</f>
        <v/>
      </c>
      <c r="P214" s="5">
        <f>IF(F214+G214=0,"先填真/假计数",IF(F214+G214&lt;30,"组合样本太少",IF(MIN(F214,G214)&lt;5,"结果类别不足","可作CPT参考；逻辑权重仍需整体拟合")))</f>
        <v/>
      </c>
      <c r="Q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5">
        <f>IF(OR(I215="",F215=""),"",I215+F215)</f>
        <v/>
      </c>
      <c r="L215" s="5">
        <f>IF(OR(J215="",G215=""),"",J215+G215)</f>
        <v/>
      </c>
      <c r="M215" s="7">
        <f>IF(OR(K215="",L215=""),"",K215/(K215+L215))</f>
        <v/>
      </c>
      <c r="N215" s="7">
        <f>IF(M215="","",BETA.INV(0.025,K215,L215))</f>
        <v/>
      </c>
      <c r="O215" s="7">
        <f>IF(M215="","",BETA.INV(0.975,K215,L215))</f>
        <v/>
      </c>
      <c r="P215" s="5">
        <f>IF(F215+G215=0,"先填真/假计数",IF(F215+G215&lt;30,"组合样本太少",IF(MIN(F215,G215)&lt;5,"结果类别不足","可作CPT参考；逻辑权重仍需整体拟合")))</f>
        <v/>
      </c>
      <c r="Q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5">
        <f>IF(OR(I216="",F216=""),"",I216+F216)</f>
        <v/>
      </c>
      <c r="L216" s="5">
        <f>IF(OR(J216="",G216=""),"",J216+G216)</f>
        <v/>
      </c>
      <c r="M216" s="7">
        <f>IF(OR(K216="",L216=""),"",K216/(K216+L216))</f>
        <v/>
      </c>
      <c r="N216" s="7">
        <f>IF(M216="","",BETA.INV(0.025,K216,L216))</f>
        <v/>
      </c>
      <c r="O216" s="7">
        <f>IF(M216="","",BETA.INV(0.975,K216,L216))</f>
        <v/>
      </c>
      <c r="P216" s="5">
        <f>IF(F216+G216=0,"先填真/假计数",IF(F216+G216&lt;30,"组合样本太少",IF(MIN(F216,G216)&lt;5,"结果类别不足","可作CPT参考；逻辑权重仍需整体拟合")))</f>
        <v/>
      </c>
      <c r="Q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5">
        <f>IF(OR(I217="",F217=""),"",I217+F217)</f>
        <v/>
      </c>
      <c r="L217" s="5">
        <f>IF(OR(J217="",G217=""),"",J217+G217)</f>
        <v/>
      </c>
      <c r="M217" s="7">
        <f>IF(OR(K217="",L217=""),"",K217/(K217+L217))</f>
        <v/>
      </c>
      <c r="N217" s="7">
        <f>IF(M217="","",BETA.INV(0.025,K217,L217))</f>
        <v/>
      </c>
      <c r="O217" s="7">
        <f>IF(M217="","",BETA.INV(0.975,K217,L217))</f>
        <v/>
      </c>
      <c r="P217" s="5">
        <f>IF(F217+G217=0,"先填真/假计数",IF(F217+G217&lt;30,"组合样本太少",IF(MIN(F217,G217)&lt;5,"结果类别不足","可作CPT参考；逻辑权重仍需整体拟合")))</f>
        <v/>
      </c>
      <c r="Q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5">
        <f>IF(OR(I218="",F218=""),"",I218+F218)</f>
        <v/>
      </c>
      <c r="L218" s="5">
        <f>IF(OR(J218="",G218=""),"",J218+G218)</f>
        <v/>
      </c>
      <c r="M218" s="7">
        <f>IF(OR(K218="",L218=""),"",K218/(K218+L218))</f>
        <v/>
      </c>
      <c r="N218" s="7">
        <f>IF(M218="","",BETA.INV(0.025,K218,L218))</f>
        <v/>
      </c>
      <c r="O218" s="7">
        <f>IF(M218="","",BETA.INV(0.975,K218,L218))</f>
        <v/>
      </c>
      <c r="P218" s="5">
        <f>IF(F218+G218=0,"先填真/假计数",IF(F218+G218&lt;30,"组合样本太少",IF(MIN(F218,G218)&lt;5,"结果类别不足","可作CPT参考；逻辑权重仍需整体拟合")))</f>
        <v/>
      </c>
      <c r="Q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5">
        <f>IF(OR(I219="",F219=""),"",I219+F219)</f>
        <v/>
      </c>
      <c r="L219" s="5">
        <f>IF(OR(J219="",G219=""),"",J219+G219)</f>
        <v/>
      </c>
      <c r="M219" s="7">
        <f>IF(OR(K219="",L219=""),"",K219/(K219+L219))</f>
        <v/>
      </c>
      <c r="N219" s="7">
        <f>IF(M219="","",BETA.INV(0.025,K219,L219))</f>
        <v/>
      </c>
      <c r="O219" s="7">
        <f>IF(M219="","",BETA.INV(0.975,K219,L219))</f>
        <v/>
      </c>
      <c r="P219" s="5">
        <f>IF(F219+G219=0,"先填真/假计数",IF(F219+G219&lt;30,"组合样本太少",IF(MIN(F219,G219)&lt;5,"结果类别不足","可作CPT参考；逻辑权重仍需整体拟合")))</f>
        <v/>
      </c>
      <c r="Q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5">
        <f>IF(OR(I220="",F220=""),"",I220+F220)</f>
        <v/>
      </c>
      <c r="L220" s="5">
        <f>IF(OR(J220="",G220=""),"",J220+G220)</f>
        <v/>
      </c>
      <c r="M220" s="7">
        <f>IF(OR(K220="",L220=""),"",K220/(K220+L220))</f>
        <v/>
      </c>
      <c r="N220" s="7">
        <f>IF(M220="","",BETA.INV(0.025,K220,L220))</f>
        <v/>
      </c>
      <c r="O220" s="7">
        <f>IF(M220="","",BETA.INV(0.975,K220,L220))</f>
        <v/>
      </c>
      <c r="P220" s="5">
        <f>IF(F220+G220=0,"先填真/假计数",IF(F220+G220&lt;30,"组合样本太少",IF(MIN(F220,G220)&lt;5,"结果类别不足","可作CPT参考；逻辑权重仍需整体拟合")))</f>
        <v/>
      </c>
      <c r="Q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5">
        <f>IF(OR(I221="",F221=""),"",I221+F221)</f>
        <v/>
      </c>
      <c r="L221" s="5">
        <f>IF(OR(J221="",G221=""),"",J221+G221)</f>
        <v/>
      </c>
      <c r="M221" s="7">
        <f>IF(OR(K221="",L221=""),"",K221/(K221+L221))</f>
        <v/>
      </c>
      <c r="N221" s="7">
        <f>IF(M221="","",BETA.INV(0.025,K221,L221))</f>
        <v/>
      </c>
      <c r="O221" s="7">
        <f>IF(M221="","",BETA.INV(0.975,K221,L221))</f>
        <v/>
      </c>
      <c r="P221" s="5">
        <f>IF(F221+G221=0,"先填真/假计数",IF(F221+G221&lt;30,"组合样本太少",IF(MIN(F221,G221)&lt;5,"结果类别不足","可作CPT参考；逻辑权重仍需整体拟合")))</f>
        <v/>
      </c>
      <c r="Q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5">
        <f>IF(OR(I222="",F222=""),"",I222+F222)</f>
        <v/>
      </c>
      <c r="L222" s="5">
        <f>IF(OR(J222="",G222=""),"",J222+G222)</f>
        <v/>
      </c>
      <c r="M222" s="7">
        <f>IF(OR(K222="",L222=""),"",K222/(K222+L222))</f>
        <v/>
      </c>
      <c r="N222" s="7">
        <f>IF(M222="","",BETA.INV(0.025,K222,L222))</f>
        <v/>
      </c>
      <c r="O222" s="7">
        <f>IF(M222="","",BETA.INV(0.975,K222,L222))</f>
        <v/>
      </c>
      <c r="P222" s="5">
        <f>IF(F222+G222=0,"先填真/假计数",IF(F222+G222&lt;30,"组合样本太少",IF(MIN(F222,G222)&lt;5,"结果类别不足","可作CPT参考；逻辑权重仍需整体拟合")))</f>
        <v/>
      </c>
      <c r="Q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5">
        <f>IF(OR(I223="",F223=""),"",I223+F223)</f>
        <v/>
      </c>
      <c r="L223" s="5">
        <f>IF(OR(J223="",G223=""),"",J223+G223)</f>
        <v/>
      </c>
      <c r="M223" s="7">
        <f>IF(OR(K223="",L223=""),"",K223/(K223+L223))</f>
        <v/>
      </c>
      <c r="N223" s="7">
        <f>IF(M223="","",BETA.INV(0.025,K223,L223))</f>
        <v/>
      </c>
      <c r="O223" s="7">
        <f>IF(M223="","",BETA.INV(0.975,K223,L223))</f>
        <v/>
      </c>
      <c r="P223" s="5">
        <f>IF(F223+G223=0,"先填真/假计数",IF(F223+G223&lt;30,"组合样本太少",IF(MIN(F223,G223)&lt;5,"结果类别不足","可作CPT参考；逻辑权重仍需整体拟合")))</f>
        <v/>
      </c>
      <c r="Q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5">
        <f>IF(OR(I224="",F224=""),"",I224+F224)</f>
        <v/>
      </c>
      <c r="L224" s="5">
        <f>IF(OR(J224="",G224=""),"",J224+G224)</f>
        <v/>
      </c>
      <c r="M224" s="7">
        <f>IF(OR(K224="",L224=""),"",K224/(K224+L224))</f>
        <v/>
      </c>
      <c r="N224" s="7">
        <f>IF(M224="","",BETA.INV(0.025,K224,L224))</f>
        <v/>
      </c>
      <c r="O224" s="7">
        <f>IF(M224="","",BETA.INV(0.975,K224,L224))</f>
        <v/>
      </c>
      <c r="P224" s="5">
        <f>IF(F224+G224=0,"先填真/假计数",IF(F224+G224&lt;30,"组合样本太少",IF(MIN(F224,G224)&lt;5,"结果类别不足","可作CPT参考；逻辑权重仍需整体拟合")))</f>
        <v/>
      </c>
      <c r="Q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5">
        <f>IF(OR(I225="",F225=""),"",I225+F225)</f>
        <v/>
      </c>
      <c r="L225" s="5">
        <f>IF(OR(J225="",G225=""),"",J225+G225)</f>
        <v/>
      </c>
      <c r="M225" s="7">
        <f>IF(OR(K225="",L225=""),"",K225/(K225+L225))</f>
        <v/>
      </c>
      <c r="N225" s="7">
        <f>IF(M225="","",BETA.INV(0.025,K225,L225))</f>
        <v/>
      </c>
      <c r="O225" s="7">
        <f>IF(M225="","",BETA.INV(0.975,K225,L225))</f>
        <v/>
      </c>
      <c r="P225" s="5">
        <f>IF(F225+G225=0,"先填真/假计数",IF(F225+G225&lt;30,"组合样本太少",IF(MIN(F225,G225)&lt;5,"结果类别不足","可作CPT参考；逻辑权重仍需整体拟合")))</f>
        <v/>
      </c>
      <c r="Q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5">
        <f>IF(OR(I226="",F226=""),"",I226+F226)</f>
        <v/>
      </c>
      <c r="L226" s="5">
        <f>IF(OR(J226="",G226=""),"",J226+G226)</f>
        <v/>
      </c>
      <c r="M226" s="7">
        <f>IF(OR(K226="",L226=""),"",K226/(K226+L226))</f>
        <v/>
      </c>
      <c r="N226" s="7">
        <f>IF(M226="","",BETA.INV(0.025,K226,L226))</f>
        <v/>
      </c>
      <c r="O226" s="7">
        <f>IF(M226="","",BETA.INV(0.975,K226,L226))</f>
        <v/>
      </c>
      <c r="P226" s="5">
        <f>IF(F226+G226=0,"先填真/假计数",IF(F226+G226&lt;30,"组合样本太少",IF(MIN(F226,G226)&lt;5,"结果类别不足","可作CPT参考；逻辑权重仍需整体拟合")))</f>
        <v/>
      </c>
      <c r="Q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5">
        <f>IF(OR(I227="",F227=""),"",I227+F227)</f>
        <v/>
      </c>
      <c r="L227" s="5">
        <f>IF(OR(J227="",G227=""),"",J227+G227)</f>
        <v/>
      </c>
      <c r="M227" s="7">
        <f>IF(OR(K227="",L227=""),"",K227/(K227+L227))</f>
        <v/>
      </c>
      <c r="N227" s="7">
        <f>IF(M227="","",BETA.INV(0.025,K227,L227))</f>
        <v/>
      </c>
      <c r="O227" s="7">
        <f>IF(M227="","",BETA.INV(0.975,K227,L227))</f>
        <v/>
      </c>
      <c r="P227" s="5">
        <f>IF(F227+G227=0,"先填真/假计数",IF(F227+G227&lt;30,"组合样本太少",IF(MIN(F227,G227)&lt;5,"结果类别不足","可作CPT参考；逻辑权重仍需整体拟合")))</f>
        <v/>
      </c>
      <c r="Q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5">
        <f>IF(OR(I228="",F228=""),"",I228+F228)</f>
        <v/>
      </c>
      <c r="L228" s="5">
        <f>IF(OR(J228="",G228=""),"",J228+G228)</f>
        <v/>
      </c>
      <c r="M228" s="7">
        <f>IF(OR(K228="",L228=""),"",K228/(K228+L228))</f>
        <v/>
      </c>
      <c r="N228" s="7">
        <f>IF(M228="","",BETA.INV(0.025,K228,L228))</f>
        <v/>
      </c>
      <c r="O228" s="7">
        <f>IF(M228="","",BETA.INV(0.975,K228,L228))</f>
        <v/>
      </c>
      <c r="P228" s="5">
        <f>IF(F228+G228=0,"先填真/假计数",IF(F228+G228&lt;30,"组合样本太少",IF(MIN(F228,G228)&lt;5,"结果类别不足","可作CPT参考；逻辑权重仍需整体拟合")))</f>
        <v/>
      </c>
      <c r="Q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5">
        <f>IF(OR(I229="",F229=""),"",I229+F229)</f>
        <v/>
      </c>
      <c r="L229" s="5">
        <f>IF(OR(J229="",G229=""),"",J229+G229)</f>
        <v/>
      </c>
      <c r="M229" s="7">
        <f>IF(OR(K229="",L229=""),"",K229/(K229+L229))</f>
        <v/>
      </c>
      <c r="N229" s="7">
        <f>IF(M229="","",BETA.INV(0.025,K229,L229))</f>
        <v/>
      </c>
      <c r="O229" s="7">
        <f>IF(M229="","",BETA.INV(0.975,K229,L229))</f>
        <v/>
      </c>
      <c r="P229" s="5">
        <f>IF(F229+G229=0,"先填真/假计数",IF(F229+G229&lt;30,"组合样本太少",IF(MIN(F229,G229)&lt;5,"结果类别不足","可作CPT参考；逻辑权重仍需整体拟合")))</f>
        <v/>
      </c>
      <c r="Q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5">
        <f>IF(OR(I230="",F230=""),"",I230+F230)</f>
        <v/>
      </c>
      <c r="L230" s="5">
        <f>IF(OR(J230="",G230=""),"",J230+G230)</f>
        <v/>
      </c>
      <c r="M230" s="7">
        <f>IF(OR(K230="",L230=""),"",K230/(K230+L230))</f>
        <v/>
      </c>
      <c r="N230" s="7">
        <f>IF(M230="","",BETA.INV(0.025,K230,L230))</f>
        <v/>
      </c>
      <c r="O230" s="7">
        <f>IF(M230="","",BETA.INV(0.975,K230,L230))</f>
        <v/>
      </c>
      <c r="P230" s="5">
        <f>IF(F230+G230=0,"先填真/假计数",IF(F230+G230&lt;30,"组合样本太少",IF(MIN(F230,G230)&lt;5,"结果类别不足","可作CPT参考；逻辑权重仍需整体拟合")))</f>
        <v/>
      </c>
      <c r="Q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5">
        <f>IF(OR(I231="",F231=""),"",I231+F231)</f>
        <v/>
      </c>
      <c r="L231" s="5">
        <f>IF(OR(J231="",G231=""),"",J231+G231)</f>
        <v/>
      </c>
      <c r="M231" s="7">
        <f>IF(OR(K231="",L231=""),"",K231/(K231+L231))</f>
        <v/>
      </c>
      <c r="N231" s="7">
        <f>IF(M231="","",BETA.INV(0.025,K231,L231))</f>
        <v/>
      </c>
      <c r="O231" s="7">
        <f>IF(M231="","",BETA.INV(0.975,K231,L231))</f>
        <v/>
      </c>
      <c r="P231" s="5">
        <f>IF(F231+G231=0,"先填真/假计数",IF(F231+G231&lt;30,"组合样本太少",IF(MIN(F231,G231)&lt;5,"结果类别不足","可作CPT参考；逻辑权重仍需整体拟合")))</f>
        <v/>
      </c>
      <c r="Q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5">
        <f>IF(OR(I232="",F232=""),"",I232+F232)</f>
        <v/>
      </c>
      <c r="L232" s="5">
        <f>IF(OR(J232="",G232=""),"",J232+G232)</f>
        <v/>
      </c>
      <c r="M232" s="7">
        <f>IF(OR(K232="",L232=""),"",K232/(K232+L232))</f>
        <v/>
      </c>
      <c r="N232" s="7">
        <f>IF(M232="","",BETA.INV(0.025,K232,L232))</f>
        <v/>
      </c>
      <c r="O232" s="7">
        <f>IF(M232="","",BETA.INV(0.975,K232,L232))</f>
        <v/>
      </c>
      <c r="P232" s="5">
        <f>IF(F232+G232=0,"先填真/假计数",IF(F232+G232&lt;30,"组合样本太少",IF(MIN(F232,G232)&lt;5,"结果类别不足","可作CPT参考；逻辑权重仍需整体拟合")))</f>
        <v/>
      </c>
      <c r="Q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5">
        <f>IF(OR(I233="",F233=""),"",I233+F233)</f>
        <v/>
      </c>
      <c r="L233" s="5">
        <f>IF(OR(J233="",G233=""),"",J233+G233)</f>
        <v/>
      </c>
      <c r="M233" s="7">
        <f>IF(OR(K233="",L233=""),"",K233/(K233+L233))</f>
        <v/>
      </c>
      <c r="N233" s="7">
        <f>IF(M233="","",BETA.INV(0.025,K233,L233))</f>
        <v/>
      </c>
      <c r="O233" s="7">
        <f>IF(M233="","",BETA.INV(0.975,K233,L233))</f>
        <v/>
      </c>
      <c r="P233" s="5">
        <f>IF(F233+G233=0,"先填真/假计数",IF(F233+G233&lt;30,"组合样本太少",IF(MIN(F233,G233)&lt;5,"结果类别不足","可作CPT参考；逻辑权重仍需整体拟合")))</f>
        <v/>
      </c>
      <c r="Q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5">
        <f>IF(OR(I234="",F234=""),"",I234+F234)</f>
        <v/>
      </c>
      <c r="L234" s="5">
        <f>IF(OR(J234="",G234=""),"",J234+G234)</f>
        <v/>
      </c>
      <c r="M234" s="7">
        <f>IF(OR(K234="",L234=""),"",K234/(K234+L234))</f>
        <v/>
      </c>
      <c r="N234" s="7">
        <f>IF(M234="","",BETA.INV(0.025,K234,L234))</f>
        <v/>
      </c>
      <c r="O234" s="7">
        <f>IF(M234="","",BETA.INV(0.975,K234,L234))</f>
        <v/>
      </c>
      <c r="P234" s="5">
        <f>IF(F234+G234=0,"先填真/假计数",IF(F234+G234&lt;30,"组合样本太少",IF(MIN(F234,G234)&lt;5,"结果类别不足","可作CPT参考；逻辑权重仍需整体拟合")))</f>
        <v/>
      </c>
      <c r="Q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5">
        <f>IF(OR(I235="",F235=""),"",I235+F235)</f>
        <v/>
      </c>
      <c r="L235" s="5">
        <f>IF(OR(J235="",G235=""),"",J235+G235)</f>
        <v/>
      </c>
      <c r="M235" s="7">
        <f>IF(OR(K235="",L235=""),"",K235/(K235+L235))</f>
        <v/>
      </c>
      <c r="N235" s="7">
        <f>IF(M235="","",BETA.INV(0.025,K235,L235))</f>
        <v/>
      </c>
      <c r="O235" s="7">
        <f>IF(M235="","",BETA.INV(0.975,K235,L235))</f>
        <v/>
      </c>
      <c r="P235" s="5">
        <f>IF(F235+G235=0,"先填真/假计数",IF(F235+G235&lt;30,"组合样本太少",IF(MIN(F235,G235)&lt;5,"结果类别不足","可作CPT参考；逻辑权重仍需整体拟合")))</f>
        <v/>
      </c>
      <c r="Q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5">
        <f>IF(OR(I236="",F236=""),"",I236+F236)</f>
        <v/>
      </c>
      <c r="L236" s="5">
        <f>IF(OR(J236="",G236=""),"",J236+G236)</f>
        <v/>
      </c>
      <c r="M236" s="7">
        <f>IF(OR(K236="",L236=""),"",K236/(K236+L236))</f>
        <v/>
      </c>
      <c r="N236" s="7">
        <f>IF(M236="","",BETA.INV(0.025,K236,L236))</f>
        <v/>
      </c>
      <c r="O236" s="7">
        <f>IF(M236="","",BETA.INV(0.975,K236,L236))</f>
        <v/>
      </c>
      <c r="P236" s="5">
        <f>IF(F236+G236=0,"先填真/假计数",IF(F236+G236&lt;30,"组合样本太少",IF(MIN(F236,G236)&lt;5,"结果类别不足","可作CPT参考；逻辑权重仍需整体拟合")))</f>
        <v/>
      </c>
      <c r="Q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5">
        <f>IF(OR(I237="",F237=""),"",I237+F237)</f>
        <v/>
      </c>
      <c r="L237" s="5">
        <f>IF(OR(J237="",G237=""),"",J237+G237)</f>
        <v/>
      </c>
      <c r="M237" s="7">
        <f>IF(OR(K237="",L237=""),"",K237/(K237+L237))</f>
        <v/>
      </c>
      <c r="N237" s="7">
        <f>IF(M237="","",BETA.INV(0.025,K237,L237))</f>
        <v/>
      </c>
      <c r="O237" s="7">
        <f>IF(M237="","",BETA.INV(0.975,K237,L237))</f>
        <v/>
      </c>
      <c r="P237" s="5">
        <f>IF(F237+G237=0,"先填真/假计数",IF(F237+G237&lt;30,"组合样本太少",IF(MIN(F237,G237)&lt;5,"结果类别不足","可作CPT参考；逻辑权重仍需整体拟合")))</f>
        <v/>
      </c>
      <c r="Q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5">
        <f>IF(OR(I238="",F238=""),"",I238+F238)</f>
        <v/>
      </c>
      <c r="L238" s="5">
        <f>IF(OR(J238="",G238=""),"",J238+G238)</f>
        <v/>
      </c>
      <c r="M238" s="7">
        <f>IF(OR(K238="",L238=""),"",K238/(K238+L238))</f>
        <v/>
      </c>
      <c r="N238" s="7">
        <f>IF(M238="","",BETA.INV(0.025,K238,L238))</f>
        <v/>
      </c>
      <c r="O238" s="7">
        <f>IF(M238="","",BETA.INV(0.975,K238,L238))</f>
        <v/>
      </c>
      <c r="P238" s="5">
        <f>IF(F238+G238=0,"先填真/假计数",IF(F238+G238&lt;30,"组合样本太少",IF(MIN(F238,G238)&lt;5,"结果类别不足","可作CPT参考；逻辑权重仍需整体拟合")))</f>
        <v/>
      </c>
      <c r="Q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5">
        <f>IF(OR(I239="",F239=""),"",I239+F239)</f>
        <v/>
      </c>
      <c r="L239" s="5">
        <f>IF(OR(J239="",G239=""),"",J239+G239)</f>
        <v/>
      </c>
      <c r="M239" s="7">
        <f>IF(OR(K239="",L239=""),"",K239/(K239+L239))</f>
        <v/>
      </c>
      <c r="N239" s="7">
        <f>IF(M239="","",BETA.INV(0.025,K239,L239))</f>
        <v/>
      </c>
      <c r="O239" s="7">
        <f>IF(M239="","",BETA.INV(0.975,K239,L239))</f>
        <v/>
      </c>
      <c r="P239" s="5">
        <f>IF(F239+G239=0,"先填真/假计数",IF(F239+G239&lt;30,"组合样本太少",IF(MIN(F239,G239)&lt;5,"结果类别不足","可作CPT参考；逻辑权重仍需整体拟合")))</f>
        <v/>
      </c>
      <c r="Q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5">
        <f>IF(OR(I240="",F240=""),"",I240+F240)</f>
        <v/>
      </c>
      <c r="L240" s="5">
        <f>IF(OR(J240="",G240=""),"",J240+G240)</f>
        <v/>
      </c>
      <c r="M240" s="7">
        <f>IF(OR(K240="",L240=""),"",K240/(K240+L240))</f>
        <v/>
      </c>
      <c r="N240" s="7">
        <f>IF(M240="","",BETA.INV(0.025,K240,L240))</f>
        <v/>
      </c>
      <c r="O240" s="7">
        <f>IF(M240="","",BETA.INV(0.975,K240,L240))</f>
        <v/>
      </c>
      <c r="P240" s="5">
        <f>IF(F240+G240=0,"先填真/假计数",IF(F240+G240&lt;30,"组合样本太少",IF(MIN(F240,G240)&lt;5,"结果类别不足","可作CPT参考；逻辑权重仍需整体拟合")))</f>
        <v/>
      </c>
      <c r="Q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5">
        <f>IF(OR(I241="",F241=""),"",I241+F241)</f>
        <v/>
      </c>
      <c r="L241" s="5">
        <f>IF(OR(J241="",G241=""),"",J241+G241)</f>
        <v/>
      </c>
      <c r="M241" s="7">
        <f>IF(OR(K241="",L241=""),"",K241/(K241+L241))</f>
        <v/>
      </c>
      <c r="N241" s="7">
        <f>IF(M241="","",BETA.INV(0.025,K241,L241))</f>
        <v/>
      </c>
      <c r="O241" s="7">
        <f>IF(M241="","",BETA.INV(0.975,K241,L241))</f>
        <v/>
      </c>
      <c r="P241" s="5">
        <f>IF(F241+G241=0,"先填真/假计数",IF(F241+G241&lt;30,"组合样本太少",IF(MIN(F241,G241)&lt;5,"结果类别不足","可作CPT参考；逻辑权重仍需整体拟合")))</f>
        <v/>
      </c>
      <c r="Q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5">
        <f>IF(OR(I242="",F242=""),"",I242+F242)</f>
        <v/>
      </c>
      <c r="L242" s="5">
        <f>IF(OR(J242="",G242=""),"",J242+G242)</f>
        <v/>
      </c>
      <c r="M242" s="7">
        <f>IF(OR(K242="",L242=""),"",K242/(K242+L242))</f>
        <v/>
      </c>
      <c r="N242" s="7">
        <f>IF(M242="","",BETA.INV(0.025,K242,L242))</f>
        <v/>
      </c>
      <c r="O242" s="7">
        <f>IF(M242="","",BETA.INV(0.975,K242,L242))</f>
        <v/>
      </c>
      <c r="P242" s="5">
        <f>IF(F242+G242=0,"先填真/假计数",IF(F242+G242&lt;30,"组合样本太少",IF(MIN(F242,G242)&lt;5,"结果类别不足","可作CPT参考；逻辑权重仍需整体拟合")))</f>
        <v/>
      </c>
      <c r="Q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5">
        <f>IF(OR(I243="",F243=""),"",I243+F243)</f>
        <v/>
      </c>
      <c r="L243" s="5">
        <f>IF(OR(J243="",G243=""),"",J243+G243)</f>
        <v/>
      </c>
      <c r="M243" s="7">
        <f>IF(OR(K243="",L243=""),"",K243/(K243+L243))</f>
        <v/>
      </c>
      <c r="N243" s="7">
        <f>IF(M243="","",BETA.INV(0.025,K243,L243))</f>
        <v/>
      </c>
      <c r="O243" s="7">
        <f>IF(M243="","",BETA.INV(0.975,K243,L243))</f>
        <v/>
      </c>
      <c r="P243" s="5">
        <f>IF(F243+G243=0,"先填真/假计数",IF(F243+G243&lt;30,"组合样本太少",IF(MIN(F243,G243)&lt;5,"结果类别不足","可作CPT参考；逻辑权重仍需整体拟合")))</f>
        <v/>
      </c>
      <c r="Q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5">
        <f>IF(OR(I244="",F244=""),"",I244+F244)</f>
        <v/>
      </c>
      <c r="L244" s="5">
        <f>IF(OR(J244="",G244=""),"",J244+G244)</f>
        <v/>
      </c>
      <c r="M244" s="7">
        <f>IF(OR(K244="",L244=""),"",K244/(K244+L244))</f>
        <v/>
      </c>
      <c r="N244" s="7">
        <f>IF(M244="","",BETA.INV(0.025,K244,L244))</f>
        <v/>
      </c>
      <c r="O244" s="7">
        <f>IF(M244="","",BETA.INV(0.975,K244,L244))</f>
        <v/>
      </c>
      <c r="P244" s="5">
        <f>IF(F244+G244=0,"先填真/假计数",IF(F244+G244&lt;30,"组合样本太少",IF(MIN(F244,G244)&lt;5,"结果类别不足","可作CPT参考；逻辑权重仍需整体拟合")))</f>
        <v/>
      </c>
      <c r="Q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5">
        <f>IF(OR(I245="",F245=""),"",I245+F245)</f>
        <v/>
      </c>
      <c r="L245" s="5">
        <f>IF(OR(J245="",G245=""),"",J245+G245)</f>
        <v/>
      </c>
      <c r="M245" s="7">
        <f>IF(OR(K245="",L245=""),"",K245/(K245+L245))</f>
        <v/>
      </c>
      <c r="N245" s="7">
        <f>IF(M245="","",BETA.INV(0.025,K245,L245))</f>
        <v/>
      </c>
      <c r="O245" s="7">
        <f>IF(M245="","",BETA.INV(0.975,K245,L245))</f>
        <v/>
      </c>
      <c r="P245" s="5">
        <f>IF(F245+G245=0,"先填真/假计数",IF(F245+G245&lt;30,"组合样本太少",IF(MIN(F245,G245)&lt;5,"结果类别不足","可作CPT参考；逻辑权重仍需整体拟合")))</f>
        <v/>
      </c>
      <c r="Q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5">
        <f>IF(OR(I246="",F246=""),"",I246+F246)</f>
        <v/>
      </c>
      <c r="L246" s="5">
        <f>IF(OR(J246="",G246=""),"",J246+G246)</f>
        <v/>
      </c>
      <c r="M246" s="7">
        <f>IF(OR(K246="",L246=""),"",K246/(K246+L246))</f>
        <v/>
      </c>
      <c r="N246" s="7">
        <f>IF(M246="","",BETA.INV(0.025,K246,L246))</f>
        <v/>
      </c>
      <c r="O246" s="7">
        <f>IF(M246="","",BETA.INV(0.975,K246,L246))</f>
        <v/>
      </c>
      <c r="P246" s="5">
        <f>IF(F246+G246=0,"先填真/假计数",IF(F246+G246&lt;30,"组合样本太少",IF(MIN(F246,G246)&lt;5,"结果类别不足","可作CPT参考；逻辑权重仍需整体拟合")))</f>
        <v/>
      </c>
      <c r="Q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5">
        <f>IF(OR(I247="",F247=""),"",I247+F247)</f>
        <v/>
      </c>
      <c r="L247" s="5">
        <f>IF(OR(J247="",G247=""),"",J247+G247)</f>
        <v/>
      </c>
      <c r="M247" s="7">
        <f>IF(OR(K247="",L247=""),"",K247/(K247+L247))</f>
        <v/>
      </c>
      <c r="N247" s="7">
        <f>IF(M247="","",BETA.INV(0.025,K247,L247))</f>
        <v/>
      </c>
      <c r="O247" s="7">
        <f>IF(M247="","",BETA.INV(0.975,K247,L247))</f>
        <v/>
      </c>
      <c r="P247" s="5">
        <f>IF(F247+G247=0,"先填真/假计数",IF(F247+G247&lt;30,"组合样本太少",IF(MIN(F247,G247)&lt;5,"结果类别不足","可作CPT参考；逻辑权重仍需整体拟合")))</f>
        <v/>
      </c>
      <c r="Q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5">
        <f>IF(OR(I248="",F248=""),"",I248+F248)</f>
        <v/>
      </c>
      <c r="L248" s="5">
        <f>IF(OR(J248="",G248=""),"",J248+G248)</f>
        <v/>
      </c>
      <c r="M248" s="7">
        <f>IF(OR(K248="",L248=""),"",K248/(K248+L248))</f>
        <v/>
      </c>
      <c r="N248" s="7">
        <f>IF(M248="","",BETA.INV(0.025,K248,L248))</f>
        <v/>
      </c>
      <c r="O248" s="7">
        <f>IF(M248="","",BETA.INV(0.975,K248,L248))</f>
        <v/>
      </c>
      <c r="P248" s="5">
        <f>IF(F248+G248=0,"先填真/假计数",IF(F248+G248&lt;30,"组合样本太少",IF(MIN(F248,G248)&lt;5,"结果类别不足","可作CPT参考；逻辑权重仍需整体拟合")))</f>
        <v/>
      </c>
      <c r="Q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5">
        <f>IF(OR(I249="",F249=""),"",I249+F249)</f>
        <v/>
      </c>
      <c r="L249" s="5">
        <f>IF(OR(J249="",G249=""),"",J249+G249)</f>
        <v/>
      </c>
      <c r="M249" s="7">
        <f>IF(OR(K249="",L249=""),"",K249/(K249+L249))</f>
        <v/>
      </c>
      <c r="N249" s="7">
        <f>IF(M249="","",BETA.INV(0.025,K249,L249))</f>
        <v/>
      </c>
      <c r="O249" s="7">
        <f>IF(M249="","",BETA.INV(0.975,K249,L249))</f>
        <v/>
      </c>
      <c r="P249" s="5">
        <f>IF(F249+G249=0,"先填真/假计数",IF(F249+G249&lt;30,"组合样本太少",IF(MIN(F249,G249)&lt;5,"结果类别不足","可作CPT参考；逻辑权重仍需整体拟合")))</f>
        <v/>
      </c>
      <c r="Q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5">
        <f>IF(OR(I250="",F250=""),"",I250+F250)</f>
        <v/>
      </c>
      <c r="L250" s="5">
        <f>IF(OR(J250="",G250=""),"",J250+G250)</f>
        <v/>
      </c>
      <c r="M250" s="7">
        <f>IF(OR(K250="",L250=""),"",K250/(K250+L250))</f>
        <v/>
      </c>
      <c r="N250" s="7">
        <f>IF(M250="","",BETA.INV(0.025,K250,L250))</f>
        <v/>
      </c>
      <c r="O250" s="7">
        <f>IF(M250="","",BETA.INV(0.975,K250,L250))</f>
        <v/>
      </c>
      <c r="P250" s="5">
        <f>IF(F250+G250=0,"先填真/假计数",IF(F250+G250&lt;30,"组合样本太少",IF(MIN(F250,G250)&lt;5,"结果类别不足","可作CPT参考；逻辑权重仍需整体拟合")))</f>
        <v/>
      </c>
      <c r="Q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5">
        <f>IF(OR(I251="",F251=""),"",I251+F251)</f>
        <v/>
      </c>
      <c r="L251" s="5">
        <f>IF(OR(J251="",G251=""),"",J251+G251)</f>
        <v/>
      </c>
      <c r="M251" s="7">
        <f>IF(OR(K251="",L251=""),"",K251/(K251+L251))</f>
        <v/>
      </c>
      <c r="N251" s="7">
        <f>IF(M251="","",BETA.INV(0.025,K251,L251))</f>
        <v/>
      </c>
      <c r="O251" s="7">
        <f>IF(M251="","",BETA.INV(0.975,K251,L251))</f>
        <v/>
      </c>
      <c r="P251" s="5">
        <f>IF(F251+G251=0,"先填真/假计数",IF(F251+G251&lt;30,"组合样本太少",IF(MIN(F251,G251)&lt;5,"结果类别不足","可作CPT参考；逻辑权重仍需整体拟合")))</f>
        <v/>
      </c>
      <c r="Q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5">
        <f>IF(OR(I252="",F252=""),"",I252+F252)</f>
        <v/>
      </c>
      <c r="L252" s="5">
        <f>IF(OR(J252="",G252=""),"",J252+G252)</f>
        <v/>
      </c>
      <c r="M252" s="7">
        <f>IF(OR(K252="",L252=""),"",K252/(K252+L252))</f>
        <v/>
      </c>
      <c r="N252" s="7">
        <f>IF(M252="","",BETA.INV(0.025,K252,L252))</f>
        <v/>
      </c>
      <c r="O252" s="7">
        <f>IF(M252="","",BETA.INV(0.975,K252,L252))</f>
        <v/>
      </c>
      <c r="P252" s="5">
        <f>IF(F252+G252=0,"先填真/假计数",IF(F252+G252&lt;30,"组合样本太少",IF(MIN(F252,G252)&lt;5,"结果类别不足","可作CPT参考；逻辑权重仍需整体拟合")))</f>
        <v/>
      </c>
      <c r="Q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5">
        <f>IF(OR(I253="",F253=""),"",I253+F253)</f>
        <v/>
      </c>
      <c r="L253" s="5">
        <f>IF(OR(J253="",G253=""),"",J253+G253)</f>
        <v/>
      </c>
      <c r="M253" s="7">
        <f>IF(OR(K253="",L253=""),"",K253/(K253+L253))</f>
        <v/>
      </c>
      <c r="N253" s="7">
        <f>IF(M253="","",BETA.INV(0.025,K253,L253))</f>
        <v/>
      </c>
      <c r="O253" s="7">
        <f>IF(M253="","",BETA.INV(0.975,K253,L253))</f>
        <v/>
      </c>
      <c r="P253" s="5">
        <f>IF(F253+G253=0,"先填真/假计数",IF(F253+G253&lt;30,"组合样本太少",IF(MIN(F253,G253)&lt;5,"结果类别不足","可作CPT参考；逻辑权重仍需整体拟合")))</f>
        <v/>
      </c>
      <c r="Q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5">
        <f>IF(OR(I254="",F254=""),"",I254+F254)</f>
        <v/>
      </c>
      <c r="L254" s="5">
        <f>IF(OR(J254="",G254=""),"",J254+G254)</f>
        <v/>
      </c>
      <c r="M254" s="7">
        <f>IF(OR(K254="",L254=""),"",K254/(K254+L254))</f>
        <v/>
      </c>
      <c r="N254" s="7">
        <f>IF(M254="","",BETA.INV(0.025,K254,L254))</f>
        <v/>
      </c>
      <c r="O254" s="7">
        <f>IF(M254="","",BETA.INV(0.975,K254,L254))</f>
        <v/>
      </c>
      <c r="P254" s="5">
        <f>IF(F254+G254=0,"先填真/假计数",IF(F254+G254&lt;30,"组合样本太少",IF(MIN(F254,G254)&lt;5,"结果类别不足","可作CPT参考；逻辑权重仍需整体拟合")))</f>
        <v/>
      </c>
      <c r="Q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5">
        <f>IF(OR(I255="",F255=""),"",I255+F255)</f>
        <v/>
      </c>
      <c r="L255" s="5">
        <f>IF(OR(J255="",G255=""),"",J255+G255)</f>
        <v/>
      </c>
      <c r="M255" s="7">
        <f>IF(OR(K255="",L255=""),"",K255/(K255+L255))</f>
        <v/>
      </c>
      <c r="N255" s="7">
        <f>IF(M255="","",BETA.INV(0.025,K255,L255))</f>
        <v/>
      </c>
      <c r="O255" s="7">
        <f>IF(M255="","",BETA.INV(0.975,K255,L255))</f>
        <v/>
      </c>
      <c r="P255" s="5">
        <f>IF(F255+G255=0,"先填真/假计数",IF(F255+G255&lt;30,"组合样本太少",IF(MIN(F255,G255)&lt;5,"结果类别不足","可作CPT参考；逻辑权重仍需整体拟合")))</f>
        <v/>
      </c>
      <c r="Q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5">
        <f>IF(OR(I256="",F256=""),"",I256+F256)</f>
        <v/>
      </c>
      <c r="L256" s="5">
        <f>IF(OR(J256="",G256=""),"",J256+G256)</f>
        <v/>
      </c>
      <c r="M256" s="7">
        <f>IF(OR(K256="",L256=""),"",K256/(K256+L256))</f>
        <v/>
      </c>
      <c r="N256" s="7">
        <f>IF(M256="","",BETA.INV(0.025,K256,L256))</f>
        <v/>
      </c>
      <c r="O256" s="7">
        <f>IF(M256="","",BETA.INV(0.975,K256,L256))</f>
        <v/>
      </c>
      <c r="P256" s="5">
        <f>IF(F256+G256=0,"先填真/假计数",IF(F256+G256&lt;30,"组合样本太少",IF(MIN(F256,G256)&lt;5,"结果类别不足","可作CPT参考；逻辑权重仍需整体拟合")))</f>
        <v/>
      </c>
      <c r="Q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5">
        <f>IF(OR(I257="",F257=""),"",I257+F257)</f>
        <v/>
      </c>
      <c r="L257" s="5">
        <f>IF(OR(J257="",G257=""),"",J257+G257)</f>
        <v/>
      </c>
      <c r="M257" s="7">
        <f>IF(OR(K257="",L257=""),"",K257/(K257+L257))</f>
        <v/>
      </c>
      <c r="N257" s="7">
        <f>IF(M257="","",BETA.INV(0.025,K257,L257))</f>
        <v/>
      </c>
      <c r="O257" s="7">
        <f>IF(M257="","",BETA.INV(0.975,K257,L257))</f>
        <v/>
      </c>
      <c r="P257" s="5">
        <f>IF(F257+G257=0,"先填真/假计数",IF(F257+G257&lt;30,"组合样本太少",IF(MIN(F257,G257)&lt;5,"结果类别不足","可作CPT参考；逻辑权重仍需整体拟合")))</f>
        <v/>
      </c>
      <c r="Q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5">
        <f>IF(OR(I258="",F258=""),"",I258+F258)</f>
        <v/>
      </c>
      <c r="L258" s="5">
        <f>IF(OR(J258="",G258=""),"",J258+G258)</f>
        <v/>
      </c>
      <c r="M258" s="7">
        <f>IF(OR(K258="",L258=""),"",K258/(K258+L258))</f>
        <v/>
      </c>
      <c r="N258" s="7">
        <f>IF(M258="","",BETA.INV(0.025,K258,L258))</f>
        <v/>
      </c>
      <c r="O258" s="7">
        <f>IF(M258="","",BETA.INV(0.975,K258,L258))</f>
        <v/>
      </c>
      <c r="P258" s="5">
        <f>IF(F258+G258=0,"先填真/假计数",IF(F258+G258&lt;30,"组合样本太少",IF(MIN(F258,G258)&lt;5,"结果类别不足","可作CPT参考；逻辑权重仍需整体拟合")))</f>
        <v/>
      </c>
      <c r="Q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5">
        <f>IF(OR(I259="",F259=""),"",I259+F259)</f>
        <v/>
      </c>
      <c r="L259" s="5">
        <f>IF(OR(J259="",G259=""),"",J259+G259)</f>
        <v/>
      </c>
      <c r="M259" s="7">
        <f>IF(OR(K259="",L259=""),"",K259/(K259+L259))</f>
        <v/>
      </c>
      <c r="N259" s="7">
        <f>IF(M259="","",BETA.INV(0.025,K259,L259))</f>
        <v/>
      </c>
      <c r="O259" s="7">
        <f>IF(M259="","",BETA.INV(0.975,K259,L259))</f>
        <v/>
      </c>
      <c r="P259" s="5">
        <f>IF(F259+G259=0,"先填真/假计数",IF(F259+G259&lt;30,"组合样本太少",IF(MIN(F259,G259)&lt;5,"结果类别不足","可作CPT参考；逻辑权重仍需整体拟合")))</f>
        <v/>
      </c>
      <c r="Q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5">
        <f>IF(OR(I260="",F260=""),"",I260+F260)</f>
        <v/>
      </c>
      <c r="L260" s="5">
        <f>IF(OR(J260="",G260=""),"",J260+G260)</f>
        <v/>
      </c>
      <c r="M260" s="7">
        <f>IF(OR(K260="",L260=""),"",K260/(K260+L260))</f>
        <v/>
      </c>
      <c r="N260" s="7">
        <f>IF(M260="","",BETA.INV(0.025,K260,L260))</f>
        <v/>
      </c>
      <c r="O260" s="7">
        <f>IF(M260="","",BETA.INV(0.975,K260,L260))</f>
        <v/>
      </c>
      <c r="P260" s="5">
        <f>IF(F260+G260=0,"先填真/假计数",IF(F260+G260&lt;30,"组合样本太少",IF(MIN(F260,G260)&lt;5,"结果类别不足","可作CPT参考；逻辑权重仍需整体拟合")))</f>
        <v/>
      </c>
      <c r="Q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5">
        <f>IF(OR(I261="",F261=""),"",I261+F261)</f>
        <v/>
      </c>
      <c r="L261" s="5">
        <f>IF(OR(J261="",G261=""),"",J261+G261)</f>
        <v/>
      </c>
      <c r="M261" s="7">
        <f>IF(OR(K261="",L261=""),"",K261/(K261+L261))</f>
        <v/>
      </c>
      <c r="N261" s="7">
        <f>IF(M261="","",BETA.INV(0.025,K261,L261))</f>
        <v/>
      </c>
      <c r="O261" s="7">
        <f>IF(M261="","",BETA.INV(0.975,K261,L261))</f>
        <v/>
      </c>
      <c r="P261" s="5">
        <f>IF(F261+G261=0,"先填真/假计数",IF(F261+G261&lt;30,"组合样本太少",IF(MIN(F261,G261)&lt;5,"结果类别不足","可作CPT参考；逻辑权重仍需整体拟合")))</f>
        <v/>
      </c>
      <c r="Q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5">
        <f>IF(OR(I262="",F262=""),"",I262+F262)</f>
        <v/>
      </c>
      <c r="L262" s="5">
        <f>IF(OR(J262="",G262=""),"",J262+G262)</f>
        <v/>
      </c>
      <c r="M262" s="7">
        <f>IF(OR(K262="",L262=""),"",K262/(K262+L262))</f>
        <v/>
      </c>
      <c r="N262" s="7">
        <f>IF(M262="","",BETA.INV(0.025,K262,L262))</f>
        <v/>
      </c>
      <c r="O262" s="7">
        <f>IF(M262="","",BETA.INV(0.975,K262,L262))</f>
        <v/>
      </c>
      <c r="P262" s="5">
        <f>IF(F262+G262=0,"先填真/假计数",IF(F262+G262&lt;30,"组合样本太少",IF(MIN(F262,G262)&lt;5,"结果类别不足","可作CPT参考；逻辑权重仍需整体拟合")))</f>
        <v/>
      </c>
      <c r="Q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5">
        <f>IF(OR(I263="",F263=""),"",I263+F263)</f>
        <v/>
      </c>
      <c r="L263" s="5">
        <f>IF(OR(J263="",G263=""),"",J263+G263)</f>
        <v/>
      </c>
      <c r="M263" s="7">
        <f>IF(OR(K263="",L263=""),"",K263/(K263+L263))</f>
        <v/>
      </c>
      <c r="N263" s="7">
        <f>IF(M263="","",BETA.INV(0.025,K263,L263))</f>
        <v/>
      </c>
      <c r="O263" s="7">
        <f>IF(M263="","",BETA.INV(0.975,K263,L263))</f>
        <v/>
      </c>
      <c r="P263" s="5">
        <f>IF(F263+G263=0,"先填真/假计数",IF(F263+G263&lt;30,"组合样本太少",IF(MIN(F263,G263)&lt;5,"结果类别不足","可作CPT参考；逻辑权重仍需整体拟合")))</f>
        <v/>
      </c>
      <c r="Q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5">
        <f>IF(OR(I264="",F264=""),"",I264+F264)</f>
        <v/>
      </c>
      <c r="L264" s="5">
        <f>IF(OR(J264="",G264=""),"",J264+G264)</f>
        <v/>
      </c>
      <c r="M264" s="7">
        <f>IF(OR(K264="",L264=""),"",K264/(K264+L264))</f>
        <v/>
      </c>
      <c r="N264" s="7">
        <f>IF(M264="","",BETA.INV(0.025,K264,L264))</f>
        <v/>
      </c>
      <c r="O264" s="7">
        <f>IF(M264="","",BETA.INV(0.975,K264,L264))</f>
        <v/>
      </c>
      <c r="P264" s="5">
        <f>IF(F264+G264=0,"先填真/假计数",IF(F264+G264&lt;30,"组合样本太少",IF(MIN(F264,G264)&lt;5,"结果类别不足","可作CPT参考；逻辑权重仍需整体拟合")))</f>
        <v/>
      </c>
      <c r="Q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5">
        <f>IF(OR(I265="",F265=""),"",I265+F265)</f>
        <v/>
      </c>
      <c r="L265" s="5">
        <f>IF(OR(J265="",G265=""),"",J265+G265)</f>
        <v/>
      </c>
      <c r="M265" s="7">
        <f>IF(OR(K265="",L265=""),"",K265/(K265+L265))</f>
        <v/>
      </c>
      <c r="N265" s="7">
        <f>IF(M265="","",BETA.INV(0.025,K265,L265))</f>
        <v/>
      </c>
      <c r="O265" s="7">
        <f>IF(M265="","",BETA.INV(0.975,K265,L265))</f>
        <v/>
      </c>
      <c r="P265" s="5">
        <f>IF(F265+G265=0,"先填真/假计数",IF(F265+G265&lt;30,"组合样本太少",IF(MIN(F265,G265)&lt;5,"结果类别不足","可作CPT参考；逻辑权重仍需整体拟合")))</f>
        <v/>
      </c>
      <c r="Q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5">
        <f>IF(OR(I266="",F266=""),"",I266+F266)</f>
        <v/>
      </c>
      <c r="L266" s="5">
        <f>IF(OR(J266="",G266=""),"",J266+G266)</f>
        <v/>
      </c>
      <c r="M266" s="7">
        <f>IF(OR(K266="",L266=""),"",K266/(K266+L266))</f>
        <v/>
      </c>
      <c r="N266" s="7">
        <f>IF(M266="","",BETA.INV(0.025,K266,L266))</f>
        <v/>
      </c>
      <c r="O266" s="7">
        <f>IF(M266="","",BETA.INV(0.975,K266,L266))</f>
        <v/>
      </c>
      <c r="P266" s="5">
        <f>IF(F266+G266=0,"先填真/假计数",IF(F266+G266&lt;30,"组合样本太少",IF(MIN(F266,G266)&lt;5,"结果类别不足","可作CPT参考；逻辑权重仍需整体拟合")))</f>
        <v/>
      </c>
      <c r="Q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5">
        <f>IF(OR(I267="",F267=""),"",I267+F267)</f>
        <v/>
      </c>
      <c r="L267" s="5">
        <f>IF(OR(J267="",G267=""),"",J267+G267)</f>
        <v/>
      </c>
      <c r="M267" s="7">
        <f>IF(OR(K267="",L267=""),"",K267/(K267+L267))</f>
        <v/>
      </c>
      <c r="N267" s="7">
        <f>IF(M267="","",BETA.INV(0.025,K267,L267))</f>
        <v/>
      </c>
      <c r="O267" s="7">
        <f>IF(M267="","",BETA.INV(0.975,K267,L267))</f>
        <v/>
      </c>
      <c r="P267" s="5">
        <f>IF(F267+G267=0,"先填真/假计数",IF(F267+G267&lt;30,"组合样本太少",IF(MIN(F267,G267)&lt;5,"结果类别不足","可作CPT参考；逻辑权重仍需整体拟合")))</f>
        <v/>
      </c>
      <c r="Q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5">
        <f>IF(OR(I268="",F268=""),"",I268+F268)</f>
        <v/>
      </c>
      <c r="L268" s="5">
        <f>IF(OR(J268="",G268=""),"",J268+G268)</f>
        <v/>
      </c>
      <c r="M268" s="7">
        <f>IF(OR(K268="",L268=""),"",K268/(K268+L268))</f>
        <v/>
      </c>
      <c r="N268" s="7">
        <f>IF(M268="","",BETA.INV(0.025,K268,L268))</f>
        <v/>
      </c>
      <c r="O268" s="7">
        <f>IF(M268="","",BETA.INV(0.975,K268,L268))</f>
        <v/>
      </c>
      <c r="P268" s="5">
        <f>IF(F268+G268=0,"先填真/假计数",IF(F268+G268&lt;30,"组合样本太少",IF(MIN(F268,G268)&lt;5,"结果类别不足","可作CPT参考；逻辑权重仍需整体拟合")))</f>
        <v/>
      </c>
      <c r="Q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5">
        <f>IF(OR(I269="",F269=""),"",I269+F269)</f>
        <v/>
      </c>
      <c r="L269" s="5">
        <f>IF(OR(J269="",G269=""),"",J269+G269)</f>
        <v/>
      </c>
      <c r="M269" s="7">
        <f>IF(OR(K269="",L269=""),"",K269/(K269+L269))</f>
        <v/>
      </c>
      <c r="N269" s="7">
        <f>IF(M269="","",BETA.INV(0.025,K269,L269))</f>
        <v/>
      </c>
      <c r="O269" s="7">
        <f>IF(M269="","",BETA.INV(0.975,K269,L269))</f>
        <v/>
      </c>
      <c r="P269" s="5">
        <f>IF(F269+G269=0,"先填真/假计数",IF(F269+G269&lt;30,"组合样本太少",IF(MIN(F269,G269)&lt;5,"结果类别不足","可作CPT参考；逻辑权重仍需整体拟合")))</f>
        <v/>
      </c>
      <c r="Q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5">
        <f>IF(OR(I270="",F270=""),"",I270+F270)</f>
        <v/>
      </c>
      <c r="L270" s="5">
        <f>IF(OR(J270="",G270=""),"",J270+G270)</f>
        <v/>
      </c>
      <c r="M270" s="7">
        <f>IF(OR(K270="",L270=""),"",K270/(K270+L270))</f>
        <v/>
      </c>
      <c r="N270" s="7">
        <f>IF(M270="","",BETA.INV(0.025,K270,L270))</f>
        <v/>
      </c>
      <c r="O270" s="7">
        <f>IF(M270="","",BETA.INV(0.975,K270,L270))</f>
        <v/>
      </c>
      <c r="P270" s="5">
        <f>IF(F270+G270=0,"先填真/假计数",IF(F270+G270&lt;30,"组合样本太少",IF(MIN(F270,G270)&lt;5,"结果类别不足","可作CPT参考；逻辑权重仍需整体拟合")))</f>
        <v/>
      </c>
      <c r="Q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5">
        <f>IF(OR(I271="",F271=""),"",I271+F271)</f>
        <v/>
      </c>
      <c r="L271" s="5">
        <f>IF(OR(J271="",G271=""),"",J271+G271)</f>
        <v/>
      </c>
      <c r="M271" s="7">
        <f>IF(OR(K271="",L271=""),"",K271/(K271+L271))</f>
        <v/>
      </c>
      <c r="N271" s="7">
        <f>IF(M271="","",BETA.INV(0.025,K271,L271))</f>
        <v/>
      </c>
      <c r="O271" s="7">
        <f>IF(M271="","",BETA.INV(0.975,K271,L271))</f>
        <v/>
      </c>
      <c r="P271" s="5">
        <f>IF(F271+G271=0,"先填真/假计数",IF(F271+G271&lt;30,"组合样本太少",IF(MIN(F271,G271)&lt;5,"结果类别不足","可作CPT参考；逻辑权重仍需整体拟合")))</f>
        <v/>
      </c>
      <c r="Q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5">
        <f>IF(OR(I272="",F272=""),"",I272+F272)</f>
        <v/>
      </c>
      <c r="L272" s="5">
        <f>IF(OR(J272="",G272=""),"",J272+G272)</f>
        <v/>
      </c>
      <c r="M272" s="7">
        <f>IF(OR(K272="",L272=""),"",K272/(K272+L272))</f>
        <v/>
      </c>
      <c r="N272" s="7">
        <f>IF(M272="","",BETA.INV(0.025,K272,L272))</f>
        <v/>
      </c>
      <c r="O272" s="7">
        <f>IF(M272="","",BETA.INV(0.975,K272,L272))</f>
        <v/>
      </c>
      <c r="P272" s="5">
        <f>IF(F272+G272=0,"先填真/假计数",IF(F272+G272&lt;30,"组合样本太少",IF(MIN(F272,G272)&lt;5,"结果类别不足","可作CPT参考；逻辑权重仍需整体拟合")))</f>
        <v/>
      </c>
      <c r="Q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5">
        <f>IF(OR(I273="",F273=""),"",I273+F273)</f>
        <v/>
      </c>
      <c r="L273" s="5">
        <f>IF(OR(J273="",G273=""),"",J273+G273)</f>
        <v/>
      </c>
      <c r="M273" s="7">
        <f>IF(OR(K273="",L273=""),"",K273/(K273+L273))</f>
        <v/>
      </c>
      <c r="N273" s="7">
        <f>IF(M273="","",BETA.INV(0.025,K273,L273))</f>
        <v/>
      </c>
      <c r="O273" s="7">
        <f>IF(M273="","",BETA.INV(0.975,K273,L273))</f>
        <v/>
      </c>
      <c r="P273" s="5">
        <f>IF(F273+G273=0,"先填真/假计数",IF(F273+G273&lt;30,"组合样本太少",IF(MIN(F273,G273)&lt;5,"结果类别不足","可作CPT参考；逻辑权重仍需整体拟合")))</f>
        <v/>
      </c>
      <c r="Q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5">
        <f>IF(OR(I274="",F274=""),"",I274+F274)</f>
        <v/>
      </c>
      <c r="L274" s="5">
        <f>IF(OR(J274="",G274=""),"",J274+G274)</f>
        <v/>
      </c>
      <c r="M274" s="7">
        <f>IF(OR(K274="",L274=""),"",K274/(K274+L274))</f>
        <v/>
      </c>
      <c r="N274" s="7">
        <f>IF(M274="","",BETA.INV(0.025,K274,L274))</f>
        <v/>
      </c>
      <c r="O274" s="7">
        <f>IF(M274="","",BETA.INV(0.975,K274,L274))</f>
        <v/>
      </c>
      <c r="P274" s="5">
        <f>IF(F274+G274=0,"先填真/假计数",IF(F274+G274&lt;30,"组合样本太少",IF(MIN(F274,G274)&lt;5,"结果类别不足","可作CPT参考；逻辑权重仍需整体拟合")))</f>
        <v/>
      </c>
      <c r="Q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5">
        <f>IF(OR(I275="",F275=""),"",I275+F275)</f>
        <v/>
      </c>
      <c r="L275" s="5">
        <f>IF(OR(J275="",G275=""),"",J275+G275)</f>
        <v/>
      </c>
      <c r="M275" s="7">
        <f>IF(OR(K275="",L275=""),"",K275/(K275+L275))</f>
        <v/>
      </c>
      <c r="N275" s="7">
        <f>IF(M275="","",BETA.INV(0.025,K275,L275))</f>
        <v/>
      </c>
      <c r="O275" s="7">
        <f>IF(M275="","",BETA.INV(0.975,K275,L275))</f>
        <v/>
      </c>
      <c r="P275" s="5">
        <f>IF(F275+G275=0,"先填真/假计数",IF(F275+G275&lt;30,"组合样本太少",IF(MIN(F275,G275)&lt;5,"结果类别不足","可作CPT参考；逻辑权重仍需整体拟合")))</f>
        <v/>
      </c>
      <c r="Q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5">
        <f>IF(OR(I276="",F276=""),"",I276+F276)</f>
        <v/>
      </c>
      <c r="L276" s="5">
        <f>IF(OR(J276="",G276=""),"",J276+G276)</f>
        <v/>
      </c>
      <c r="M276" s="7">
        <f>IF(OR(K276="",L276=""),"",K276/(K276+L276))</f>
        <v/>
      </c>
      <c r="N276" s="7">
        <f>IF(M276="","",BETA.INV(0.025,K276,L276))</f>
        <v/>
      </c>
      <c r="O276" s="7">
        <f>IF(M276="","",BETA.INV(0.975,K276,L276))</f>
        <v/>
      </c>
      <c r="P276" s="5">
        <f>IF(F276+G276=0,"先填真/假计数",IF(F276+G276&lt;30,"组合样本太少",IF(MIN(F276,G276)&lt;5,"结果类别不足","可作CPT参考；逻辑权重仍需整体拟合")))</f>
        <v/>
      </c>
      <c r="Q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5">
        <f>IF(OR(I277="",F277=""),"",I277+F277)</f>
        <v/>
      </c>
      <c r="L277" s="5">
        <f>IF(OR(J277="",G277=""),"",J277+G277)</f>
        <v/>
      </c>
      <c r="M277" s="7">
        <f>IF(OR(K277="",L277=""),"",K277/(K277+L277))</f>
        <v/>
      </c>
      <c r="N277" s="7">
        <f>IF(M277="","",BETA.INV(0.025,K277,L277))</f>
        <v/>
      </c>
      <c r="O277" s="7">
        <f>IF(M277="","",BETA.INV(0.975,K277,L277))</f>
        <v/>
      </c>
      <c r="P277" s="5">
        <f>IF(F277+G277=0,"先填真/假计数",IF(F277+G277&lt;30,"组合样本太少",IF(MIN(F277,G277)&lt;5,"结果类别不足","可作CPT参考；逻辑权重仍需整体拟合")))</f>
        <v/>
      </c>
      <c r="Q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5">
        <f>IF(OR(I278="",F278=""),"",I278+F278)</f>
        <v/>
      </c>
      <c r="L278" s="5">
        <f>IF(OR(J278="",G278=""),"",J278+G278)</f>
        <v/>
      </c>
      <c r="M278" s="7">
        <f>IF(OR(K278="",L278=""),"",K278/(K278+L278))</f>
        <v/>
      </c>
      <c r="N278" s="7">
        <f>IF(M278="","",BETA.INV(0.025,K278,L278))</f>
        <v/>
      </c>
      <c r="O278" s="7">
        <f>IF(M278="","",BETA.INV(0.975,K278,L278))</f>
        <v/>
      </c>
      <c r="P278" s="5">
        <f>IF(F278+G278=0,"先填真/假计数",IF(F278+G278&lt;30,"组合样本太少",IF(MIN(F278,G278)&lt;5,"结果类别不足","可作CPT参考；逻辑权重仍需整体拟合")))</f>
        <v/>
      </c>
      <c r="Q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5">
        <f>IF(OR(I279="",F279=""),"",I279+F279)</f>
        <v/>
      </c>
      <c r="L279" s="5">
        <f>IF(OR(J279="",G279=""),"",J279+G279)</f>
        <v/>
      </c>
      <c r="M279" s="7">
        <f>IF(OR(K279="",L279=""),"",K279/(K279+L279))</f>
        <v/>
      </c>
      <c r="N279" s="7">
        <f>IF(M279="","",BETA.INV(0.025,K279,L279))</f>
        <v/>
      </c>
      <c r="O279" s="7">
        <f>IF(M279="","",BETA.INV(0.975,K279,L279))</f>
        <v/>
      </c>
      <c r="P279" s="5">
        <f>IF(F279+G279=0,"先填真/假计数",IF(F279+G279&lt;30,"组合样本太少",IF(MIN(F279,G279)&lt;5,"结果类别不足","可作CPT参考；逻辑权重仍需整体拟合")))</f>
        <v/>
      </c>
      <c r="Q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5">
        <f>IF(OR(I280="",F280=""),"",I280+F280)</f>
        <v/>
      </c>
      <c r="L280" s="5">
        <f>IF(OR(J280="",G280=""),"",J280+G280)</f>
        <v/>
      </c>
      <c r="M280" s="7">
        <f>IF(OR(K280="",L280=""),"",K280/(K280+L280))</f>
        <v/>
      </c>
      <c r="N280" s="7">
        <f>IF(M280="","",BETA.INV(0.025,K280,L280))</f>
        <v/>
      </c>
      <c r="O280" s="7">
        <f>IF(M280="","",BETA.INV(0.975,K280,L280))</f>
        <v/>
      </c>
      <c r="P280" s="5">
        <f>IF(F280+G280=0,"先填真/假计数",IF(F280+G280&lt;30,"组合样本太少",IF(MIN(F280,G280)&lt;5,"结果类别不足","可作CPT参考；逻辑权重仍需整体拟合")))</f>
        <v/>
      </c>
      <c r="Q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5">
        <f>IF(OR(I281="",F281=""),"",I281+F281)</f>
        <v/>
      </c>
      <c r="L281" s="5">
        <f>IF(OR(J281="",G281=""),"",J281+G281)</f>
        <v/>
      </c>
      <c r="M281" s="7">
        <f>IF(OR(K281="",L281=""),"",K281/(K281+L281))</f>
        <v/>
      </c>
      <c r="N281" s="7">
        <f>IF(M281="","",BETA.INV(0.025,K281,L281))</f>
        <v/>
      </c>
      <c r="O281" s="7">
        <f>IF(M281="","",BETA.INV(0.975,K281,L281))</f>
        <v/>
      </c>
      <c r="P281" s="5">
        <f>IF(F281+G281=0,"先填真/假计数",IF(F281+G281&lt;30,"组合样本太少",IF(MIN(F281,G281)&lt;5,"结果类别不足","可作CPT参考；逻辑权重仍需整体拟合")))</f>
        <v/>
      </c>
      <c r="Q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5">
        <f>IF(OR(I282="",F282=""),"",I282+F282)</f>
        <v/>
      </c>
      <c r="L282" s="5">
        <f>IF(OR(J282="",G282=""),"",J282+G282)</f>
        <v/>
      </c>
      <c r="M282" s="7">
        <f>IF(OR(K282="",L282=""),"",K282/(K282+L282))</f>
        <v/>
      </c>
      <c r="N282" s="7">
        <f>IF(M282="","",BETA.INV(0.025,K282,L282))</f>
        <v/>
      </c>
      <c r="O282" s="7">
        <f>IF(M282="","",BETA.INV(0.975,K282,L282))</f>
        <v/>
      </c>
      <c r="P282" s="5">
        <f>IF(F282+G282=0,"先填真/假计数",IF(F282+G282&lt;30,"组合样本太少",IF(MIN(F282,G282)&lt;5,"结果类别不足","可作CPT参考；逻辑权重仍需整体拟合")))</f>
        <v/>
      </c>
      <c r="Q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5">
        <f>IF(OR(I283="",F283=""),"",I283+F283)</f>
        <v/>
      </c>
      <c r="L283" s="5">
        <f>IF(OR(J283="",G283=""),"",J283+G283)</f>
        <v/>
      </c>
      <c r="M283" s="7">
        <f>IF(OR(K283="",L283=""),"",K283/(K283+L283))</f>
        <v/>
      </c>
      <c r="N283" s="7">
        <f>IF(M283="","",BETA.INV(0.025,K283,L283))</f>
        <v/>
      </c>
      <c r="O283" s="7">
        <f>IF(M283="","",BETA.INV(0.975,K283,L283))</f>
        <v/>
      </c>
      <c r="P283" s="5">
        <f>IF(F283+G283=0,"先填真/假计数",IF(F283+G283&lt;30,"组合样本太少",IF(MIN(F283,G283)&lt;5,"结果类别不足","可作CPT参考；逻辑权重仍需整体拟合")))</f>
        <v/>
      </c>
      <c r="Q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5">
        <f>IF(OR(I284="",F284=""),"",I284+F284)</f>
        <v/>
      </c>
      <c r="L284" s="5">
        <f>IF(OR(J284="",G284=""),"",J284+G284)</f>
        <v/>
      </c>
      <c r="M284" s="7">
        <f>IF(OR(K284="",L284=""),"",K284/(K284+L284))</f>
        <v/>
      </c>
      <c r="N284" s="7">
        <f>IF(M284="","",BETA.INV(0.025,K284,L284))</f>
        <v/>
      </c>
      <c r="O284" s="7">
        <f>IF(M284="","",BETA.INV(0.975,K284,L284))</f>
        <v/>
      </c>
      <c r="P284" s="5">
        <f>IF(F284+G284=0,"先填真/假计数",IF(F284+G284&lt;30,"组合样本太少",IF(MIN(F284,G284)&lt;5,"结果类别不足","可作CPT参考；逻辑权重仍需整体拟合")))</f>
        <v/>
      </c>
      <c r="Q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5">
        <f>IF(OR(I285="",F285=""),"",I285+F285)</f>
        <v/>
      </c>
      <c r="L285" s="5">
        <f>IF(OR(J285="",G285=""),"",J285+G285)</f>
        <v/>
      </c>
      <c r="M285" s="7">
        <f>IF(OR(K285="",L285=""),"",K285/(K285+L285))</f>
        <v/>
      </c>
      <c r="N285" s="7">
        <f>IF(M285="","",BETA.INV(0.025,K285,L285))</f>
        <v/>
      </c>
      <c r="O285" s="7">
        <f>IF(M285="","",BETA.INV(0.975,K285,L285))</f>
        <v/>
      </c>
      <c r="P285" s="5">
        <f>IF(F285+G285=0,"先填真/假计数",IF(F285+G285&lt;30,"组合样本太少",IF(MIN(F285,G285)&lt;5,"结果类别不足","可作CPT参考；逻辑权重仍需整体拟合")))</f>
        <v/>
      </c>
      <c r="Q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5">
        <f>IF(OR(I286="",F286=""),"",I286+F286)</f>
        <v/>
      </c>
      <c r="L286" s="5">
        <f>IF(OR(J286="",G286=""),"",J286+G286)</f>
        <v/>
      </c>
      <c r="M286" s="7">
        <f>IF(OR(K286="",L286=""),"",K286/(K286+L286))</f>
        <v/>
      </c>
      <c r="N286" s="7">
        <f>IF(M286="","",BETA.INV(0.025,K286,L286))</f>
        <v/>
      </c>
      <c r="O286" s="7">
        <f>IF(M286="","",BETA.INV(0.975,K286,L286))</f>
        <v/>
      </c>
      <c r="P286" s="5">
        <f>IF(F286+G286=0,"先填真/假计数",IF(F286+G286&lt;30,"组合样本太少",IF(MIN(F286,G286)&lt;5,"结果类别不足","可作CPT参考；逻辑权重仍需整体拟合")))</f>
        <v/>
      </c>
      <c r="Q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5">
        <f>IF(OR(I287="",F287=""),"",I287+F287)</f>
        <v/>
      </c>
      <c r="L287" s="5">
        <f>IF(OR(J287="",G287=""),"",J287+G287)</f>
        <v/>
      </c>
      <c r="M287" s="7">
        <f>IF(OR(K287="",L287=""),"",K287/(K287+L287))</f>
        <v/>
      </c>
      <c r="N287" s="7">
        <f>IF(M287="","",BETA.INV(0.025,K287,L287))</f>
        <v/>
      </c>
      <c r="O287" s="7">
        <f>IF(M287="","",BETA.INV(0.975,K287,L287))</f>
        <v/>
      </c>
      <c r="P287" s="5">
        <f>IF(F287+G287=0,"先填真/假计数",IF(F287+G287&lt;30,"组合样本太少",IF(MIN(F287,G287)&lt;5,"结果类别不足","可作CPT参考；逻辑权重仍需整体拟合")))</f>
        <v/>
      </c>
      <c r="Q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5">
        <f>IF(OR(I288="",F288=""),"",I288+F288)</f>
        <v/>
      </c>
      <c r="L288" s="5">
        <f>IF(OR(J288="",G288=""),"",J288+G288)</f>
        <v/>
      </c>
      <c r="M288" s="7">
        <f>IF(OR(K288="",L288=""),"",K288/(K288+L288))</f>
        <v/>
      </c>
      <c r="N288" s="7">
        <f>IF(M288="","",BETA.INV(0.025,K288,L288))</f>
        <v/>
      </c>
      <c r="O288" s="7">
        <f>IF(M288="","",BETA.INV(0.975,K288,L288))</f>
        <v/>
      </c>
      <c r="P288" s="5">
        <f>IF(F288+G288=0,"先填真/假计数",IF(F288+G288&lt;30,"组合样本太少",IF(MIN(F288,G288)&lt;5,"结果类别不足","可作CPT参考；逻辑权重仍需整体拟合")))</f>
        <v/>
      </c>
      <c r="Q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5">
        <f>IF(OR(I289="",F289=""),"",I289+F289)</f>
        <v/>
      </c>
      <c r="L289" s="5">
        <f>IF(OR(J289="",G289=""),"",J289+G289)</f>
        <v/>
      </c>
      <c r="M289" s="7">
        <f>IF(OR(K289="",L289=""),"",K289/(K289+L289))</f>
        <v/>
      </c>
      <c r="N289" s="7">
        <f>IF(M289="","",BETA.INV(0.025,K289,L289))</f>
        <v/>
      </c>
      <c r="O289" s="7">
        <f>IF(M289="","",BETA.INV(0.975,K289,L289))</f>
        <v/>
      </c>
      <c r="P289" s="5">
        <f>IF(F289+G289=0,"先填真/假计数",IF(F289+G289&lt;30,"组合样本太少",IF(MIN(F289,G289)&lt;5,"结果类别不足","可作CPT参考；逻辑权重仍需整体拟合")))</f>
        <v/>
      </c>
      <c r="Q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5">
        <f>IF(OR(I290="",F290=""),"",I290+F290)</f>
        <v/>
      </c>
      <c r="L290" s="5">
        <f>IF(OR(J290="",G290=""),"",J290+G290)</f>
        <v/>
      </c>
      <c r="M290" s="7">
        <f>IF(OR(K290="",L290=""),"",K290/(K290+L290))</f>
        <v/>
      </c>
      <c r="N290" s="7">
        <f>IF(M290="","",BETA.INV(0.025,K290,L290))</f>
        <v/>
      </c>
      <c r="O290" s="7">
        <f>IF(M290="","",BETA.INV(0.975,K290,L290))</f>
        <v/>
      </c>
      <c r="P290" s="5">
        <f>IF(F290+G290=0,"先填真/假计数",IF(F290+G290&lt;30,"组合样本太少",IF(MIN(F290,G290)&lt;5,"结果类别不足","可作CPT参考；逻辑权重仍需整体拟合")))</f>
        <v/>
      </c>
      <c r="Q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5">
        <f>IF(OR(I291="",F291=""),"",I291+F291)</f>
        <v/>
      </c>
      <c r="L291" s="5">
        <f>IF(OR(J291="",G291=""),"",J291+G291)</f>
        <v/>
      </c>
      <c r="M291" s="7">
        <f>IF(OR(K291="",L291=""),"",K291/(K291+L291))</f>
        <v/>
      </c>
      <c r="N291" s="7">
        <f>IF(M291="","",BETA.INV(0.025,K291,L291))</f>
        <v/>
      </c>
      <c r="O291" s="7">
        <f>IF(M291="","",BETA.INV(0.975,K291,L291))</f>
        <v/>
      </c>
      <c r="P291" s="5">
        <f>IF(F291+G291=0,"先填真/假计数",IF(F291+G291&lt;30,"组合样本太少",IF(MIN(F291,G291)&lt;5,"结果类别不足","可作CPT参考；逻辑权重仍需整体拟合")))</f>
        <v/>
      </c>
      <c r="Q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5">
        <f>IF(OR(I292="",F292=""),"",I292+F292)</f>
        <v/>
      </c>
      <c r="L292" s="5">
        <f>IF(OR(J292="",G292=""),"",J292+G292)</f>
        <v/>
      </c>
      <c r="M292" s="7">
        <f>IF(OR(K292="",L292=""),"",K292/(K292+L292))</f>
        <v/>
      </c>
      <c r="N292" s="7">
        <f>IF(M292="","",BETA.INV(0.025,K292,L292))</f>
        <v/>
      </c>
      <c r="O292" s="7">
        <f>IF(M292="","",BETA.INV(0.975,K292,L292))</f>
        <v/>
      </c>
      <c r="P292" s="5">
        <f>IF(F292+G292=0,"先填真/假计数",IF(F292+G292&lt;30,"组合样本太少",IF(MIN(F292,G292)&lt;5,"结果类别不足","可作CPT参考；逻辑权重仍需整体拟合")))</f>
        <v/>
      </c>
      <c r="Q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5">
        <f>IF(OR(I293="",F293=""),"",I293+F293)</f>
        <v/>
      </c>
      <c r="L293" s="5">
        <f>IF(OR(J293="",G293=""),"",J293+G293)</f>
        <v/>
      </c>
      <c r="M293" s="7">
        <f>IF(OR(K293="",L293=""),"",K293/(K293+L293))</f>
        <v/>
      </c>
      <c r="N293" s="7">
        <f>IF(M293="","",BETA.INV(0.025,K293,L293))</f>
        <v/>
      </c>
      <c r="O293" s="7">
        <f>IF(M293="","",BETA.INV(0.975,K293,L293))</f>
        <v/>
      </c>
      <c r="P293" s="5">
        <f>IF(F293+G293=0,"先填真/假计数",IF(F293+G293&lt;30,"组合样本太少",IF(MIN(F293,G293)&lt;5,"结果类别不足","可作CPT参考；逻辑权重仍需整体拟合")))</f>
        <v/>
      </c>
      <c r="Q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5">
        <f>IF(OR(I294="",F294=""),"",I294+F294)</f>
        <v/>
      </c>
      <c r="L294" s="5">
        <f>IF(OR(J294="",G294=""),"",J294+G294)</f>
        <v/>
      </c>
      <c r="M294" s="7">
        <f>IF(OR(K294="",L294=""),"",K294/(K294+L294))</f>
        <v/>
      </c>
      <c r="N294" s="7">
        <f>IF(M294="","",BETA.INV(0.025,K294,L294))</f>
        <v/>
      </c>
      <c r="O294" s="7">
        <f>IF(M294="","",BETA.INV(0.975,K294,L294))</f>
        <v/>
      </c>
      <c r="P294" s="5">
        <f>IF(F294+G294=0,"先填真/假计数",IF(F294+G294&lt;30,"组合样本太少",IF(MIN(F294,G294)&lt;5,"结果类别不足","可作CPT参考；逻辑权重仍需整体拟合")))</f>
        <v/>
      </c>
      <c r="Q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5">
        <f>IF(OR(I295="",F295=""),"",I295+F295)</f>
        <v/>
      </c>
      <c r="L295" s="5">
        <f>IF(OR(J295="",G295=""),"",J295+G295)</f>
        <v/>
      </c>
      <c r="M295" s="7">
        <f>IF(OR(K295="",L295=""),"",K295/(K295+L295))</f>
        <v/>
      </c>
      <c r="N295" s="7">
        <f>IF(M295="","",BETA.INV(0.025,K295,L295))</f>
        <v/>
      </c>
      <c r="O295" s="7">
        <f>IF(M295="","",BETA.INV(0.975,K295,L295))</f>
        <v/>
      </c>
      <c r="P295" s="5">
        <f>IF(F295+G295=0,"先填真/假计数",IF(F295+G295&lt;30,"组合样本太少",IF(MIN(F295,G295)&lt;5,"结果类别不足","可作CPT参考；逻辑权重仍需整体拟合")))</f>
        <v/>
      </c>
      <c r="Q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5">
        <f>IF(OR(I296="",F296=""),"",I296+F296)</f>
        <v/>
      </c>
      <c r="L296" s="5">
        <f>IF(OR(J296="",G296=""),"",J296+G296)</f>
        <v/>
      </c>
      <c r="M296" s="7">
        <f>IF(OR(K296="",L296=""),"",K296/(K296+L296))</f>
        <v/>
      </c>
      <c r="N296" s="7">
        <f>IF(M296="","",BETA.INV(0.025,K296,L296))</f>
        <v/>
      </c>
      <c r="O296" s="7">
        <f>IF(M296="","",BETA.INV(0.975,K296,L296))</f>
        <v/>
      </c>
      <c r="P296" s="5">
        <f>IF(F296+G296=0,"先填真/假计数",IF(F296+G296&lt;30,"组合样本太少",IF(MIN(F296,G296)&lt;5,"结果类别不足","可作CPT参考；逻辑权重仍需整体拟合")))</f>
        <v/>
      </c>
      <c r="Q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5">
        <f>IF(OR(I297="",F297=""),"",I297+F297)</f>
        <v/>
      </c>
      <c r="L297" s="5">
        <f>IF(OR(J297="",G297=""),"",J297+G297)</f>
        <v/>
      </c>
      <c r="M297" s="7">
        <f>IF(OR(K297="",L297=""),"",K297/(K297+L297))</f>
        <v/>
      </c>
      <c r="N297" s="7">
        <f>IF(M297="","",BETA.INV(0.025,K297,L297))</f>
        <v/>
      </c>
      <c r="O297" s="7">
        <f>IF(M297="","",BETA.INV(0.975,K297,L297))</f>
        <v/>
      </c>
      <c r="P297" s="5">
        <f>IF(F297+G297=0,"先填真/假计数",IF(F297+G297&lt;30,"组合样本太少",IF(MIN(F297,G297)&lt;5,"结果类别不足","可作CPT参考；逻辑权重仍需整体拟合")))</f>
        <v/>
      </c>
      <c r="Q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5">
        <f>IF(OR(I298="",F298=""),"",I298+F298)</f>
        <v/>
      </c>
      <c r="L298" s="5">
        <f>IF(OR(J298="",G298=""),"",J298+G298)</f>
        <v/>
      </c>
      <c r="M298" s="7">
        <f>IF(OR(K298="",L298=""),"",K298/(K298+L298))</f>
        <v/>
      </c>
      <c r="N298" s="7">
        <f>IF(M298="","",BETA.INV(0.025,K298,L298))</f>
        <v/>
      </c>
      <c r="O298" s="7">
        <f>IF(M298="","",BETA.INV(0.975,K298,L298))</f>
        <v/>
      </c>
      <c r="P298" s="5">
        <f>IF(F298+G298=0,"先填真/假计数",IF(F298+G298&lt;30,"组合样本太少",IF(MIN(F298,G298)&lt;5,"结果类别不足","可作CPT参考；逻辑权重仍需整体拟合")))</f>
        <v/>
      </c>
      <c r="Q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5">
        <f>IF(OR(I299="",F299=""),"",I299+F299)</f>
        <v/>
      </c>
      <c r="L299" s="5">
        <f>IF(OR(J299="",G299=""),"",J299+G299)</f>
        <v/>
      </c>
      <c r="M299" s="7">
        <f>IF(OR(K299="",L299=""),"",K299/(K299+L299))</f>
        <v/>
      </c>
      <c r="N299" s="7">
        <f>IF(M299="","",BETA.INV(0.025,K299,L299))</f>
        <v/>
      </c>
      <c r="O299" s="7">
        <f>IF(M299="","",BETA.INV(0.975,K299,L299))</f>
        <v/>
      </c>
      <c r="P299" s="5">
        <f>IF(F299+G299=0,"先填真/假计数",IF(F299+G299&lt;30,"组合样本太少",IF(MIN(F299,G299)&lt;5,"结果类别不足","可作CPT参考；逻辑权重仍需整体拟合")))</f>
        <v/>
      </c>
      <c r="Q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5">
        <f>IF(OR(I300="",F300=""),"",I300+F300)</f>
        <v/>
      </c>
      <c r="L300" s="5">
        <f>IF(OR(J300="",G300=""),"",J300+G300)</f>
        <v/>
      </c>
      <c r="M300" s="7">
        <f>IF(OR(K300="",L300=""),"",K300/(K300+L300))</f>
        <v/>
      </c>
      <c r="N300" s="7">
        <f>IF(M300="","",BETA.INV(0.025,K300,L300))</f>
        <v/>
      </c>
      <c r="O300" s="7">
        <f>IF(M300="","",BETA.INV(0.975,K300,L300))</f>
        <v/>
      </c>
      <c r="P300" s="5">
        <f>IF(F300+G300=0,"先填真/假计数",IF(F300+G300&lt;30,"组合样本太少",IF(MIN(F300,G300)&lt;5,"结果类别不足","可作CPT参考；逻辑权重仍需整体拟合")))</f>
        <v/>
      </c>
      <c r="Q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5">
        <f>IF(OR(I301="",F301=""),"",I301+F301)</f>
        <v/>
      </c>
      <c r="L301" s="5">
        <f>IF(OR(J301="",G301=""),"",J301+G301)</f>
        <v/>
      </c>
      <c r="M301" s="7">
        <f>IF(OR(K301="",L301=""),"",K301/(K301+L301))</f>
        <v/>
      </c>
      <c r="N301" s="7">
        <f>IF(M301="","",BETA.INV(0.025,K301,L301))</f>
        <v/>
      </c>
      <c r="O301" s="7">
        <f>IF(M301="","",BETA.INV(0.975,K301,L301))</f>
        <v/>
      </c>
      <c r="P301" s="5">
        <f>IF(F301+G301=0,"先填真/假计数",IF(F301+G301&lt;30,"组合样本太少",IF(MIN(F301,G301)&lt;5,"结果类别不足","可作CPT参考；逻辑权重仍需整体拟合")))</f>
        <v/>
      </c>
      <c r="Q301" s="3" t="n"/>
    </row>
  </sheetData>
  <autoFilter ref="A1:Q301"/>
  <conditionalFormatting sqref="P2:P301">
    <cfRule type="expression" priority="1" dxfId="0">
      <formula>OR(ISNUMBER(SEARCH("样本",P2)),ISNUMBER(SEARCH("不可",P2)))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6AA84F"/>
    <outlinePr summaryBelow="1" summaryRight="1"/>
    <pageSetUpPr/>
  </sheetPr>
  <dimension ref="A1:O30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33" customWidth="1" min="10" max="10"/>
    <col width="33" customWidth="1" min="11" max="11"/>
    <col width="38" customWidth="1" min="12" max="12"/>
    <col width="38" customWidth="1" min="13" max="13"/>
    <col width="38" customWidth="1" min="14" max="14"/>
    <col width="12" customWidth="1" min="15" max="15"/>
  </cols>
  <sheetData>
    <row r="1" ht="34" customHeight="1">
      <c r="A1" s="1" t="inlineStr">
        <is>
          <t>抽取器ID</t>
        </is>
      </c>
      <c r="B1" s="1" t="inlineStr">
        <is>
          <t>模型/Prompt版本</t>
        </is>
      </c>
      <c r="C1" s="1" t="inlineStr">
        <is>
          <t>字段或谓词</t>
        </is>
      </c>
      <c r="D1" s="1" t="inlineStr">
        <is>
          <t>数据批次</t>
        </is>
      </c>
      <c r="E1" s="1" t="inlineStr">
        <is>
          <t>TP</t>
        </is>
      </c>
      <c r="F1" s="1" t="inlineStr">
        <is>
          <t>FP</t>
        </is>
      </c>
      <c r="G1" s="1" t="inlineStr">
        <is>
          <t>FN</t>
        </is>
      </c>
      <c r="H1" s="1" t="inlineStr">
        <is>
          <t>TN</t>
        </is>
      </c>
      <c r="I1" s="1" t="inlineStr">
        <is>
          <t>未知数</t>
        </is>
      </c>
      <c r="J1" s="1" t="inlineStr">
        <is>
          <t>精确率</t>
        </is>
      </c>
      <c r="K1" s="1" t="inlineStr">
        <is>
          <t>召回率</t>
        </is>
      </c>
      <c r="L1" s="1" t="inlineStr">
        <is>
          <t>F1</t>
        </is>
      </c>
      <c r="M1" s="1" t="inlineStr">
        <is>
          <t>有效样本数</t>
        </is>
      </c>
      <c r="N1" s="1" t="inlineStr">
        <is>
          <t>样本提示</t>
        </is>
      </c>
      <c r="O1" s="1" t="inlineStr">
        <is>
          <t>说明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7">
        <f>IF(E2+F2=0,"",E2/(E2+F2))</f>
        <v/>
      </c>
      <c r="K2" s="7">
        <f>IF(E2+G2=0,"",E2/(E2+G2))</f>
        <v/>
      </c>
      <c r="L2" s="7">
        <f>IF(OR(J2="",K2="",J2+K2=0),"",2*J2*K2/(J2+K2))</f>
        <v/>
      </c>
      <c r="M2" s="5">
        <f>IF(COUNTA(E2:H2)=0,"",SUM(E2:H2))</f>
        <v/>
      </c>
      <c r="N2" s="5">
        <f>IF(M2="","先填计数",IF(M2&lt;30,"样本太少：仅描述",IF(M2&lt;100,"试点","可进入验证")))</f>
        <v/>
      </c>
      <c r="O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7">
        <f>IF(E3+F3=0,"",E3/(E3+F3))</f>
        <v/>
      </c>
      <c r="K3" s="7">
        <f>IF(E3+G3=0,"",E3/(E3+G3))</f>
        <v/>
      </c>
      <c r="L3" s="7">
        <f>IF(OR(J3="",K3="",J3+K3=0),"",2*J3*K3/(J3+K3))</f>
        <v/>
      </c>
      <c r="M3" s="5">
        <f>IF(COUNTA(E3:H3)=0,"",SUM(E3:H3))</f>
        <v/>
      </c>
      <c r="N3" s="5">
        <f>IF(M3="","先填计数",IF(M3&lt;30,"样本太少：仅描述",IF(M3&lt;100,"试点","可进入验证")))</f>
        <v/>
      </c>
      <c r="O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7">
        <f>IF(E4+F4=0,"",E4/(E4+F4))</f>
        <v/>
      </c>
      <c r="K4" s="7">
        <f>IF(E4+G4=0,"",E4/(E4+G4))</f>
        <v/>
      </c>
      <c r="L4" s="7">
        <f>IF(OR(J4="",K4="",J4+K4=0),"",2*J4*K4/(J4+K4))</f>
        <v/>
      </c>
      <c r="M4" s="5">
        <f>IF(COUNTA(E4:H4)=0,"",SUM(E4:H4))</f>
        <v/>
      </c>
      <c r="N4" s="5">
        <f>IF(M4="","先填计数",IF(M4&lt;30,"样本太少：仅描述",IF(M4&lt;100,"试点","可进入验证")))</f>
        <v/>
      </c>
      <c r="O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7">
        <f>IF(E5+F5=0,"",E5/(E5+F5))</f>
        <v/>
      </c>
      <c r="K5" s="7">
        <f>IF(E5+G5=0,"",E5/(E5+G5))</f>
        <v/>
      </c>
      <c r="L5" s="7">
        <f>IF(OR(J5="",K5="",J5+K5=0),"",2*J5*K5/(J5+K5))</f>
        <v/>
      </c>
      <c r="M5" s="5">
        <f>IF(COUNTA(E5:H5)=0,"",SUM(E5:H5))</f>
        <v/>
      </c>
      <c r="N5" s="5">
        <f>IF(M5="","先填计数",IF(M5&lt;30,"样本太少：仅描述",IF(M5&lt;100,"试点","可进入验证")))</f>
        <v/>
      </c>
      <c r="O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7">
        <f>IF(E6+F6=0,"",E6/(E6+F6))</f>
        <v/>
      </c>
      <c r="K6" s="7">
        <f>IF(E6+G6=0,"",E6/(E6+G6))</f>
        <v/>
      </c>
      <c r="L6" s="7">
        <f>IF(OR(J6="",K6="",J6+K6=0),"",2*J6*K6/(J6+K6))</f>
        <v/>
      </c>
      <c r="M6" s="5">
        <f>IF(COUNTA(E6:H6)=0,"",SUM(E6:H6))</f>
        <v/>
      </c>
      <c r="N6" s="5">
        <f>IF(M6="","先填计数",IF(M6&lt;30,"样本太少：仅描述",IF(M6&lt;100,"试点","可进入验证")))</f>
        <v/>
      </c>
      <c r="O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7">
        <f>IF(E7+F7=0,"",E7/(E7+F7))</f>
        <v/>
      </c>
      <c r="K7" s="7">
        <f>IF(E7+G7=0,"",E7/(E7+G7))</f>
        <v/>
      </c>
      <c r="L7" s="7">
        <f>IF(OR(J7="",K7="",J7+K7=0),"",2*J7*K7/(J7+K7))</f>
        <v/>
      </c>
      <c r="M7" s="5">
        <f>IF(COUNTA(E7:H7)=0,"",SUM(E7:H7))</f>
        <v/>
      </c>
      <c r="N7" s="5">
        <f>IF(M7="","先填计数",IF(M7&lt;30,"样本太少：仅描述",IF(M7&lt;100,"试点","可进入验证")))</f>
        <v/>
      </c>
      <c r="O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7">
        <f>IF(E8+F8=0,"",E8/(E8+F8))</f>
        <v/>
      </c>
      <c r="K8" s="7">
        <f>IF(E8+G8=0,"",E8/(E8+G8))</f>
        <v/>
      </c>
      <c r="L8" s="7">
        <f>IF(OR(J8="",K8="",J8+K8=0),"",2*J8*K8/(J8+K8))</f>
        <v/>
      </c>
      <c r="M8" s="5">
        <f>IF(COUNTA(E8:H8)=0,"",SUM(E8:H8))</f>
        <v/>
      </c>
      <c r="N8" s="5">
        <f>IF(M8="","先填计数",IF(M8&lt;30,"样本太少：仅描述",IF(M8&lt;100,"试点","可进入验证")))</f>
        <v/>
      </c>
      <c r="O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7">
        <f>IF(E9+F9=0,"",E9/(E9+F9))</f>
        <v/>
      </c>
      <c r="K9" s="7">
        <f>IF(E9+G9=0,"",E9/(E9+G9))</f>
        <v/>
      </c>
      <c r="L9" s="7">
        <f>IF(OR(J9="",K9="",J9+K9=0),"",2*J9*K9/(J9+K9))</f>
        <v/>
      </c>
      <c r="M9" s="5">
        <f>IF(COUNTA(E9:H9)=0,"",SUM(E9:H9))</f>
        <v/>
      </c>
      <c r="N9" s="5">
        <f>IF(M9="","先填计数",IF(M9&lt;30,"样本太少：仅描述",IF(M9&lt;100,"试点","可进入验证")))</f>
        <v/>
      </c>
      <c r="O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7">
        <f>IF(E10+F10=0,"",E10/(E10+F10))</f>
        <v/>
      </c>
      <c r="K10" s="7">
        <f>IF(E10+G10=0,"",E10/(E10+G10))</f>
        <v/>
      </c>
      <c r="L10" s="7">
        <f>IF(OR(J10="",K10="",J10+K10=0),"",2*J10*K10/(J10+K10))</f>
        <v/>
      </c>
      <c r="M10" s="5">
        <f>IF(COUNTA(E10:H10)=0,"",SUM(E10:H10))</f>
        <v/>
      </c>
      <c r="N10" s="5">
        <f>IF(M10="","先填计数",IF(M10&lt;30,"样本太少：仅描述",IF(M10&lt;100,"试点","可进入验证")))</f>
        <v/>
      </c>
      <c r="O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7">
        <f>IF(E11+F11=0,"",E11/(E11+F11))</f>
        <v/>
      </c>
      <c r="K11" s="7">
        <f>IF(E11+G11=0,"",E11/(E11+G11))</f>
        <v/>
      </c>
      <c r="L11" s="7">
        <f>IF(OR(J11="",K11="",J11+K11=0),"",2*J11*K11/(J11+K11))</f>
        <v/>
      </c>
      <c r="M11" s="5">
        <f>IF(COUNTA(E11:H11)=0,"",SUM(E11:H11))</f>
        <v/>
      </c>
      <c r="N11" s="5">
        <f>IF(M11="","先填计数",IF(M11&lt;30,"样本太少：仅描述",IF(M11&lt;100,"试点","可进入验证")))</f>
        <v/>
      </c>
      <c r="O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7">
        <f>IF(E12+F12=0,"",E12/(E12+F12))</f>
        <v/>
      </c>
      <c r="K12" s="7">
        <f>IF(E12+G12=0,"",E12/(E12+G12))</f>
        <v/>
      </c>
      <c r="L12" s="7">
        <f>IF(OR(J12="",K12="",J12+K12=0),"",2*J12*K12/(J12+K12))</f>
        <v/>
      </c>
      <c r="M12" s="5">
        <f>IF(COUNTA(E12:H12)=0,"",SUM(E12:H12))</f>
        <v/>
      </c>
      <c r="N12" s="5">
        <f>IF(M12="","先填计数",IF(M12&lt;30,"样本太少：仅描述",IF(M12&lt;100,"试点","可进入验证")))</f>
        <v/>
      </c>
      <c r="O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7">
        <f>IF(E13+F13=0,"",E13/(E13+F13))</f>
        <v/>
      </c>
      <c r="K13" s="7">
        <f>IF(E13+G13=0,"",E13/(E13+G13))</f>
        <v/>
      </c>
      <c r="L13" s="7">
        <f>IF(OR(J13="",K13="",J13+K13=0),"",2*J13*K13/(J13+K13))</f>
        <v/>
      </c>
      <c r="M13" s="5">
        <f>IF(COUNTA(E13:H13)=0,"",SUM(E13:H13))</f>
        <v/>
      </c>
      <c r="N13" s="5">
        <f>IF(M13="","先填计数",IF(M13&lt;30,"样本太少：仅描述",IF(M13&lt;100,"试点","可进入验证")))</f>
        <v/>
      </c>
      <c r="O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7">
        <f>IF(E14+F14=0,"",E14/(E14+F14))</f>
        <v/>
      </c>
      <c r="K14" s="7">
        <f>IF(E14+G14=0,"",E14/(E14+G14))</f>
        <v/>
      </c>
      <c r="L14" s="7">
        <f>IF(OR(J14="",K14="",J14+K14=0),"",2*J14*K14/(J14+K14))</f>
        <v/>
      </c>
      <c r="M14" s="5">
        <f>IF(COUNTA(E14:H14)=0,"",SUM(E14:H14))</f>
        <v/>
      </c>
      <c r="N14" s="5">
        <f>IF(M14="","先填计数",IF(M14&lt;30,"样本太少：仅描述",IF(M14&lt;100,"试点","可进入验证")))</f>
        <v/>
      </c>
      <c r="O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7">
        <f>IF(E15+F15=0,"",E15/(E15+F15))</f>
        <v/>
      </c>
      <c r="K15" s="7">
        <f>IF(E15+G15=0,"",E15/(E15+G15))</f>
        <v/>
      </c>
      <c r="L15" s="7">
        <f>IF(OR(J15="",K15="",J15+K15=0),"",2*J15*K15/(J15+K15))</f>
        <v/>
      </c>
      <c r="M15" s="5">
        <f>IF(COUNTA(E15:H15)=0,"",SUM(E15:H15))</f>
        <v/>
      </c>
      <c r="N15" s="5">
        <f>IF(M15="","先填计数",IF(M15&lt;30,"样本太少：仅描述",IF(M15&lt;100,"试点","可进入验证")))</f>
        <v/>
      </c>
      <c r="O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7">
        <f>IF(E16+F16=0,"",E16/(E16+F16))</f>
        <v/>
      </c>
      <c r="K16" s="7">
        <f>IF(E16+G16=0,"",E16/(E16+G16))</f>
        <v/>
      </c>
      <c r="L16" s="7">
        <f>IF(OR(J16="",K16="",J16+K16=0),"",2*J16*K16/(J16+K16))</f>
        <v/>
      </c>
      <c r="M16" s="5">
        <f>IF(COUNTA(E16:H16)=0,"",SUM(E16:H16))</f>
        <v/>
      </c>
      <c r="N16" s="5">
        <f>IF(M16="","先填计数",IF(M16&lt;30,"样本太少：仅描述",IF(M16&lt;100,"试点","可进入验证")))</f>
        <v/>
      </c>
      <c r="O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7">
        <f>IF(E17+F17=0,"",E17/(E17+F17))</f>
        <v/>
      </c>
      <c r="K17" s="7">
        <f>IF(E17+G17=0,"",E17/(E17+G17))</f>
        <v/>
      </c>
      <c r="L17" s="7">
        <f>IF(OR(J17="",K17="",J17+K17=0),"",2*J17*K17/(J17+K17))</f>
        <v/>
      </c>
      <c r="M17" s="5">
        <f>IF(COUNTA(E17:H17)=0,"",SUM(E17:H17))</f>
        <v/>
      </c>
      <c r="N17" s="5">
        <f>IF(M17="","先填计数",IF(M17&lt;30,"样本太少：仅描述",IF(M17&lt;100,"试点","可进入验证")))</f>
        <v/>
      </c>
      <c r="O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7">
        <f>IF(E18+F18=0,"",E18/(E18+F18))</f>
        <v/>
      </c>
      <c r="K18" s="7">
        <f>IF(E18+G18=0,"",E18/(E18+G18))</f>
        <v/>
      </c>
      <c r="L18" s="7">
        <f>IF(OR(J18="",K18="",J18+K18=0),"",2*J18*K18/(J18+K18))</f>
        <v/>
      </c>
      <c r="M18" s="5">
        <f>IF(COUNTA(E18:H18)=0,"",SUM(E18:H18))</f>
        <v/>
      </c>
      <c r="N18" s="5">
        <f>IF(M18="","先填计数",IF(M18&lt;30,"样本太少：仅描述",IF(M18&lt;100,"试点","可进入验证")))</f>
        <v/>
      </c>
      <c r="O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7">
        <f>IF(E19+F19=0,"",E19/(E19+F19))</f>
        <v/>
      </c>
      <c r="K19" s="7">
        <f>IF(E19+G19=0,"",E19/(E19+G19))</f>
        <v/>
      </c>
      <c r="L19" s="7">
        <f>IF(OR(J19="",K19="",J19+K19=0),"",2*J19*K19/(J19+K19))</f>
        <v/>
      </c>
      <c r="M19" s="5">
        <f>IF(COUNTA(E19:H19)=0,"",SUM(E19:H19))</f>
        <v/>
      </c>
      <c r="N19" s="5">
        <f>IF(M19="","先填计数",IF(M19&lt;30,"样本太少：仅描述",IF(M19&lt;100,"试点","可进入验证")))</f>
        <v/>
      </c>
      <c r="O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7">
        <f>IF(E20+F20=0,"",E20/(E20+F20))</f>
        <v/>
      </c>
      <c r="K20" s="7">
        <f>IF(E20+G20=0,"",E20/(E20+G20))</f>
        <v/>
      </c>
      <c r="L20" s="7">
        <f>IF(OR(J20="",K20="",J20+K20=0),"",2*J20*K20/(J20+K20))</f>
        <v/>
      </c>
      <c r="M20" s="5">
        <f>IF(COUNTA(E20:H20)=0,"",SUM(E20:H20))</f>
        <v/>
      </c>
      <c r="N20" s="5">
        <f>IF(M20="","先填计数",IF(M20&lt;30,"样本太少：仅描述",IF(M20&lt;100,"试点","可进入验证")))</f>
        <v/>
      </c>
      <c r="O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7">
        <f>IF(E21+F21=0,"",E21/(E21+F21))</f>
        <v/>
      </c>
      <c r="K21" s="7">
        <f>IF(E21+G21=0,"",E21/(E21+G21))</f>
        <v/>
      </c>
      <c r="L21" s="7">
        <f>IF(OR(J21="",K21="",J21+K21=0),"",2*J21*K21/(J21+K21))</f>
        <v/>
      </c>
      <c r="M21" s="5">
        <f>IF(COUNTA(E21:H21)=0,"",SUM(E21:H21))</f>
        <v/>
      </c>
      <c r="N21" s="5">
        <f>IF(M21="","先填计数",IF(M21&lt;30,"样本太少：仅描述",IF(M21&lt;100,"试点","可进入验证")))</f>
        <v/>
      </c>
      <c r="O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7">
        <f>IF(E22+F22=0,"",E22/(E22+F22))</f>
        <v/>
      </c>
      <c r="K22" s="7">
        <f>IF(E22+G22=0,"",E22/(E22+G22))</f>
        <v/>
      </c>
      <c r="L22" s="7">
        <f>IF(OR(J22="",K22="",J22+K22=0),"",2*J22*K22/(J22+K22))</f>
        <v/>
      </c>
      <c r="M22" s="5">
        <f>IF(COUNTA(E22:H22)=0,"",SUM(E22:H22))</f>
        <v/>
      </c>
      <c r="N22" s="5">
        <f>IF(M22="","先填计数",IF(M22&lt;30,"样本太少：仅描述",IF(M22&lt;100,"试点","可进入验证")))</f>
        <v/>
      </c>
      <c r="O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7">
        <f>IF(E23+F23=0,"",E23/(E23+F23))</f>
        <v/>
      </c>
      <c r="K23" s="7">
        <f>IF(E23+G23=0,"",E23/(E23+G23))</f>
        <v/>
      </c>
      <c r="L23" s="7">
        <f>IF(OR(J23="",K23="",J23+K23=0),"",2*J23*K23/(J23+K23))</f>
        <v/>
      </c>
      <c r="M23" s="5">
        <f>IF(COUNTA(E23:H23)=0,"",SUM(E23:H23))</f>
        <v/>
      </c>
      <c r="N23" s="5">
        <f>IF(M23="","先填计数",IF(M23&lt;30,"样本太少：仅描述",IF(M23&lt;100,"试点","可进入验证")))</f>
        <v/>
      </c>
      <c r="O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7">
        <f>IF(E24+F24=0,"",E24/(E24+F24))</f>
        <v/>
      </c>
      <c r="K24" s="7">
        <f>IF(E24+G24=0,"",E24/(E24+G24))</f>
        <v/>
      </c>
      <c r="L24" s="7">
        <f>IF(OR(J24="",K24="",J24+K24=0),"",2*J24*K24/(J24+K24))</f>
        <v/>
      </c>
      <c r="M24" s="5">
        <f>IF(COUNTA(E24:H24)=0,"",SUM(E24:H24))</f>
        <v/>
      </c>
      <c r="N24" s="5">
        <f>IF(M24="","先填计数",IF(M24&lt;30,"样本太少：仅描述",IF(M24&lt;100,"试点","可进入验证")))</f>
        <v/>
      </c>
      <c r="O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7">
        <f>IF(E25+F25=0,"",E25/(E25+F25))</f>
        <v/>
      </c>
      <c r="K25" s="7">
        <f>IF(E25+G25=0,"",E25/(E25+G25))</f>
        <v/>
      </c>
      <c r="L25" s="7">
        <f>IF(OR(J25="",K25="",J25+K25=0),"",2*J25*K25/(J25+K25))</f>
        <v/>
      </c>
      <c r="M25" s="5">
        <f>IF(COUNTA(E25:H25)=0,"",SUM(E25:H25))</f>
        <v/>
      </c>
      <c r="N25" s="5">
        <f>IF(M25="","先填计数",IF(M25&lt;30,"样本太少：仅描述",IF(M25&lt;100,"试点","可进入验证")))</f>
        <v/>
      </c>
      <c r="O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7">
        <f>IF(E26+F26=0,"",E26/(E26+F26))</f>
        <v/>
      </c>
      <c r="K26" s="7">
        <f>IF(E26+G26=0,"",E26/(E26+G26))</f>
        <v/>
      </c>
      <c r="L26" s="7">
        <f>IF(OR(J26="",K26="",J26+K26=0),"",2*J26*K26/(J26+K26))</f>
        <v/>
      </c>
      <c r="M26" s="5">
        <f>IF(COUNTA(E26:H26)=0,"",SUM(E26:H26))</f>
        <v/>
      </c>
      <c r="N26" s="5">
        <f>IF(M26="","先填计数",IF(M26&lt;30,"样本太少：仅描述",IF(M26&lt;100,"试点","可进入验证")))</f>
        <v/>
      </c>
      <c r="O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7">
        <f>IF(E27+F27=0,"",E27/(E27+F27))</f>
        <v/>
      </c>
      <c r="K27" s="7">
        <f>IF(E27+G27=0,"",E27/(E27+G27))</f>
        <v/>
      </c>
      <c r="L27" s="7">
        <f>IF(OR(J27="",K27="",J27+K27=0),"",2*J27*K27/(J27+K27))</f>
        <v/>
      </c>
      <c r="M27" s="5">
        <f>IF(COUNTA(E27:H27)=0,"",SUM(E27:H27))</f>
        <v/>
      </c>
      <c r="N27" s="5">
        <f>IF(M27="","先填计数",IF(M27&lt;30,"样本太少：仅描述",IF(M27&lt;100,"试点","可进入验证")))</f>
        <v/>
      </c>
      <c r="O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7">
        <f>IF(E28+F28=0,"",E28/(E28+F28))</f>
        <v/>
      </c>
      <c r="K28" s="7">
        <f>IF(E28+G28=0,"",E28/(E28+G28))</f>
        <v/>
      </c>
      <c r="L28" s="7">
        <f>IF(OR(J28="",K28="",J28+K28=0),"",2*J28*K28/(J28+K28))</f>
        <v/>
      </c>
      <c r="M28" s="5">
        <f>IF(COUNTA(E28:H28)=0,"",SUM(E28:H28))</f>
        <v/>
      </c>
      <c r="N28" s="5">
        <f>IF(M28="","先填计数",IF(M28&lt;30,"样本太少：仅描述",IF(M28&lt;100,"试点","可进入验证")))</f>
        <v/>
      </c>
      <c r="O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7">
        <f>IF(E29+F29=0,"",E29/(E29+F29))</f>
        <v/>
      </c>
      <c r="K29" s="7">
        <f>IF(E29+G29=0,"",E29/(E29+G29))</f>
        <v/>
      </c>
      <c r="L29" s="7">
        <f>IF(OR(J29="",K29="",J29+K29=0),"",2*J29*K29/(J29+K29))</f>
        <v/>
      </c>
      <c r="M29" s="5">
        <f>IF(COUNTA(E29:H29)=0,"",SUM(E29:H29))</f>
        <v/>
      </c>
      <c r="N29" s="5">
        <f>IF(M29="","先填计数",IF(M29&lt;30,"样本太少：仅描述",IF(M29&lt;100,"试点","可进入验证")))</f>
        <v/>
      </c>
      <c r="O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7">
        <f>IF(E30+F30=0,"",E30/(E30+F30))</f>
        <v/>
      </c>
      <c r="K30" s="7">
        <f>IF(E30+G30=0,"",E30/(E30+G30))</f>
        <v/>
      </c>
      <c r="L30" s="7">
        <f>IF(OR(J30="",K30="",J30+K30=0),"",2*J30*K30/(J30+K30))</f>
        <v/>
      </c>
      <c r="M30" s="5">
        <f>IF(COUNTA(E30:H30)=0,"",SUM(E30:H30))</f>
        <v/>
      </c>
      <c r="N30" s="5">
        <f>IF(M30="","先填计数",IF(M30&lt;30,"样本太少：仅描述",IF(M30&lt;100,"试点","可进入验证")))</f>
        <v/>
      </c>
      <c r="O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7">
        <f>IF(E31+F31=0,"",E31/(E31+F31))</f>
        <v/>
      </c>
      <c r="K31" s="7">
        <f>IF(E31+G31=0,"",E31/(E31+G31))</f>
        <v/>
      </c>
      <c r="L31" s="7">
        <f>IF(OR(J31="",K31="",J31+K31=0),"",2*J31*K31/(J31+K31))</f>
        <v/>
      </c>
      <c r="M31" s="5">
        <f>IF(COUNTA(E31:H31)=0,"",SUM(E31:H31))</f>
        <v/>
      </c>
      <c r="N31" s="5">
        <f>IF(M31="","先填计数",IF(M31&lt;30,"样本太少：仅描述",IF(M31&lt;100,"试点","可进入验证")))</f>
        <v/>
      </c>
      <c r="O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7">
        <f>IF(E32+F32=0,"",E32/(E32+F32))</f>
        <v/>
      </c>
      <c r="K32" s="7">
        <f>IF(E32+G32=0,"",E32/(E32+G32))</f>
        <v/>
      </c>
      <c r="L32" s="7">
        <f>IF(OR(J32="",K32="",J32+K32=0),"",2*J32*K32/(J32+K32))</f>
        <v/>
      </c>
      <c r="M32" s="5">
        <f>IF(COUNTA(E32:H32)=0,"",SUM(E32:H32))</f>
        <v/>
      </c>
      <c r="N32" s="5">
        <f>IF(M32="","先填计数",IF(M32&lt;30,"样本太少：仅描述",IF(M32&lt;100,"试点","可进入验证")))</f>
        <v/>
      </c>
      <c r="O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7">
        <f>IF(E33+F33=0,"",E33/(E33+F33))</f>
        <v/>
      </c>
      <c r="K33" s="7">
        <f>IF(E33+G33=0,"",E33/(E33+G33))</f>
        <v/>
      </c>
      <c r="L33" s="7">
        <f>IF(OR(J33="",K33="",J33+K33=0),"",2*J33*K33/(J33+K33))</f>
        <v/>
      </c>
      <c r="M33" s="5">
        <f>IF(COUNTA(E33:H33)=0,"",SUM(E33:H33))</f>
        <v/>
      </c>
      <c r="N33" s="5">
        <f>IF(M33="","先填计数",IF(M33&lt;30,"样本太少：仅描述",IF(M33&lt;100,"试点","可进入验证")))</f>
        <v/>
      </c>
      <c r="O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7">
        <f>IF(E34+F34=0,"",E34/(E34+F34))</f>
        <v/>
      </c>
      <c r="K34" s="7">
        <f>IF(E34+G34=0,"",E34/(E34+G34))</f>
        <v/>
      </c>
      <c r="L34" s="7">
        <f>IF(OR(J34="",K34="",J34+K34=0),"",2*J34*K34/(J34+K34))</f>
        <v/>
      </c>
      <c r="M34" s="5">
        <f>IF(COUNTA(E34:H34)=0,"",SUM(E34:H34))</f>
        <v/>
      </c>
      <c r="N34" s="5">
        <f>IF(M34="","先填计数",IF(M34&lt;30,"样本太少：仅描述",IF(M34&lt;100,"试点","可进入验证")))</f>
        <v/>
      </c>
      <c r="O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7">
        <f>IF(E35+F35=0,"",E35/(E35+F35))</f>
        <v/>
      </c>
      <c r="K35" s="7">
        <f>IF(E35+G35=0,"",E35/(E35+G35))</f>
        <v/>
      </c>
      <c r="L35" s="7">
        <f>IF(OR(J35="",K35="",J35+K35=0),"",2*J35*K35/(J35+K35))</f>
        <v/>
      </c>
      <c r="M35" s="5">
        <f>IF(COUNTA(E35:H35)=0,"",SUM(E35:H35))</f>
        <v/>
      </c>
      <c r="N35" s="5">
        <f>IF(M35="","先填计数",IF(M35&lt;30,"样本太少：仅描述",IF(M35&lt;100,"试点","可进入验证")))</f>
        <v/>
      </c>
      <c r="O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7">
        <f>IF(E36+F36=0,"",E36/(E36+F36))</f>
        <v/>
      </c>
      <c r="K36" s="7">
        <f>IF(E36+G36=0,"",E36/(E36+G36))</f>
        <v/>
      </c>
      <c r="L36" s="7">
        <f>IF(OR(J36="",K36="",J36+K36=0),"",2*J36*K36/(J36+K36))</f>
        <v/>
      </c>
      <c r="M36" s="5">
        <f>IF(COUNTA(E36:H36)=0,"",SUM(E36:H36))</f>
        <v/>
      </c>
      <c r="N36" s="5">
        <f>IF(M36="","先填计数",IF(M36&lt;30,"样本太少：仅描述",IF(M36&lt;100,"试点","可进入验证")))</f>
        <v/>
      </c>
      <c r="O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7">
        <f>IF(E37+F37=0,"",E37/(E37+F37))</f>
        <v/>
      </c>
      <c r="K37" s="7">
        <f>IF(E37+G37=0,"",E37/(E37+G37))</f>
        <v/>
      </c>
      <c r="L37" s="7">
        <f>IF(OR(J37="",K37="",J37+K37=0),"",2*J37*K37/(J37+K37))</f>
        <v/>
      </c>
      <c r="M37" s="5">
        <f>IF(COUNTA(E37:H37)=0,"",SUM(E37:H37))</f>
        <v/>
      </c>
      <c r="N37" s="5">
        <f>IF(M37="","先填计数",IF(M37&lt;30,"样本太少：仅描述",IF(M37&lt;100,"试点","可进入验证")))</f>
        <v/>
      </c>
      <c r="O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7">
        <f>IF(E38+F38=0,"",E38/(E38+F38))</f>
        <v/>
      </c>
      <c r="K38" s="7">
        <f>IF(E38+G38=0,"",E38/(E38+G38))</f>
        <v/>
      </c>
      <c r="L38" s="7">
        <f>IF(OR(J38="",K38="",J38+K38=0),"",2*J38*K38/(J38+K38))</f>
        <v/>
      </c>
      <c r="M38" s="5">
        <f>IF(COUNTA(E38:H38)=0,"",SUM(E38:H38))</f>
        <v/>
      </c>
      <c r="N38" s="5">
        <f>IF(M38="","先填计数",IF(M38&lt;30,"样本太少：仅描述",IF(M38&lt;100,"试点","可进入验证")))</f>
        <v/>
      </c>
      <c r="O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7">
        <f>IF(E39+F39=0,"",E39/(E39+F39))</f>
        <v/>
      </c>
      <c r="K39" s="7">
        <f>IF(E39+G39=0,"",E39/(E39+G39))</f>
        <v/>
      </c>
      <c r="L39" s="7">
        <f>IF(OR(J39="",K39="",J39+K39=0),"",2*J39*K39/(J39+K39))</f>
        <v/>
      </c>
      <c r="M39" s="5">
        <f>IF(COUNTA(E39:H39)=0,"",SUM(E39:H39))</f>
        <v/>
      </c>
      <c r="N39" s="5">
        <f>IF(M39="","先填计数",IF(M39&lt;30,"样本太少：仅描述",IF(M39&lt;100,"试点","可进入验证")))</f>
        <v/>
      </c>
      <c r="O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7">
        <f>IF(E40+F40=0,"",E40/(E40+F40))</f>
        <v/>
      </c>
      <c r="K40" s="7">
        <f>IF(E40+G40=0,"",E40/(E40+G40))</f>
        <v/>
      </c>
      <c r="L40" s="7">
        <f>IF(OR(J40="",K40="",J40+K40=0),"",2*J40*K40/(J40+K40))</f>
        <v/>
      </c>
      <c r="M40" s="5">
        <f>IF(COUNTA(E40:H40)=0,"",SUM(E40:H40))</f>
        <v/>
      </c>
      <c r="N40" s="5">
        <f>IF(M40="","先填计数",IF(M40&lt;30,"样本太少：仅描述",IF(M40&lt;100,"试点","可进入验证")))</f>
        <v/>
      </c>
      <c r="O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7">
        <f>IF(E41+F41=0,"",E41/(E41+F41))</f>
        <v/>
      </c>
      <c r="K41" s="7">
        <f>IF(E41+G41=0,"",E41/(E41+G41))</f>
        <v/>
      </c>
      <c r="L41" s="7">
        <f>IF(OR(J41="",K41="",J41+K41=0),"",2*J41*K41/(J41+K41))</f>
        <v/>
      </c>
      <c r="M41" s="5">
        <f>IF(COUNTA(E41:H41)=0,"",SUM(E41:H41))</f>
        <v/>
      </c>
      <c r="N41" s="5">
        <f>IF(M41="","先填计数",IF(M41&lt;30,"样本太少：仅描述",IF(M41&lt;100,"试点","可进入验证")))</f>
        <v/>
      </c>
      <c r="O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7">
        <f>IF(E42+F42=0,"",E42/(E42+F42))</f>
        <v/>
      </c>
      <c r="K42" s="7">
        <f>IF(E42+G42=0,"",E42/(E42+G42))</f>
        <v/>
      </c>
      <c r="L42" s="7">
        <f>IF(OR(J42="",K42="",J42+K42=0),"",2*J42*K42/(J42+K42))</f>
        <v/>
      </c>
      <c r="M42" s="5">
        <f>IF(COUNTA(E42:H42)=0,"",SUM(E42:H42))</f>
        <v/>
      </c>
      <c r="N42" s="5">
        <f>IF(M42="","先填计数",IF(M42&lt;30,"样本太少：仅描述",IF(M42&lt;100,"试点","可进入验证")))</f>
        <v/>
      </c>
      <c r="O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7">
        <f>IF(E43+F43=0,"",E43/(E43+F43))</f>
        <v/>
      </c>
      <c r="K43" s="7">
        <f>IF(E43+G43=0,"",E43/(E43+G43))</f>
        <v/>
      </c>
      <c r="L43" s="7">
        <f>IF(OR(J43="",K43="",J43+K43=0),"",2*J43*K43/(J43+K43))</f>
        <v/>
      </c>
      <c r="M43" s="5">
        <f>IF(COUNTA(E43:H43)=0,"",SUM(E43:H43))</f>
        <v/>
      </c>
      <c r="N43" s="5">
        <f>IF(M43="","先填计数",IF(M43&lt;30,"样本太少：仅描述",IF(M43&lt;100,"试点","可进入验证")))</f>
        <v/>
      </c>
      <c r="O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7">
        <f>IF(E44+F44=0,"",E44/(E44+F44))</f>
        <v/>
      </c>
      <c r="K44" s="7">
        <f>IF(E44+G44=0,"",E44/(E44+G44))</f>
        <v/>
      </c>
      <c r="L44" s="7">
        <f>IF(OR(J44="",K44="",J44+K44=0),"",2*J44*K44/(J44+K44))</f>
        <v/>
      </c>
      <c r="M44" s="5">
        <f>IF(COUNTA(E44:H44)=0,"",SUM(E44:H44))</f>
        <v/>
      </c>
      <c r="N44" s="5">
        <f>IF(M44="","先填计数",IF(M44&lt;30,"样本太少：仅描述",IF(M44&lt;100,"试点","可进入验证")))</f>
        <v/>
      </c>
      <c r="O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7">
        <f>IF(E45+F45=0,"",E45/(E45+F45))</f>
        <v/>
      </c>
      <c r="K45" s="7">
        <f>IF(E45+G45=0,"",E45/(E45+G45))</f>
        <v/>
      </c>
      <c r="L45" s="7">
        <f>IF(OR(J45="",K45="",J45+K45=0),"",2*J45*K45/(J45+K45))</f>
        <v/>
      </c>
      <c r="M45" s="5">
        <f>IF(COUNTA(E45:H45)=0,"",SUM(E45:H45))</f>
        <v/>
      </c>
      <c r="N45" s="5">
        <f>IF(M45="","先填计数",IF(M45&lt;30,"样本太少：仅描述",IF(M45&lt;100,"试点","可进入验证")))</f>
        <v/>
      </c>
      <c r="O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7">
        <f>IF(E46+F46=0,"",E46/(E46+F46))</f>
        <v/>
      </c>
      <c r="K46" s="7">
        <f>IF(E46+G46=0,"",E46/(E46+G46))</f>
        <v/>
      </c>
      <c r="L46" s="7">
        <f>IF(OR(J46="",K46="",J46+K46=0),"",2*J46*K46/(J46+K46))</f>
        <v/>
      </c>
      <c r="M46" s="5">
        <f>IF(COUNTA(E46:H46)=0,"",SUM(E46:H46))</f>
        <v/>
      </c>
      <c r="N46" s="5">
        <f>IF(M46="","先填计数",IF(M46&lt;30,"样本太少：仅描述",IF(M46&lt;100,"试点","可进入验证")))</f>
        <v/>
      </c>
      <c r="O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7">
        <f>IF(E47+F47=0,"",E47/(E47+F47))</f>
        <v/>
      </c>
      <c r="K47" s="7">
        <f>IF(E47+G47=0,"",E47/(E47+G47))</f>
        <v/>
      </c>
      <c r="L47" s="7">
        <f>IF(OR(J47="",K47="",J47+K47=0),"",2*J47*K47/(J47+K47))</f>
        <v/>
      </c>
      <c r="M47" s="5">
        <f>IF(COUNTA(E47:H47)=0,"",SUM(E47:H47))</f>
        <v/>
      </c>
      <c r="N47" s="5">
        <f>IF(M47="","先填计数",IF(M47&lt;30,"样本太少：仅描述",IF(M47&lt;100,"试点","可进入验证")))</f>
        <v/>
      </c>
      <c r="O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7">
        <f>IF(E48+F48=0,"",E48/(E48+F48))</f>
        <v/>
      </c>
      <c r="K48" s="7">
        <f>IF(E48+G48=0,"",E48/(E48+G48))</f>
        <v/>
      </c>
      <c r="L48" s="7">
        <f>IF(OR(J48="",K48="",J48+K48=0),"",2*J48*K48/(J48+K48))</f>
        <v/>
      </c>
      <c r="M48" s="5">
        <f>IF(COUNTA(E48:H48)=0,"",SUM(E48:H48))</f>
        <v/>
      </c>
      <c r="N48" s="5">
        <f>IF(M48="","先填计数",IF(M48&lt;30,"样本太少：仅描述",IF(M48&lt;100,"试点","可进入验证")))</f>
        <v/>
      </c>
      <c r="O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7">
        <f>IF(E49+F49=0,"",E49/(E49+F49))</f>
        <v/>
      </c>
      <c r="K49" s="7">
        <f>IF(E49+G49=0,"",E49/(E49+G49))</f>
        <v/>
      </c>
      <c r="L49" s="7">
        <f>IF(OR(J49="",K49="",J49+K49=0),"",2*J49*K49/(J49+K49))</f>
        <v/>
      </c>
      <c r="M49" s="5">
        <f>IF(COUNTA(E49:H49)=0,"",SUM(E49:H49))</f>
        <v/>
      </c>
      <c r="N49" s="5">
        <f>IF(M49="","先填计数",IF(M49&lt;30,"样本太少：仅描述",IF(M49&lt;100,"试点","可进入验证")))</f>
        <v/>
      </c>
      <c r="O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7">
        <f>IF(E50+F50=0,"",E50/(E50+F50))</f>
        <v/>
      </c>
      <c r="K50" s="7">
        <f>IF(E50+G50=0,"",E50/(E50+G50))</f>
        <v/>
      </c>
      <c r="L50" s="7">
        <f>IF(OR(J50="",K50="",J50+K50=0),"",2*J50*K50/(J50+K50))</f>
        <v/>
      </c>
      <c r="M50" s="5">
        <f>IF(COUNTA(E50:H50)=0,"",SUM(E50:H50))</f>
        <v/>
      </c>
      <c r="N50" s="5">
        <f>IF(M50="","先填计数",IF(M50&lt;30,"样本太少：仅描述",IF(M50&lt;100,"试点","可进入验证")))</f>
        <v/>
      </c>
      <c r="O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7">
        <f>IF(E51+F51=0,"",E51/(E51+F51))</f>
        <v/>
      </c>
      <c r="K51" s="7">
        <f>IF(E51+G51=0,"",E51/(E51+G51))</f>
        <v/>
      </c>
      <c r="L51" s="7">
        <f>IF(OR(J51="",K51="",J51+K51=0),"",2*J51*K51/(J51+K51))</f>
        <v/>
      </c>
      <c r="M51" s="5">
        <f>IF(COUNTA(E51:H51)=0,"",SUM(E51:H51))</f>
        <v/>
      </c>
      <c r="N51" s="5">
        <f>IF(M51="","先填计数",IF(M51&lt;30,"样本太少：仅描述",IF(M51&lt;100,"试点","可进入验证")))</f>
        <v/>
      </c>
      <c r="O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7">
        <f>IF(E52+F52=0,"",E52/(E52+F52))</f>
        <v/>
      </c>
      <c r="K52" s="7">
        <f>IF(E52+G52=0,"",E52/(E52+G52))</f>
        <v/>
      </c>
      <c r="L52" s="7">
        <f>IF(OR(J52="",K52="",J52+K52=0),"",2*J52*K52/(J52+K52))</f>
        <v/>
      </c>
      <c r="M52" s="5">
        <f>IF(COUNTA(E52:H52)=0,"",SUM(E52:H52))</f>
        <v/>
      </c>
      <c r="N52" s="5">
        <f>IF(M52="","先填计数",IF(M52&lt;30,"样本太少：仅描述",IF(M52&lt;100,"试点","可进入验证")))</f>
        <v/>
      </c>
      <c r="O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7">
        <f>IF(E53+F53=0,"",E53/(E53+F53))</f>
        <v/>
      </c>
      <c r="K53" s="7">
        <f>IF(E53+G53=0,"",E53/(E53+G53))</f>
        <v/>
      </c>
      <c r="L53" s="7">
        <f>IF(OR(J53="",K53="",J53+K53=0),"",2*J53*K53/(J53+K53))</f>
        <v/>
      </c>
      <c r="M53" s="5">
        <f>IF(COUNTA(E53:H53)=0,"",SUM(E53:H53))</f>
        <v/>
      </c>
      <c r="N53" s="5">
        <f>IF(M53="","先填计数",IF(M53&lt;30,"样本太少：仅描述",IF(M53&lt;100,"试点","可进入验证")))</f>
        <v/>
      </c>
      <c r="O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7">
        <f>IF(E54+F54=0,"",E54/(E54+F54))</f>
        <v/>
      </c>
      <c r="K54" s="7">
        <f>IF(E54+G54=0,"",E54/(E54+G54))</f>
        <v/>
      </c>
      <c r="L54" s="7">
        <f>IF(OR(J54="",K54="",J54+K54=0),"",2*J54*K54/(J54+K54))</f>
        <v/>
      </c>
      <c r="M54" s="5">
        <f>IF(COUNTA(E54:H54)=0,"",SUM(E54:H54))</f>
        <v/>
      </c>
      <c r="N54" s="5">
        <f>IF(M54="","先填计数",IF(M54&lt;30,"样本太少：仅描述",IF(M54&lt;100,"试点","可进入验证")))</f>
        <v/>
      </c>
      <c r="O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7">
        <f>IF(E55+F55=0,"",E55/(E55+F55))</f>
        <v/>
      </c>
      <c r="K55" s="7">
        <f>IF(E55+G55=0,"",E55/(E55+G55))</f>
        <v/>
      </c>
      <c r="L55" s="7">
        <f>IF(OR(J55="",K55="",J55+K55=0),"",2*J55*K55/(J55+K55))</f>
        <v/>
      </c>
      <c r="M55" s="5">
        <f>IF(COUNTA(E55:H55)=0,"",SUM(E55:H55))</f>
        <v/>
      </c>
      <c r="N55" s="5">
        <f>IF(M55="","先填计数",IF(M55&lt;30,"样本太少：仅描述",IF(M55&lt;100,"试点","可进入验证")))</f>
        <v/>
      </c>
      <c r="O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7">
        <f>IF(E56+F56=0,"",E56/(E56+F56))</f>
        <v/>
      </c>
      <c r="K56" s="7">
        <f>IF(E56+G56=0,"",E56/(E56+G56))</f>
        <v/>
      </c>
      <c r="L56" s="7">
        <f>IF(OR(J56="",K56="",J56+K56=0),"",2*J56*K56/(J56+K56))</f>
        <v/>
      </c>
      <c r="M56" s="5">
        <f>IF(COUNTA(E56:H56)=0,"",SUM(E56:H56))</f>
        <v/>
      </c>
      <c r="N56" s="5">
        <f>IF(M56="","先填计数",IF(M56&lt;30,"样本太少：仅描述",IF(M56&lt;100,"试点","可进入验证")))</f>
        <v/>
      </c>
      <c r="O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7">
        <f>IF(E57+F57=0,"",E57/(E57+F57))</f>
        <v/>
      </c>
      <c r="K57" s="7">
        <f>IF(E57+G57=0,"",E57/(E57+G57))</f>
        <v/>
      </c>
      <c r="L57" s="7">
        <f>IF(OR(J57="",K57="",J57+K57=0),"",2*J57*K57/(J57+K57))</f>
        <v/>
      </c>
      <c r="M57" s="5">
        <f>IF(COUNTA(E57:H57)=0,"",SUM(E57:H57))</f>
        <v/>
      </c>
      <c r="N57" s="5">
        <f>IF(M57="","先填计数",IF(M57&lt;30,"样本太少：仅描述",IF(M57&lt;100,"试点","可进入验证")))</f>
        <v/>
      </c>
      <c r="O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7">
        <f>IF(E58+F58=0,"",E58/(E58+F58))</f>
        <v/>
      </c>
      <c r="K58" s="7">
        <f>IF(E58+G58=0,"",E58/(E58+G58))</f>
        <v/>
      </c>
      <c r="L58" s="7">
        <f>IF(OR(J58="",K58="",J58+K58=0),"",2*J58*K58/(J58+K58))</f>
        <v/>
      </c>
      <c r="M58" s="5">
        <f>IF(COUNTA(E58:H58)=0,"",SUM(E58:H58))</f>
        <v/>
      </c>
      <c r="N58" s="5">
        <f>IF(M58="","先填计数",IF(M58&lt;30,"样本太少：仅描述",IF(M58&lt;100,"试点","可进入验证")))</f>
        <v/>
      </c>
      <c r="O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7">
        <f>IF(E59+F59=0,"",E59/(E59+F59))</f>
        <v/>
      </c>
      <c r="K59" s="7">
        <f>IF(E59+G59=0,"",E59/(E59+G59))</f>
        <v/>
      </c>
      <c r="L59" s="7">
        <f>IF(OR(J59="",K59="",J59+K59=0),"",2*J59*K59/(J59+K59))</f>
        <v/>
      </c>
      <c r="M59" s="5">
        <f>IF(COUNTA(E59:H59)=0,"",SUM(E59:H59))</f>
        <v/>
      </c>
      <c r="N59" s="5">
        <f>IF(M59="","先填计数",IF(M59&lt;30,"样本太少：仅描述",IF(M59&lt;100,"试点","可进入验证")))</f>
        <v/>
      </c>
      <c r="O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7">
        <f>IF(E60+F60=0,"",E60/(E60+F60))</f>
        <v/>
      </c>
      <c r="K60" s="7">
        <f>IF(E60+G60=0,"",E60/(E60+G60))</f>
        <v/>
      </c>
      <c r="L60" s="7">
        <f>IF(OR(J60="",K60="",J60+K60=0),"",2*J60*K60/(J60+K60))</f>
        <v/>
      </c>
      <c r="M60" s="5">
        <f>IF(COUNTA(E60:H60)=0,"",SUM(E60:H60))</f>
        <v/>
      </c>
      <c r="N60" s="5">
        <f>IF(M60="","先填计数",IF(M60&lt;30,"样本太少：仅描述",IF(M60&lt;100,"试点","可进入验证")))</f>
        <v/>
      </c>
      <c r="O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7">
        <f>IF(E61+F61=0,"",E61/(E61+F61))</f>
        <v/>
      </c>
      <c r="K61" s="7">
        <f>IF(E61+G61=0,"",E61/(E61+G61))</f>
        <v/>
      </c>
      <c r="L61" s="7">
        <f>IF(OR(J61="",K61="",J61+K61=0),"",2*J61*K61/(J61+K61))</f>
        <v/>
      </c>
      <c r="M61" s="5">
        <f>IF(COUNTA(E61:H61)=0,"",SUM(E61:H61))</f>
        <v/>
      </c>
      <c r="N61" s="5">
        <f>IF(M61="","先填计数",IF(M61&lt;30,"样本太少：仅描述",IF(M61&lt;100,"试点","可进入验证")))</f>
        <v/>
      </c>
      <c r="O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7">
        <f>IF(E62+F62=0,"",E62/(E62+F62))</f>
        <v/>
      </c>
      <c r="K62" s="7">
        <f>IF(E62+G62=0,"",E62/(E62+G62))</f>
        <v/>
      </c>
      <c r="L62" s="7">
        <f>IF(OR(J62="",K62="",J62+K62=0),"",2*J62*K62/(J62+K62))</f>
        <v/>
      </c>
      <c r="M62" s="5">
        <f>IF(COUNTA(E62:H62)=0,"",SUM(E62:H62))</f>
        <v/>
      </c>
      <c r="N62" s="5">
        <f>IF(M62="","先填计数",IF(M62&lt;30,"样本太少：仅描述",IF(M62&lt;100,"试点","可进入验证")))</f>
        <v/>
      </c>
      <c r="O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7">
        <f>IF(E63+F63=0,"",E63/(E63+F63))</f>
        <v/>
      </c>
      <c r="K63" s="7">
        <f>IF(E63+G63=0,"",E63/(E63+G63))</f>
        <v/>
      </c>
      <c r="L63" s="7">
        <f>IF(OR(J63="",K63="",J63+K63=0),"",2*J63*K63/(J63+K63))</f>
        <v/>
      </c>
      <c r="M63" s="5">
        <f>IF(COUNTA(E63:H63)=0,"",SUM(E63:H63))</f>
        <v/>
      </c>
      <c r="N63" s="5">
        <f>IF(M63="","先填计数",IF(M63&lt;30,"样本太少：仅描述",IF(M63&lt;100,"试点","可进入验证")))</f>
        <v/>
      </c>
      <c r="O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7">
        <f>IF(E64+F64=0,"",E64/(E64+F64))</f>
        <v/>
      </c>
      <c r="K64" s="7">
        <f>IF(E64+G64=0,"",E64/(E64+G64))</f>
        <v/>
      </c>
      <c r="L64" s="7">
        <f>IF(OR(J64="",K64="",J64+K64=0),"",2*J64*K64/(J64+K64))</f>
        <v/>
      </c>
      <c r="M64" s="5">
        <f>IF(COUNTA(E64:H64)=0,"",SUM(E64:H64))</f>
        <v/>
      </c>
      <c r="N64" s="5">
        <f>IF(M64="","先填计数",IF(M64&lt;30,"样本太少：仅描述",IF(M64&lt;100,"试点","可进入验证")))</f>
        <v/>
      </c>
      <c r="O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7">
        <f>IF(E65+F65=0,"",E65/(E65+F65))</f>
        <v/>
      </c>
      <c r="K65" s="7">
        <f>IF(E65+G65=0,"",E65/(E65+G65))</f>
        <v/>
      </c>
      <c r="L65" s="7">
        <f>IF(OR(J65="",K65="",J65+K65=0),"",2*J65*K65/(J65+K65))</f>
        <v/>
      </c>
      <c r="M65" s="5">
        <f>IF(COUNTA(E65:H65)=0,"",SUM(E65:H65))</f>
        <v/>
      </c>
      <c r="N65" s="5">
        <f>IF(M65="","先填计数",IF(M65&lt;30,"样本太少：仅描述",IF(M65&lt;100,"试点","可进入验证")))</f>
        <v/>
      </c>
      <c r="O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7">
        <f>IF(E66+F66=0,"",E66/(E66+F66))</f>
        <v/>
      </c>
      <c r="K66" s="7">
        <f>IF(E66+G66=0,"",E66/(E66+G66))</f>
        <v/>
      </c>
      <c r="L66" s="7">
        <f>IF(OR(J66="",K66="",J66+K66=0),"",2*J66*K66/(J66+K66))</f>
        <v/>
      </c>
      <c r="M66" s="5">
        <f>IF(COUNTA(E66:H66)=0,"",SUM(E66:H66))</f>
        <v/>
      </c>
      <c r="N66" s="5">
        <f>IF(M66="","先填计数",IF(M66&lt;30,"样本太少：仅描述",IF(M66&lt;100,"试点","可进入验证")))</f>
        <v/>
      </c>
      <c r="O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7">
        <f>IF(E67+F67=0,"",E67/(E67+F67))</f>
        <v/>
      </c>
      <c r="K67" s="7">
        <f>IF(E67+G67=0,"",E67/(E67+G67))</f>
        <v/>
      </c>
      <c r="L67" s="7">
        <f>IF(OR(J67="",K67="",J67+K67=0),"",2*J67*K67/(J67+K67))</f>
        <v/>
      </c>
      <c r="M67" s="5">
        <f>IF(COUNTA(E67:H67)=0,"",SUM(E67:H67))</f>
        <v/>
      </c>
      <c r="N67" s="5">
        <f>IF(M67="","先填计数",IF(M67&lt;30,"样本太少：仅描述",IF(M67&lt;100,"试点","可进入验证")))</f>
        <v/>
      </c>
      <c r="O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7">
        <f>IF(E68+F68=0,"",E68/(E68+F68))</f>
        <v/>
      </c>
      <c r="K68" s="7">
        <f>IF(E68+G68=0,"",E68/(E68+G68))</f>
        <v/>
      </c>
      <c r="L68" s="7">
        <f>IF(OR(J68="",K68="",J68+K68=0),"",2*J68*K68/(J68+K68))</f>
        <v/>
      </c>
      <c r="M68" s="5">
        <f>IF(COUNTA(E68:H68)=0,"",SUM(E68:H68))</f>
        <v/>
      </c>
      <c r="N68" s="5">
        <f>IF(M68="","先填计数",IF(M68&lt;30,"样本太少：仅描述",IF(M68&lt;100,"试点","可进入验证")))</f>
        <v/>
      </c>
      <c r="O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7">
        <f>IF(E69+F69=0,"",E69/(E69+F69))</f>
        <v/>
      </c>
      <c r="K69" s="7">
        <f>IF(E69+G69=0,"",E69/(E69+G69))</f>
        <v/>
      </c>
      <c r="L69" s="7">
        <f>IF(OR(J69="",K69="",J69+K69=0),"",2*J69*K69/(J69+K69))</f>
        <v/>
      </c>
      <c r="M69" s="5">
        <f>IF(COUNTA(E69:H69)=0,"",SUM(E69:H69))</f>
        <v/>
      </c>
      <c r="N69" s="5">
        <f>IF(M69="","先填计数",IF(M69&lt;30,"样本太少：仅描述",IF(M69&lt;100,"试点","可进入验证")))</f>
        <v/>
      </c>
      <c r="O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7">
        <f>IF(E70+F70=0,"",E70/(E70+F70))</f>
        <v/>
      </c>
      <c r="K70" s="7">
        <f>IF(E70+G70=0,"",E70/(E70+G70))</f>
        <v/>
      </c>
      <c r="L70" s="7">
        <f>IF(OR(J70="",K70="",J70+K70=0),"",2*J70*K70/(J70+K70))</f>
        <v/>
      </c>
      <c r="M70" s="5">
        <f>IF(COUNTA(E70:H70)=0,"",SUM(E70:H70))</f>
        <v/>
      </c>
      <c r="N70" s="5">
        <f>IF(M70="","先填计数",IF(M70&lt;30,"样本太少：仅描述",IF(M70&lt;100,"试点","可进入验证")))</f>
        <v/>
      </c>
      <c r="O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7">
        <f>IF(E71+F71=0,"",E71/(E71+F71))</f>
        <v/>
      </c>
      <c r="K71" s="7">
        <f>IF(E71+G71=0,"",E71/(E71+G71))</f>
        <v/>
      </c>
      <c r="L71" s="7">
        <f>IF(OR(J71="",K71="",J71+K71=0),"",2*J71*K71/(J71+K71))</f>
        <v/>
      </c>
      <c r="M71" s="5">
        <f>IF(COUNTA(E71:H71)=0,"",SUM(E71:H71))</f>
        <v/>
      </c>
      <c r="N71" s="5">
        <f>IF(M71="","先填计数",IF(M71&lt;30,"样本太少：仅描述",IF(M71&lt;100,"试点","可进入验证")))</f>
        <v/>
      </c>
      <c r="O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7">
        <f>IF(E72+F72=0,"",E72/(E72+F72))</f>
        <v/>
      </c>
      <c r="K72" s="7">
        <f>IF(E72+G72=0,"",E72/(E72+G72))</f>
        <v/>
      </c>
      <c r="L72" s="7">
        <f>IF(OR(J72="",K72="",J72+K72=0),"",2*J72*K72/(J72+K72))</f>
        <v/>
      </c>
      <c r="M72" s="5">
        <f>IF(COUNTA(E72:H72)=0,"",SUM(E72:H72))</f>
        <v/>
      </c>
      <c r="N72" s="5">
        <f>IF(M72="","先填计数",IF(M72&lt;30,"样本太少：仅描述",IF(M72&lt;100,"试点","可进入验证")))</f>
        <v/>
      </c>
      <c r="O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7">
        <f>IF(E73+F73=0,"",E73/(E73+F73))</f>
        <v/>
      </c>
      <c r="K73" s="7">
        <f>IF(E73+G73=0,"",E73/(E73+G73))</f>
        <v/>
      </c>
      <c r="L73" s="7">
        <f>IF(OR(J73="",K73="",J73+K73=0),"",2*J73*K73/(J73+K73))</f>
        <v/>
      </c>
      <c r="M73" s="5">
        <f>IF(COUNTA(E73:H73)=0,"",SUM(E73:H73))</f>
        <v/>
      </c>
      <c r="N73" s="5">
        <f>IF(M73="","先填计数",IF(M73&lt;30,"样本太少：仅描述",IF(M73&lt;100,"试点","可进入验证")))</f>
        <v/>
      </c>
      <c r="O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7">
        <f>IF(E74+F74=0,"",E74/(E74+F74))</f>
        <v/>
      </c>
      <c r="K74" s="7">
        <f>IF(E74+G74=0,"",E74/(E74+G74))</f>
        <v/>
      </c>
      <c r="L74" s="7">
        <f>IF(OR(J74="",K74="",J74+K74=0),"",2*J74*K74/(J74+K74))</f>
        <v/>
      </c>
      <c r="M74" s="5">
        <f>IF(COUNTA(E74:H74)=0,"",SUM(E74:H74))</f>
        <v/>
      </c>
      <c r="N74" s="5">
        <f>IF(M74="","先填计数",IF(M74&lt;30,"样本太少：仅描述",IF(M74&lt;100,"试点","可进入验证")))</f>
        <v/>
      </c>
      <c r="O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7">
        <f>IF(E75+F75=0,"",E75/(E75+F75))</f>
        <v/>
      </c>
      <c r="K75" s="7">
        <f>IF(E75+G75=0,"",E75/(E75+G75))</f>
        <v/>
      </c>
      <c r="L75" s="7">
        <f>IF(OR(J75="",K75="",J75+K75=0),"",2*J75*K75/(J75+K75))</f>
        <v/>
      </c>
      <c r="M75" s="5">
        <f>IF(COUNTA(E75:H75)=0,"",SUM(E75:H75))</f>
        <v/>
      </c>
      <c r="N75" s="5">
        <f>IF(M75="","先填计数",IF(M75&lt;30,"样本太少：仅描述",IF(M75&lt;100,"试点","可进入验证")))</f>
        <v/>
      </c>
      <c r="O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7">
        <f>IF(E76+F76=0,"",E76/(E76+F76))</f>
        <v/>
      </c>
      <c r="K76" s="7">
        <f>IF(E76+G76=0,"",E76/(E76+G76))</f>
        <v/>
      </c>
      <c r="L76" s="7">
        <f>IF(OR(J76="",K76="",J76+K76=0),"",2*J76*K76/(J76+K76))</f>
        <v/>
      </c>
      <c r="M76" s="5">
        <f>IF(COUNTA(E76:H76)=0,"",SUM(E76:H76))</f>
        <v/>
      </c>
      <c r="N76" s="5">
        <f>IF(M76="","先填计数",IF(M76&lt;30,"样本太少：仅描述",IF(M76&lt;100,"试点","可进入验证")))</f>
        <v/>
      </c>
      <c r="O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7">
        <f>IF(E77+F77=0,"",E77/(E77+F77))</f>
        <v/>
      </c>
      <c r="K77" s="7">
        <f>IF(E77+G77=0,"",E77/(E77+G77))</f>
        <v/>
      </c>
      <c r="L77" s="7">
        <f>IF(OR(J77="",K77="",J77+K77=0),"",2*J77*K77/(J77+K77))</f>
        <v/>
      </c>
      <c r="M77" s="5">
        <f>IF(COUNTA(E77:H77)=0,"",SUM(E77:H77))</f>
        <v/>
      </c>
      <c r="N77" s="5">
        <f>IF(M77="","先填计数",IF(M77&lt;30,"样本太少：仅描述",IF(M77&lt;100,"试点","可进入验证")))</f>
        <v/>
      </c>
      <c r="O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7">
        <f>IF(E78+F78=0,"",E78/(E78+F78))</f>
        <v/>
      </c>
      <c r="K78" s="7">
        <f>IF(E78+G78=0,"",E78/(E78+G78))</f>
        <v/>
      </c>
      <c r="L78" s="7">
        <f>IF(OR(J78="",K78="",J78+K78=0),"",2*J78*K78/(J78+K78))</f>
        <v/>
      </c>
      <c r="M78" s="5">
        <f>IF(COUNTA(E78:H78)=0,"",SUM(E78:H78))</f>
        <v/>
      </c>
      <c r="N78" s="5">
        <f>IF(M78="","先填计数",IF(M78&lt;30,"样本太少：仅描述",IF(M78&lt;100,"试点","可进入验证")))</f>
        <v/>
      </c>
      <c r="O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7">
        <f>IF(E79+F79=0,"",E79/(E79+F79))</f>
        <v/>
      </c>
      <c r="K79" s="7">
        <f>IF(E79+G79=0,"",E79/(E79+G79))</f>
        <v/>
      </c>
      <c r="L79" s="7">
        <f>IF(OR(J79="",K79="",J79+K79=0),"",2*J79*K79/(J79+K79))</f>
        <v/>
      </c>
      <c r="M79" s="5">
        <f>IF(COUNTA(E79:H79)=0,"",SUM(E79:H79))</f>
        <v/>
      </c>
      <c r="N79" s="5">
        <f>IF(M79="","先填计数",IF(M79&lt;30,"样本太少：仅描述",IF(M79&lt;100,"试点","可进入验证")))</f>
        <v/>
      </c>
      <c r="O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7">
        <f>IF(E80+F80=0,"",E80/(E80+F80))</f>
        <v/>
      </c>
      <c r="K80" s="7">
        <f>IF(E80+G80=0,"",E80/(E80+G80))</f>
        <v/>
      </c>
      <c r="L80" s="7">
        <f>IF(OR(J80="",K80="",J80+K80=0),"",2*J80*K80/(J80+K80))</f>
        <v/>
      </c>
      <c r="M80" s="5">
        <f>IF(COUNTA(E80:H80)=0,"",SUM(E80:H80))</f>
        <v/>
      </c>
      <c r="N80" s="5">
        <f>IF(M80="","先填计数",IF(M80&lt;30,"样本太少：仅描述",IF(M80&lt;100,"试点","可进入验证")))</f>
        <v/>
      </c>
      <c r="O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7">
        <f>IF(E81+F81=0,"",E81/(E81+F81))</f>
        <v/>
      </c>
      <c r="K81" s="7">
        <f>IF(E81+G81=0,"",E81/(E81+G81))</f>
        <v/>
      </c>
      <c r="L81" s="7">
        <f>IF(OR(J81="",K81="",J81+K81=0),"",2*J81*K81/(J81+K81))</f>
        <v/>
      </c>
      <c r="M81" s="5">
        <f>IF(COUNTA(E81:H81)=0,"",SUM(E81:H81))</f>
        <v/>
      </c>
      <c r="N81" s="5">
        <f>IF(M81="","先填计数",IF(M81&lt;30,"样本太少：仅描述",IF(M81&lt;100,"试点","可进入验证")))</f>
        <v/>
      </c>
      <c r="O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7">
        <f>IF(E82+F82=0,"",E82/(E82+F82))</f>
        <v/>
      </c>
      <c r="K82" s="7">
        <f>IF(E82+G82=0,"",E82/(E82+G82))</f>
        <v/>
      </c>
      <c r="L82" s="7">
        <f>IF(OR(J82="",K82="",J82+K82=0),"",2*J82*K82/(J82+K82))</f>
        <v/>
      </c>
      <c r="M82" s="5">
        <f>IF(COUNTA(E82:H82)=0,"",SUM(E82:H82))</f>
        <v/>
      </c>
      <c r="N82" s="5">
        <f>IF(M82="","先填计数",IF(M82&lt;30,"样本太少：仅描述",IF(M82&lt;100,"试点","可进入验证")))</f>
        <v/>
      </c>
      <c r="O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7">
        <f>IF(E83+F83=0,"",E83/(E83+F83))</f>
        <v/>
      </c>
      <c r="K83" s="7">
        <f>IF(E83+G83=0,"",E83/(E83+G83))</f>
        <v/>
      </c>
      <c r="L83" s="7">
        <f>IF(OR(J83="",K83="",J83+K83=0),"",2*J83*K83/(J83+K83))</f>
        <v/>
      </c>
      <c r="M83" s="5">
        <f>IF(COUNTA(E83:H83)=0,"",SUM(E83:H83))</f>
        <v/>
      </c>
      <c r="N83" s="5">
        <f>IF(M83="","先填计数",IF(M83&lt;30,"样本太少：仅描述",IF(M83&lt;100,"试点","可进入验证")))</f>
        <v/>
      </c>
      <c r="O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7">
        <f>IF(E84+F84=0,"",E84/(E84+F84))</f>
        <v/>
      </c>
      <c r="K84" s="7">
        <f>IF(E84+G84=0,"",E84/(E84+G84))</f>
        <v/>
      </c>
      <c r="L84" s="7">
        <f>IF(OR(J84="",K84="",J84+K84=0),"",2*J84*K84/(J84+K84))</f>
        <v/>
      </c>
      <c r="M84" s="5">
        <f>IF(COUNTA(E84:H84)=0,"",SUM(E84:H84))</f>
        <v/>
      </c>
      <c r="N84" s="5">
        <f>IF(M84="","先填计数",IF(M84&lt;30,"样本太少：仅描述",IF(M84&lt;100,"试点","可进入验证")))</f>
        <v/>
      </c>
      <c r="O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7">
        <f>IF(E85+F85=0,"",E85/(E85+F85))</f>
        <v/>
      </c>
      <c r="K85" s="7">
        <f>IF(E85+G85=0,"",E85/(E85+G85))</f>
        <v/>
      </c>
      <c r="L85" s="7">
        <f>IF(OR(J85="",K85="",J85+K85=0),"",2*J85*K85/(J85+K85))</f>
        <v/>
      </c>
      <c r="M85" s="5">
        <f>IF(COUNTA(E85:H85)=0,"",SUM(E85:H85))</f>
        <v/>
      </c>
      <c r="N85" s="5">
        <f>IF(M85="","先填计数",IF(M85&lt;30,"样本太少：仅描述",IF(M85&lt;100,"试点","可进入验证")))</f>
        <v/>
      </c>
      <c r="O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7">
        <f>IF(E86+F86=0,"",E86/(E86+F86))</f>
        <v/>
      </c>
      <c r="K86" s="7">
        <f>IF(E86+G86=0,"",E86/(E86+G86))</f>
        <v/>
      </c>
      <c r="L86" s="7">
        <f>IF(OR(J86="",K86="",J86+K86=0),"",2*J86*K86/(J86+K86))</f>
        <v/>
      </c>
      <c r="M86" s="5">
        <f>IF(COUNTA(E86:H86)=0,"",SUM(E86:H86))</f>
        <v/>
      </c>
      <c r="N86" s="5">
        <f>IF(M86="","先填计数",IF(M86&lt;30,"样本太少：仅描述",IF(M86&lt;100,"试点","可进入验证")))</f>
        <v/>
      </c>
      <c r="O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7">
        <f>IF(E87+F87=0,"",E87/(E87+F87))</f>
        <v/>
      </c>
      <c r="K87" s="7">
        <f>IF(E87+G87=0,"",E87/(E87+G87))</f>
        <v/>
      </c>
      <c r="L87" s="7">
        <f>IF(OR(J87="",K87="",J87+K87=0),"",2*J87*K87/(J87+K87))</f>
        <v/>
      </c>
      <c r="M87" s="5">
        <f>IF(COUNTA(E87:H87)=0,"",SUM(E87:H87))</f>
        <v/>
      </c>
      <c r="N87" s="5">
        <f>IF(M87="","先填计数",IF(M87&lt;30,"样本太少：仅描述",IF(M87&lt;100,"试点","可进入验证")))</f>
        <v/>
      </c>
      <c r="O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7">
        <f>IF(E88+F88=0,"",E88/(E88+F88))</f>
        <v/>
      </c>
      <c r="K88" s="7">
        <f>IF(E88+G88=0,"",E88/(E88+G88))</f>
        <v/>
      </c>
      <c r="L88" s="7">
        <f>IF(OR(J88="",K88="",J88+K88=0),"",2*J88*K88/(J88+K88))</f>
        <v/>
      </c>
      <c r="M88" s="5">
        <f>IF(COUNTA(E88:H88)=0,"",SUM(E88:H88))</f>
        <v/>
      </c>
      <c r="N88" s="5">
        <f>IF(M88="","先填计数",IF(M88&lt;30,"样本太少：仅描述",IF(M88&lt;100,"试点","可进入验证")))</f>
        <v/>
      </c>
      <c r="O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7">
        <f>IF(E89+F89=0,"",E89/(E89+F89))</f>
        <v/>
      </c>
      <c r="K89" s="7">
        <f>IF(E89+G89=0,"",E89/(E89+G89))</f>
        <v/>
      </c>
      <c r="L89" s="7">
        <f>IF(OR(J89="",K89="",J89+K89=0),"",2*J89*K89/(J89+K89))</f>
        <v/>
      </c>
      <c r="M89" s="5">
        <f>IF(COUNTA(E89:H89)=0,"",SUM(E89:H89))</f>
        <v/>
      </c>
      <c r="N89" s="5">
        <f>IF(M89="","先填计数",IF(M89&lt;30,"样本太少：仅描述",IF(M89&lt;100,"试点","可进入验证")))</f>
        <v/>
      </c>
      <c r="O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7">
        <f>IF(E90+F90=0,"",E90/(E90+F90))</f>
        <v/>
      </c>
      <c r="K90" s="7">
        <f>IF(E90+G90=0,"",E90/(E90+G90))</f>
        <v/>
      </c>
      <c r="L90" s="7">
        <f>IF(OR(J90="",K90="",J90+K90=0),"",2*J90*K90/(J90+K90))</f>
        <v/>
      </c>
      <c r="M90" s="5">
        <f>IF(COUNTA(E90:H90)=0,"",SUM(E90:H90))</f>
        <v/>
      </c>
      <c r="N90" s="5">
        <f>IF(M90="","先填计数",IF(M90&lt;30,"样本太少：仅描述",IF(M90&lt;100,"试点","可进入验证")))</f>
        <v/>
      </c>
      <c r="O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7">
        <f>IF(E91+F91=0,"",E91/(E91+F91))</f>
        <v/>
      </c>
      <c r="K91" s="7">
        <f>IF(E91+G91=0,"",E91/(E91+G91))</f>
        <v/>
      </c>
      <c r="L91" s="7">
        <f>IF(OR(J91="",K91="",J91+K91=0),"",2*J91*K91/(J91+K91))</f>
        <v/>
      </c>
      <c r="M91" s="5">
        <f>IF(COUNTA(E91:H91)=0,"",SUM(E91:H91))</f>
        <v/>
      </c>
      <c r="N91" s="5">
        <f>IF(M91="","先填计数",IF(M91&lt;30,"样本太少：仅描述",IF(M91&lt;100,"试点","可进入验证")))</f>
        <v/>
      </c>
      <c r="O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7">
        <f>IF(E92+F92=0,"",E92/(E92+F92))</f>
        <v/>
      </c>
      <c r="K92" s="7">
        <f>IF(E92+G92=0,"",E92/(E92+G92))</f>
        <v/>
      </c>
      <c r="L92" s="7">
        <f>IF(OR(J92="",K92="",J92+K92=0),"",2*J92*K92/(J92+K92))</f>
        <v/>
      </c>
      <c r="M92" s="5">
        <f>IF(COUNTA(E92:H92)=0,"",SUM(E92:H92))</f>
        <v/>
      </c>
      <c r="N92" s="5">
        <f>IF(M92="","先填计数",IF(M92&lt;30,"样本太少：仅描述",IF(M92&lt;100,"试点","可进入验证")))</f>
        <v/>
      </c>
      <c r="O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7">
        <f>IF(E93+F93=0,"",E93/(E93+F93))</f>
        <v/>
      </c>
      <c r="K93" s="7">
        <f>IF(E93+G93=0,"",E93/(E93+G93))</f>
        <v/>
      </c>
      <c r="L93" s="7">
        <f>IF(OR(J93="",K93="",J93+K93=0),"",2*J93*K93/(J93+K93))</f>
        <v/>
      </c>
      <c r="M93" s="5">
        <f>IF(COUNTA(E93:H93)=0,"",SUM(E93:H93))</f>
        <v/>
      </c>
      <c r="N93" s="5">
        <f>IF(M93="","先填计数",IF(M93&lt;30,"样本太少：仅描述",IF(M93&lt;100,"试点","可进入验证")))</f>
        <v/>
      </c>
      <c r="O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7">
        <f>IF(E94+F94=0,"",E94/(E94+F94))</f>
        <v/>
      </c>
      <c r="K94" s="7">
        <f>IF(E94+G94=0,"",E94/(E94+G94))</f>
        <v/>
      </c>
      <c r="L94" s="7">
        <f>IF(OR(J94="",K94="",J94+K94=0),"",2*J94*K94/(J94+K94))</f>
        <v/>
      </c>
      <c r="M94" s="5">
        <f>IF(COUNTA(E94:H94)=0,"",SUM(E94:H94))</f>
        <v/>
      </c>
      <c r="N94" s="5">
        <f>IF(M94="","先填计数",IF(M94&lt;30,"样本太少：仅描述",IF(M94&lt;100,"试点","可进入验证")))</f>
        <v/>
      </c>
      <c r="O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7">
        <f>IF(E95+F95=0,"",E95/(E95+F95))</f>
        <v/>
      </c>
      <c r="K95" s="7">
        <f>IF(E95+G95=0,"",E95/(E95+G95))</f>
        <v/>
      </c>
      <c r="L95" s="7">
        <f>IF(OR(J95="",K95="",J95+K95=0),"",2*J95*K95/(J95+K95))</f>
        <v/>
      </c>
      <c r="M95" s="5">
        <f>IF(COUNTA(E95:H95)=0,"",SUM(E95:H95))</f>
        <v/>
      </c>
      <c r="N95" s="5">
        <f>IF(M95="","先填计数",IF(M95&lt;30,"样本太少：仅描述",IF(M95&lt;100,"试点","可进入验证")))</f>
        <v/>
      </c>
      <c r="O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7">
        <f>IF(E96+F96=0,"",E96/(E96+F96))</f>
        <v/>
      </c>
      <c r="K96" s="7">
        <f>IF(E96+G96=0,"",E96/(E96+G96))</f>
        <v/>
      </c>
      <c r="L96" s="7">
        <f>IF(OR(J96="",K96="",J96+K96=0),"",2*J96*K96/(J96+K96))</f>
        <v/>
      </c>
      <c r="M96" s="5">
        <f>IF(COUNTA(E96:H96)=0,"",SUM(E96:H96))</f>
        <v/>
      </c>
      <c r="N96" s="5">
        <f>IF(M96="","先填计数",IF(M96&lt;30,"样本太少：仅描述",IF(M96&lt;100,"试点","可进入验证")))</f>
        <v/>
      </c>
      <c r="O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7">
        <f>IF(E97+F97=0,"",E97/(E97+F97))</f>
        <v/>
      </c>
      <c r="K97" s="7">
        <f>IF(E97+G97=0,"",E97/(E97+G97))</f>
        <v/>
      </c>
      <c r="L97" s="7">
        <f>IF(OR(J97="",K97="",J97+K97=0),"",2*J97*K97/(J97+K97))</f>
        <v/>
      </c>
      <c r="M97" s="5">
        <f>IF(COUNTA(E97:H97)=0,"",SUM(E97:H97))</f>
        <v/>
      </c>
      <c r="N97" s="5">
        <f>IF(M97="","先填计数",IF(M97&lt;30,"样本太少：仅描述",IF(M97&lt;100,"试点","可进入验证")))</f>
        <v/>
      </c>
      <c r="O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7">
        <f>IF(E98+F98=0,"",E98/(E98+F98))</f>
        <v/>
      </c>
      <c r="K98" s="7">
        <f>IF(E98+G98=0,"",E98/(E98+G98))</f>
        <v/>
      </c>
      <c r="L98" s="7">
        <f>IF(OR(J98="",K98="",J98+K98=0),"",2*J98*K98/(J98+K98))</f>
        <v/>
      </c>
      <c r="M98" s="5">
        <f>IF(COUNTA(E98:H98)=0,"",SUM(E98:H98))</f>
        <v/>
      </c>
      <c r="N98" s="5">
        <f>IF(M98="","先填计数",IF(M98&lt;30,"样本太少：仅描述",IF(M98&lt;100,"试点","可进入验证")))</f>
        <v/>
      </c>
      <c r="O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7">
        <f>IF(E99+F99=0,"",E99/(E99+F99))</f>
        <v/>
      </c>
      <c r="K99" s="7">
        <f>IF(E99+G99=0,"",E99/(E99+G99))</f>
        <v/>
      </c>
      <c r="L99" s="7">
        <f>IF(OR(J99="",K99="",J99+K99=0),"",2*J99*K99/(J99+K99))</f>
        <v/>
      </c>
      <c r="M99" s="5">
        <f>IF(COUNTA(E99:H99)=0,"",SUM(E99:H99))</f>
        <v/>
      </c>
      <c r="N99" s="5">
        <f>IF(M99="","先填计数",IF(M99&lt;30,"样本太少：仅描述",IF(M99&lt;100,"试点","可进入验证")))</f>
        <v/>
      </c>
      <c r="O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7">
        <f>IF(E100+F100=0,"",E100/(E100+F100))</f>
        <v/>
      </c>
      <c r="K100" s="7">
        <f>IF(E100+G100=0,"",E100/(E100+G100))</f>
        <v/>
      </c>
      <c r="L100" s="7">
        <f>IF(OR(J100="",K100="",J100+K100=0),"",2*J100*K100/(J100+K100))</f>
        <v/>
      </c>
      <c r="M100" s="5">
        <f>IF(COUNTA(E100:H100)=0,"",SUM(E100:H100))</f>
        <v/>
      </c>
      <c r="N100" s="5">
        <f>IF(M100="","先填计数",IF(M100&lt;30,"样本太少：仅描述",IF(M100&lt;100,"试点","可进入验证")))</f>
        <v/>
      </c>
      <c r="O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7">
        <f>IF(E101+F101=0,"",E101/(E101+F101))</f>
        <v/>
      </c>
      <c r="K101" s="7">
        <f>IF(E101+G101=0,"",E101/(E101+G101))</f>
        <v/>
      </c>
      <c r="L101" s="7">
        <f>IF(OR(J101="",K101="",J101+K101=0),"",2*J101*K101/(J101+K101))</f>
        <v/>
      </c>
      <c r="M101" s="5">
        <f>IF(COUNTA(E101:H101)=0,"",SUM(E101:H101))</f>
        <v/>
      </c>
      <c r="N101" s="5">
        <f>IF(M101="","先填计数",IF(M101&lt;30,"样本太少：仅描述",IF(M101&lt;100,"试点","可进入验证")))</f>
        <v/>
      </c>
      <c r="O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7">
        <f>IF(E102+F102=0,"",E102/(E102+F102))</f>
        <v/>
      </c>
      <c r="K102" s="7">
        <f>IF(E102+G102=0,"",E102/(E102+G102))</f>
        <v/>
      </c>
      <c r="L102" s="7">
        <f>IF(OR(J102="",K102="",J102+K102=0),"",2*J102*K102/(J102+K102))</f>
        <v/>
      </c>
      <c r="M102" s="5">
        <f>IF(COUNTA(E102:H102)=0,"",SUM(E102:H102))</f>
        <v/>
      </c>
      <c r="N102" s="5">
        <f>IF(M102="","先填计数",IF(M102&lt;30,"样本太少：仅描述",IF(M102&lt;100,"试点","可进入验证")))</f>
        <v/>
      </c>
      <c r="O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7">
        <f>IF(E103+F103=0,"",E103/(E103+F103))</f>
        <v/>
      </c>
      <c r="K103" s="7">
        <f>IF(E103+G103=0,"",E103/(E103+G103))</f>
        <v/>
      </c>
      <c r="L103" s="7">
        <f>IF(OR(J103="",K103="",J103+K103=0),"",2*J103*K103/(J103+K103))</f>
        <v/>
      </c>
      <c r="M103" s="5">
        <f>IF(COUNTA(E103:H103)=0,"",SUM(E103:H103))</f>
        <v/>
      </c>
      <c r="N103" s="5">
        <f>IF(M103="","先填计数",IF(M103&lt;30,"样本太少：仅描述",IF(M103&lt;100,"试点","可进入验证")))</f>
        <v/>
      </c>
      <c r="O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7">
        <f>IF(E104+F104=0,"",E104/(E104+F104))</f>
        <v/>
      </c>
      <c r="K104" s="7">
        <f>IF(E104+G104=0,"",E104/(E104+G104))</f>
        <v/>
      </c>
      <c r="L104" s="7">
        <f>IF(OR(J104="",K104="",J104+K104=0),"",2*J104*K104/(J104+K104))</f>
        <v/>
      </c>
      <c r="M104" s="5">
        <f>IF(COUNTA(E104:H104)=0,"",SUM(E104:H104))</f>
        <v/>
      </c>
      <c r="N104" s="5">
        <f>IF(M104="","先填计数",IF(M104&lt;30,"样本太少：仅描述",IF(M104&lt;100,"试点","可进入验证")))</f>
        <v/>
      </c>
      <c r="O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7">
        <f>IF(E105+F105=0,"",E105/(E105+F105))</f>
        <v/>
      </c>
      <c r="K105" s="7">
        <f>IF(E105+G105=0,"",E105/(E105+G105))</f>
        <v/>
      </c>
      <c r="L105" s="7">
        <f>IF(OR(J105="",K105="",J105+K105=0),"",2*J105*K105/(J105+K105))</f>
        <v/>
      </c>
      <c r="M105" s="5">
        <f>IF(COUNTA(E105:H105)=0,"",SUM(E105:H105))</f>
        <v/>
      </c>
      <c r="N105" s="5">
        <f>IF(M105="","先填计数",IF(M105&lt;30,"样本太少：仅描述",IF(M105&lt;100,"试点","可进入验证")))</f>
        <v/>
      </c>
      <c r="O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7">
        <f>IF(E106+F106=0,"",E106/(E106+F106))</f>
        <v/>
      </c>
      <c r="K106" s="7">
        <f>IF(E106+G106=0,"",E106/(E106+G106))</f>
        <v/>
      </c>
      <c r="L106" s="7">
        <f>IF(OR(J106="",K106="",J106+K106=0),"",2*J106*K106/(J106+K106))</f>
        <v/>
      </c>
      <c r="M106" s="5">
        <f>IF(COUNTA(E106:H106)=0,"",SUM(E106:H106))</f>
        <v/>
      </c>
      <c r="N106" s="5">
        <f>IF(M106="","先填计数",IF(M106&lt;30,"样本太少：仅描述",IF(M106&lt;100,"试点","可进入验证")))</f>
        <v/>
      </c>
      <c r="O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7">
        <f>IF(E107+F107=0,"",E107/(E107+F107))</f>
        <v/>
      </c>
      <c r="K107" s="7">
        <f>IF(E107+G107=0,"",E107/(E107+G107))</f>
        <v/>
      </c>
      <c r="L107" s="7">
        <f>IF(OR(J107="",K107="",J107+K107=0),"",2*J107*K107/(J107+K107))</f>
        <v/>
      </c>
      <c r="M107" s="5">
        <f>IF(COUNTA(E107:H107)=0,"",SUM(E107:H107))</f>
        <v/>
      </c>
      <c r="N107" s="5">
        <f>IF(M107="","先填计数",IF(M107&lt;30,"样本太少：仅描述",IF(M107&lt;100,"试点","可进入验证")))</f>
        <v/>
      </c>
      <c r="O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7">
        <f>IF(E108+F108=0,"",E108/(E108+F108))</f>
        <v/>
      </c>
      <c r="K108" s="7">
        <f>IF(E108+G108=0,"",E108/(E108+G108))</f>
        <v/>
      </c>
      <c r="L108" s="7">
        <f>IF(OR(J108="",K108="",J108+K108=0),"",2*J108*K108/(J108+K108))</f>
        <v/>
      </c>
      <c r="M108" s="5">
        <f>IF(COUNTA(E108:H108)=0,"",SUM(E108:H108))</f>
        <v/>
      </c>
      <c r="N108" s="5">
        <f>IF(M108="","先填计数",IF(M108&lt;30,"样本太少：仅描述",IF(M108&lt;100,"试点","可进入验证")))</f>
        <v/>
      </c>
      <c r="O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7">
        <f>IF(E109+F109=0,"",E109/(E109+F109))</f>
        <v/>
      </c>
      <c r="K109" s="7">
        <f>IF(E109+G109=0,"",E109/(E109+G109))</f>
        <v/>
      </c>
      <c r="L109" s="7">
        <f>IF(OR(J109="",K109="",J109+K109=0),"",2*J109*K109/(J109+K109))</f>
        <v/>
      </c>
      <c r="M109" s="5">
        <f>IF(COUNTA(E109:H109)=0,"",SUM(E109:H109))</f>
        <v/>
      </c>
      <c r="N109" s="5">
        <f>IF(M109="","先填计数",IF(M109&lt;30,"样本太少：仅描述",IF(M109&lt;100,"试点","可进入验证")))</f>
        <v/>
      </c>
      <c r="O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7">
        <f>IF(E110+F110=0,"",E110/(E110+F110))</f>
        <v/>
      </c>
      <c r="K110" s="7">
        <f>IF(E110+G110=0,"",E110/(E110+G110))</f>
        <v/>
      </c>
      <c r="L110" s="7">
        <f>IF(OR(J110="",K110="",J110+K110=0),"",2*J110*K110/(J110+K110))</f>
        <v/>
      </c>
      <c r="M110" s="5">
        <f>IF(COUNTA(E110:H110)=0,"",SUM(E110:H110))</f>
        <v/>
      </c>
      <c r="N110" s="5">
        <f>IF(M110="","先填计数",IF(M110&lt;30,"样本太少：仅描述",IF(M110&lt;100,"试点","可进入验证")))</f>
        <v/>
      </c>
      <c r="O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7">
        <f>IF(E111+F111=0,"",E111/(E111+F111))</f>
        <v/>
      </c>
      <c r="K111" s="7">
        <f>IF(E111+G111=0,"",E111/(E111+G111))</f>
        <v/>
      </c>
      <c r="L111" s="7">
        <f>IF(OR(J111="",K111="",J111+K111=0),"",2*J111*K111/(J111+K111))</f>
        <v/>
      </c>
      <c r="M111" s="5">
        <f>IF(COUNTA(E111:H111)=0,"",SUM(E111:H111))</f>
        <v/>
      </c>
      <c r="N111" s="5">
        <f>IF(M111="","先填计数",IF(M111&lt;30,"样本太少：仅描述",IF(M111&lt;100,"试点","可进入验证")))</f>
        <v/>
      </c>
      <c r="O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7">
        <f>IF(E112+F112=0,"",E112/(E112+F112))</f>
        <v/>
      </c>
      <c r="K112" s="7">
        <f>IF(E112+G112=0,"",E112/(E112+G112))</f>
        <v/>
      </c>
      <c r="L112" s="7">
        <f>IF(OR(J112="",K112="",J112+K112=0),"",2*J112*K112/(J112+K112))</f>
        <v/>
      </c>
      <c r="M112" s="5">
        <f>IF(COUNTA(E112:H112)=0,"",SUM(E112:H112))</f>
        <v/>
      </c>
      <c r="N112" s="5">
        <f>IF(M112="","先填计数",IF(M112&lt;30,"样本太少：仅描述",IF(M112&lt;100,"试点","可进入验证")))</f>
        <v/>
      </c>
      <c r="O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7">
        <f>IF(E113+F113=0,"",E113/(E113+F113))</f>
        <v/>
      </c>
      <c r="K113" s="7">
        <f>IF(E113+G113=0,"",E113/(E113+G113))</f>
        <v/>
      </c>
      <c r="L113" s="7">
        <f>IF(OR(J113="",K113="",J113+K113=0),"",2*J113*K113/(J113+K113))</f>
        <v/>
      </c>
      <c r="M113" s="5">
        <f>IF(COUNTA(E113:H113)=0,"",SUM(E113:H113))</f>
        <v/>
      </c>
      <c r="N113" s="5">
        <f>IF(M113="","先填计数",IF(M113&lt;30,"样本太少：仅描述",IF(M113&lt;100,"试点","可进入验证")))</f>
        <v/>
      </c>
      <c r="O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7">
        <f>IF(E114+F114=0,"",E114/(E114+F114))</f>
        <v/>
      </c>
      <c r="K114" s="7">
        <f>IF(E114+G114=0,"",E114/(E114+G114))</f>
        <v/>
      </c>
      <c r="L114" s="7">
        <f>IF(OR(J114="",K114="",J114+K114=0),"",2*J114*K114/(J114+K114))</f>
        <v/>
      </c>
      <c r="M114" s="5">
        <f>IF(COUNTA(E114:H114)=0,"",SUM(E114:H114))</f>
        <v/>
      </c>
      <c r="N114" s="5">
        <f>IF(M114="","先填计数",IF(M114&lt;30,"样本太少：仅描述",IF(M114&lt;100,"试点","可进入验证")))</f>
        <v/>
      </c>
      <c r="O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7">
        <f>IF(E115+F115=0,"",E115/(E115+F115))</f>
        <v/>
      </c>
      <c r="K115" s="7">
        <f>IF(E115+G115=0,"",E115/(E115+G115))</f>
        <v/>
      </c>
      <c r="L115" s="7">
        <f>IF(OR(J115="",K115="",J115+K115=0),"",2*J115*K115/(J115+K115))</f>
        <v/>
      </c>
      <c r="M115" s="5">
        <f>IF(COUNTA(E115:H115)=0,"",SUM(E115:H115))</f>
        <v/>
      </c>
      <c r="N115" s="5">
        <f>IF(M115="","先填计数",IF(M115&lt;30,"样本太少：仅描述",IF(M115&lt;100,"试点","可进入验证")))</f>
        <v/>
      </c>
      <c r="O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7">
        <f>IF(E116+F116=0,"",E116/(E116+F116))</f>
        <v/>
      </c>
      <c r="K116" s="7">
        <f>IF(E116+G116=0,"",E116/(E116+G116))</f>
        <v/>
      </c>
      <c r="L116" s="7">
        <f>IF(OR(J116="",K116="",J116+K116=0),"",2*J116*K116/(J116+K116))</f>
        <v/>
      </c>
      <c r="M116" s="5">
        <f>IF(COUNTA(E116:H116)=0,"",SUM(E116:H116))</f>
        <v/>
      </c>
      <c r="N116" s="5">
        <f>IF(M116="","先填计数",IF(M116&lt;30,"样本太少：仅描述",IF(M116&lt;100,"试点","可进入验证")))</f>
        <v/>
      </c>
      <c r="O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7">
        <f>IF(E117+F117=0,"",E117/(E117+F117))</f>
        <v/>
      </c>
      <c r="K117" s="7">
        <f>IF(E117+G117=0,"",E117/(E117+G117))</f>
        <v/>
      </c>
      <c r="L117" s="7">
        <f>IF(OR(J117="",K117="",J117+K117=0),"",2*J117*K117/(J117+K117))</f>
        <v/>
      </c>
      <c r="M117" s="5">
        <f>IF(COUNTA(E117:H117)=0,"",SUM(E117:H117))</f>
        <v/>
      </c>
      <c r="N117" s="5">
        <f>IF(M117="","先填计数",IF(M117&lt;30,"样本太少：仅描述",IF(M117&lt;100,"试点","可进入验证")))</f>
        <v/>
      </c>
      <c r="O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7">
        <f>IF(E118+F118=0,"",E118/(E118+F118))</f>
        <v/>
      </c>
      <c r="K118" s="7">
        <f>IF(E118+G118=0,"",E118/(E118+G118))</f>
        <v/>
      </c>
      <c r="L118" s="7">
        <f>IF(OR(J118="",K118="",J118+K118=0),"",2*J118*K118/(J118+K118))</f>
        <v/>
      </c>
      <c r="M118" s="5">
        <f>IF(COUNTA(E118:H118)=0,"",SUM(E118:H118))</f>
        <v/>
      </c>
      <c r="N118" s="5">
        <f>IF(M118="","先填计数",IF(M118&lt;30,"样本太少：仅描述",IF(M118&lt;100,"试点","可进入验证")))</f>
        <v/>
      </c>
      <c r="O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7">
        <f>IF(E119+F119=0,"",E119/(E119+F119))</f>
        <v/>
      </c>
      <c r="K119" s="7">
        <f>IF(E119+G119=0,"",E119/(E119+G119))</f>
        <v/>
      </c>
      <c r="L119" s="7">
        <f>IF(OR(J119="",K119="",J119+K119=0),"",2*J119*K119/(J119+K119))</f>
        <v/>
      </c>
      <c r="M119" s="5">
        <f>IF(COUNTA(E119:H119)=0,"",SUM(E119:H119))</f>
        <v/>
      </c>
      <c r="N119" s="5">
        <f>IF(M119="","先填计数",IF(M119&lt;30,"样本太少：仅描述",IF(M119&lt;100,"试点","可进入验证")))</f>
        <v/>
      </c>
      <c r="O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7">
        <f>IF(E120+F120=0,"",E120/(E120+F120))</f>
        <v/>
      </c>
      <c r="K120" s="7">
        <f>IF(E120+G120=0,"",E120/(E120+G120))</f>
        <v/>
      </c>
      <c r="L120" s="7">
        <f>IF(OR(J120="",K120="",J120+K120=0),"",2*J120*K120/(J120+K120))</f>
        <v/>
      </c>
      <c r="M120" s="5">
        <f>IF(COUNTA(E120:H120)=0,"",SUM(E120:H120))</f>
        <v/>
      </c>
      <c r="N120" s="5">
        <f>IF(M120="","先填计数",IF(M120&lt;30,"样本太少：仅描述",IF(M120&lt;100,"试点","可进入验证")))</f>
        <v/>
      </c>
      <c r="O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7">
        <f>IF(E121+F121=0,"",E121/(E121+F121))</f>
        <v/>
      </c>
      <c r="K121" s="7">
        <f>IF(E121+G121=0,"",E121/(E121+G121))</f>
        <v/>
      </c>
      <c r="L121" s="7">
        <f>IF(OR(J121="",K121="",J121+K121=0),"",2*J121*K121/(J121+K121))</f>
        <v/>
      </c>
      <c r="M121" s="5">
        <f>IF(COUNTA(E121:H121)=0,"",SUM(E121:H121))</f>
        <v/>
      </c>
      <c r="N121" s="5">
        <f>IF(M121="","先填计数",IF(M121&lt;30,"样本太少：仅描述",IF(M121&lt;100,"试点","可进入验证")))</f>
        <v/>
      </c>
      <c r="O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7">
        <f>IF(E122+F122=0,"",E122/(E122+F122))</f>
        <v/>
      </c>
      <c r="K122" s="7">
        <f>IF(E122+G122=0,"",E122/(E122+G122))</f>
        <v/>
      </c>
      <c r="L122" s="7">
        <f>IF(OR(J122="",K122="",J122+K122=0),"",2*J122*K122/(J122+K122))</f>
        <v/>
      </c>
      <c r="M122" s="5">
        <f>IF(COUNTA(E122:H122)=0,"",SUM(E122:H122))</f>
        <v/>
      </c>
      <c r="N122" s="5">
        <f>IF(M122="","先填计数",IF(M122&lt;30,"样本太少：仅描述",IF(M122&lt;100,"试点","可进入验证")))</f>
        <v/>
      </c>
      <c r="O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7">
        <f>IF(E123+F123=0,"",E123/(E123+F123))</f>
        <v/>
      </c>
      <c r="K123" s="7">
        <f>IF(E123+G123=0,"",E123/(E123+G123))</f>
        <v/>
      </c>
      <c r="L123" s="7">
        <f>IF(OR(J123="",K123="",J123+K123=0),"",2*J123*K123/(J123+K123))</f>
        <v/>
      </c>
      <c r="M123" s="5">
        <f>IF(COUNTA(E123:H123)=0,"",SUM(E123:H123))</f>
        <v/>
      </c>
      <c r="N123" s="5">
        <f>IF(M123="","先填计数",IF(M123&lt;30,"样本太少：仅描述",IF(M123&lt;100,"试点","可进入验证")))</f>
        <v/>
      </c>
      <c r="O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7">
        <f>IF(E124+F124=0,"",E124/(E124+F124))</f>
        <v/>
      </c>
      <c r="K124" s="7">
        <f>IF(E124+G124=0,"",E124/(E124+G124))</f>
        <v/>
      </c>
      <c r="L124" s="7">
        <f>IF(OR(J124="",K124="",J124+K124=0),"",2*J124*K124/(J124+K124))</f>
        <v/>
      </c>
      <c r="M124" s="5">
        <f>IF(COUNTA(E124:H124)=0,"",SUM(E124:H124))</f>
        <v/>
      </c>
      <c r="N124" s="5">
        <f>IF(M124="","先填计数",IF(M124&lt;30,"样本太少：仅描述",IF(M124&lt;100,"试点","可进入验证")))</f>
        <v/>
      </c>
      <c r="O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7">
        <f>IF(E125+F125=0,"",E125/(E125+F125))</f>
        <v/>
      </c>
      <c r="K125" s="7">
        <f>IF(E125+G125=0,"",E125/(E125+G125))</f>
        <v/>
      </c>
      <c r="L125" s="7">
        <f>IF(OR(J125="",K125="",J125+K125=0),"",2*J125*K125/(J125+K125))</f>
        <v/>
      </c>
      <c r="M125" s="5">
        <f>IF(COUNTA(E125:H125)=0,"",SUM(E125:H125))</f>
        <v/>
      </c>
      <c r="N125" s="5">
        <f>IF(M125="","先填计数",IF(M125&lt;30,"样本太少：仅描述",IF(M125&lt;100,"试点","可进入验证")))</f>
        <v/>
      </c>
      <c r="O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7">
        <f>IF(E126+F126=0,"",E126/(E126+F126))</f>
        <v/>
      </c>
      <c r="K126" s="7">
        <f>IF(E126+G126=0,"",E126/(E126+G126))</f>
        <v/>
      </c>
      <c r="L126" s="7">
        <f>IF(OR(J126="",K126="",J126+K126=0),"",2*J126*K126/(J126+K126))</f>
        <v/>
      </c>
      <c r="M126" s="5">
        <f>IF(COUNTA(E126:H126)=0,"",SUM(E126:H126))</f>
        <v/>
      </c>
      <c r="N126" s="5">
        <f>IF(M126="","先填计数",IF(M126&lt;30,"样本太少：仅描述",IF(M126&lt;100,"试点","可进入验证")))</f>
        <v/>
      </c>
      <c r="O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7">
        <f>IF(E127+F127=0,"",E127/(E127+F127))</f>
        <v/>
      </c>
      <c r="K127" s="7">
        <f>IF(E127+G127=0,"",E127/(E127+G127))</f>
        <v/>
      </c>
      <c r="L127" s="7">
        <f>IF(OR(J127="",K127="",J127+K127=0),"",2*J127*K127/(J127+K127))</f>
        <v/>
      </c>
      <c r="M127" s="5">
        <f>IF(COUNTA(E127:H127)=0,"",SUM(E127:H127))</f>
        <v/>
      </c>
      <c r="N127" s="5">
        <f>IF(M127="","先填计数",IF(M127&lt;30,"样本太少：仅描述",IF(M127&lt;100,"试点","可进入验证")))</f>
        <v/>
      </c>
      <c r="O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7">
        <f>IF(E128+F128=0,"",E128/(E128+F128))</f>
        <v/>
      </c>
      <c r="K128" s="7">
        <f>IF(E128+G128=0,"",E128/(E128+G128))</f>
        <v/>
      </c>
      <c r="L128" s="7">
        <f>IF(OR(J128="",K128="",J128+K128=0),"",2*J128*K128/(J128+K128))</f>
        <v/>
      </c>
      <c r="M128" s="5">
        <f>IF(COUNTA(E128:H128)=0,"",SUM(E128:H128))</f>
        <v/>
      </c>
      <c r="N128" s="5">
        <f>IF(M128="","先填计数",IF(M128&lt;30,"样本太少：仅描述",IF(M128&lt;100,"试点","可进入验证")))</f>
        <v/>
      </c>
      <c r="O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7">
        <f>IF(E129+F129=0,"",E129/(E129+F129))</f>
        <v/>
      </c>
      <c r="K129" s="7">
        <f>IF(E129+G129=0,"",E129/(E129+G129))</f>
        <v/>
      </c>
      <c r="L129" s="7">
        <f>IF(OR(J129="",K129="",J129+K129=0),"",2*J129*K129/(J129+K129))</f>
        <v/>
      </c>
      <c r="M129" s="5">
        <f>IF(COUNTA(E129:H129)=0,"",SUM(E129:H129))</f>
        <v/>
      </c>
      <c r="N129" s="5">
        <f>IF(M129="","先填计数",IF(M129&lt;30,"样本太少：仅描述",IF(M129&lt;100,"试点","可进入验证")))</f>
        <v/>
      </c>
      <c r="O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7">
        <f>IF(E130+F130=0,"",E130/(E130+F130))</f>
        <v/>
      </c>
      <c r="K130" s="7">
        <f>IF(E130+G130=0,"",E130/(E130+G130))</f>
        <v/>
      </c>
      <c r="L130" s="7">
        <f>IF(OR(J130="",K130="",J130+K130=0),"",2*J130*K130/(J130+K130))</f>
        <v/>
      </c>
      <c r="M130" s="5">
        <f>IF(COUNTA(E130:H130)=0,"",SUM(E130:H130))</f>
        <v/>
      </c>
      <c r="N130" s="5">
        <f>IF(M130="","先填计数",IF(M130&lt;30,"样本太少：仅描述",IF(M130&lt;100,"试点","可进入验证")))</f>
        <v/>
      </c>
      <c r="O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7">
        <f>IF(E131+F131=0,"",E131/(E131+F131))</f>
        <v/>
      </c>
      <c r="K131" s="7">
        <f>IF(E131+G131=0,"",E131/(E131+G131))</f>
        <v/>
      </c>
      <c r="L131" s="7">
        <f>IF(OR(J131="",K131="",J131+K131=0),"",2*J131*K131/(J131+K131))</f>
        <v/>
      </c>
      <c r="M131" s="5">
        <f>IF(COUNTA(E131:H131)=0,"",SUM(E131:H131))</f>
        <v/>
      </c>
      <c r="N131" s="5">
        <f>IF(M131="","先填计数",IF(M131&lt;30,"样本太少：仅描述",IF(M131&lt;100,"试点","可进入验证")))</f>
        <v/>
      </c>
      <c r="O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7">
        <f>IF(E132+F132=0,"",E132/(E132+F132))</f>
        <v/>
      </c>
      <c r="K132" s="7">
        <f>IF(E132+G132=0,"",E132/(E132+G132))</f>
        <v/>
      </c>
      <c r="L132" s="7">
        <f>IF(OR(J132="",K132="",J132+K132=0),"",2*J132*K132/(J132+K132))</f>
        <v/>
      </c>
      <c r="M132" s="5">
        <f>IF(COUNTA(E132:H132)=0,"",SUM(E132:H132))</f>
        <v/>
      </c>
      <c r="N132" s="5">
        <f>IF(M132="","先填计数",IF(M132&lt;30,"样本太少：仅描述",IF(M132&lt;100,"试点","可进入验证")))</f>
        <v/>
      </c>
      <c r="O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7">
        <f>IF(E133+F133=0,"",E133/(E133+F133))</f>
        <v/>
      </c>
      <c r="K133" s="7">
        <f>IF(E133+G133=0,"",E133/(E133+G133))</f>
        <v/>
      </c>
      <c r="L133" s="7">
        <f>IF(OR(J133="",K133="",J133+K133=0),"",2*J133*K133/(J133+K133))</f>
        <v/>
      </c>
      <c r="M133" s="5">
        <f>IF(COUNTA(E133:H133)=0,"",SUM(E133:H133))</f>
        <v/>
      </c>
      <c r="N133" s="5">
        <f>IF(M133="","先填计数",IF(M133&lt;30,"样本太少：仅描述",IF(M133&lt;100,"试点","可进入验证")))</f>
        <v/>
      </c>
      <c r="O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7">
        <f>IF(E134+F134=0,"",E134/(E134+F134))</f>
        <v/>
      </c>
      <c r="K134" s="7">
        <f>IF(E134+G134=0,"",E134/(E134+G134))</f>
        <v/>
      </c>
      <c r="L134" s="7">
        <f>IF(OR(J134="",K134="",J134+K134=0),"",2*J134*K134/(J134+K134))</f>
        <v/>
      </c>
      <c r="M134" s="5">
        <f>IF(COUNTA(E134:H134)=0,"",SUM(E134:H134))</f>
        <v/>
      </c>
      <c r="N134" s="5">
        <f>IF(M134="","先填计数",IF(M134&lt;30,"样本太少：仅描述",IF(M134&lt;100,"试点","可进入验证")))</f>
        <v/>
      </c>
      <c r="O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7">
        <f>IF(E135+F135=0,"",E135/(E135+F135))</f>
        <v/>
      </c>
      <c r="K135" s="7">
        <f>IF(E135+G135=0,"",E135/(E135+G135))</f>
        <v/>
      </c>
      <c r="L135" s="7">
        <f>IF(OR(J135="",K135="",J135+K135=0),"",2*J135*K135/(J135+K135))</f>
        <v/>
      </c>
      <c r="M135" s="5">
        <f>IF(COUNTA(E135:H135)=0,"",SUM(E135:H135))</f>
        <v/>
      </c>
      <c r="N135" s="5">
        <f>IF(M135="","先填计数",IF(M135&lt;30,"样本太少：仅描述",IF(M135&lt;100,"试点","可进入验证")))</f>
        <v/>
      </c>
      <c r="O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7">
        <f>IF(E136+F136=0,"",E136/(E136+F136))</f>
        <v/>
      </c>
      <c r="K136" s="7">
        <f>IF(E136+G136=0,"",E136/(E136+G136))</f>
        <v/>
      </c>
      <c r="L136" s="7">
        <f>IF(OR(J136="",K136="",J136+K136=0),"",2*J136*K136/(J136+K136))</f>
        <v/>
      </c>
      <c r="M136" s="5">
        <f>IF(COUNTA(E136:H136)=0,"",SUM(E136:H136))</f>
        <v/>
      </c>
      <c r="N136" s="5">
        <f>IF(M136="","先填计数",IF(M136&lt;30,"样本太少：仅描述",IF(M136&lt;100,"试点","可进入验证")))</f>
        <v/>
      </c>
      <c r="O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7">
        <f>IF(E137+F137=0,"",E137/(E137+F137))</f>
        <v/>
      </c>
      <c r="K137" s="7">
        <f>IF(E137+G137=0,"",E137/(E137+G137))</f>
        <v/>
      </c>
      <c r="L137" s="7">
        <f>IF(OR(J137="",K137="",J137+K137=0),"",2*J137*K137/(J137+K137))</f>
        <v/>
      </c>
      <c r="M137" s="5">
        <f>IF(COUNTA(E137:H137)=0,"",SUM(E137:H137))</f>
        <v/>
      </c>
      <c r="N137" s="5">
        <f>IF(M137="","先填计数",IF(M137&lt;30,"样本太少：仅描述",IF(M137&lt;100,"试点","可进入验证")))</f>
        <v/>
      </c>
      <c r="O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7">
        <f>IF(E138+F138=0,"",E138/(E138+F138))</f>
        <v/>
      </c>
      <c r="K138" s="7">
        <f>IF(E138+G138=0,"",E138/(E138+G138))</f>
        <v/>
      </c>
      <c r="L138" s="7">
        <f>IF(OR(J138="",K138="",J138+K138=0),"",2*J138*K138/(J138+K138))</f>
        <v/>
      </c>
      <c r="M138" s="5">
        <f>IF(COUNTA(E138:H138)=0,"",SUM(E138:H138))</f>
        <v/>
      </c>
      <c r="N138" s="5">
        <f>IF(M138="","先填计数",IF(M138&lt;30,"样本太少：仅描述",IF(M138&lt;100,"试点","可进入验证")))</f>
        <v/>
      </c>
      <c r="O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7">
        <f>IF(E139+F139=0,"",E139/(E139+F139))</f>
        <v/>
      </c>
      <c r="K139" s="7">
        <f>IF(E139+G139=0,"",E139/(E139+G139))</f>
        <v/>
      </c>
      <c r="L139" s="7">
        <f>IF(OR(J139="",K139="",J139+K139=0),"",2*J139*K139/(J139+K139))</f>
        <v/>
      </c>
      <c r="M139" s="5">
        <f>IF(COUNTA(E139:H139)=0,"",SUM(E139:H139))</f>
        <v/>
      </c>
      <c r="N139" s="5">
        <f>IF(M139="","先填计数",IF(M139&lt;30,"样本太少：仅描述",IF(M139&lt;100,"试点","可进入验证")))</f>
        <v/>
      </c>
      <c r="O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7">
        <f>IF(E140+F140=0,"",E140/(E140+F140))</f>
        <v/>
      </c>
      <c r="K140" s="7">
        <f>IF(E140+G140=0,"",E140/(E140+G140))</f>
        <v/>
      </c>
      <c r="L140" s="7">
        <f>IF(OR(J140="",K140="",J140+K140=0),"",2*J140*K140/(J140+K140))</f>
        <v/>
      </c>
      <c r="M140" s="5">
        <f>IF(COUNTA(E140:H140)=0,"",SUM(E140:H140))</f>
        <v/>
      </c>
      <c r="N140" s="5">
        <f>IF(M140="","先填计数",IF(M140&lt;30,"样本太少：仅描述",IF(M140&lt;100,"试点","可进入验证")))</f>
        <v/>
      </c>
      <c r="O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7">
        <f>IF(E141+F141=0,"",E141/(E141+F141))</f>
        <v/>
      </c>
      <c r="K141" s="7">
        <f>IF(E141+G141=0,"",E141/(E141+G141))</f>
        <v/>
      </c>
      <c r="L141" s="7">
        <f>IF(OR(J141="",K141="",J141+K141=0),"",2*J141*K141/(J141+K141))</f>
        <v/>
      </c>
      <c r="M141" s="5">
        <f>IF(COUNTA(E141:H141)=0,"",SUM(E141:H141))</f>
        <v/>
      </c>
      <c r="N141" s="5">
        <f>IF(M141="","先填计数",IF(M141&lt;30,"样本太少：仅描述",IF(M141&lt;100,"试点","可进入验证")))</f>
        <v/>
      </c>
      <c r="O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7">
        <f>IF(E142+F142=0,"",E142/(E142+F142))</f>
        <v/>
      </c>
      <c r="K142" s="7">
        <f>IF(E142+G142=0,"",E142/(E142+G142))</f>
        <v/>
      </c>
      <c r="L142" s="7">
        <f>IF(OR(J142="",K142="",J142+K142=0),"",2*J142*K142/(J142+K142))</f>
        <v/>
      </c>
      <c r="M142" s="5">
        <f>IF(COUNTA(E142:H142)=0,"",SUM(E142:H142))</f>
        <v/>
      </c>
      <c r="N142" s="5">
        <f>IF(M142="","先填计数",IF(M142&lt;30,"样本太少：仅描述",IF(M142&lt;100,"试点","可进入验证")))</f>
        <v/>
      </c>
      <c r="O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7">
        <f>IF(E143+F143=0,"",E143/(E143+F143))</f>
        <v/>
      </c>
      <c r="K143" s="7">
        <f>IF(E143+G143=0,"",E143/(E143+G143))</f>
        <v/>
      </c>
      <c r="L143" s="7">
        <f>IF(OR(J143="",K143="",J143+K143=0),"",2*J143*K143/(J143+K143))</f>
        <v/>
      </c>
      <c r="M143" s="5">
        <f>IF(COUNTA(E143:H143)=0,"",SUM(E143:H143))</f>
        <v/>
      </c>
      <c r="N143" s="5">
        <f>IF(M143="","先填计数",IF(M143&lt;30,"样本太少：仅描述",IF(M143&lt;100,"试点","可进入验证")))</f>
        <v/>
      </c>
      <c r="O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7">
        <f>IF(E144+F144=0,"",E144/(E144+F144))</f>
        <v/>
      </c>
      <c r="K144" s="7">
        <f>IF(E144+G144=0,"",E144/(E144+G144))</f>
        <v/>
      </c>
      <c r="L144" s="7">
        <f>IF(OR(J144="",K144="",J144+K144=0),"",2*J144*K144/(J144+K144))</f>
        <v/>
      </c>
      <c r="M144" s="5">
        <f>IF(COUNTA(E144:H144)=0,"",SUM(E144:H144))</f>
        <v/>
      </c>
      <c r="N144" s="5">
        <f>IF(M144="","先填计数",IF(M144&lt;30,"样本太少：仅描述",IF(M144&lt;100,"试点","可进入验证")))</f>
        <v/>
      </c>
      <c r="O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7">
        <f>IF(E145+F145=0,"",E145/(E145+F145))</f>
        <v/>
      </c>
      <c r="K145" s="7">
        <f>IF(E145+G145=0,"",E145/(E145+G145))</f>
        <v/>
      </c>
      <c r="L145" s="7">
        <f>IF(OR(J145="",K145="",J145+K145=0),"",2*J145*K145/(J145+K145))</f>
        <v/>
      </c>
      <c r="M145" s="5">
        <f>IF(COUNTA(E145:H145)=0,"",SUM(E145:H145))</f>
        <v/>
      </c>
      <c r="N145" s="5">
        <f>IF(M145="","先填计数",IF(M145&lt;30,"样本太少：仅描述",IF(M145&lt;100,"试点","可进入验证")))</f>
        <v/>
      </c>
      <c r="O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7">
        <f>IF(E146+F146=0,"",E146/(E146+F146))</f>
        <v/>
      </c>
      <c r="K146" s="7">
        <f>IF(E146+G146=0,"",E146/(E146+G146))</f>
        <v/>
      </c>
      <c r="L146" s="7">
        <f>IF(OR(J146="",K146="",J146+K146=0),"",2*J146*K146/(J146+K146))</f>
        <v/>
      </c>
      <c r="M146" s="5">
        <f>IF(COUNTA(E146:H146)=0,"",SUM(E146:H146))</f>
        <v/>
      </c>
      <c r="N146" s="5">
        <f>IF(M146="","先填计数",IF(M146&lt;30,"样本太少：仅描述",IF(M146&lt;100,"试点","可进入验证")))</f>
        <v/>
      </c>
      <c r="O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7">
        <f>IF(E147+F147=0,"",E147/(E147+F147))</f>
        <v/>
      </c>
      <c r="K147" s="7">
        <f>IF(E147+G147=0,"",E147/(E147+G147))</f>
        <v/>
      </c>
      <c r="L147" s="7">
        <f>IF(OR(J147="",K147="",J147+K147=0),"",2*J147*K147/(J147+K147))</f>
        <v/>
      </c>
      <c r="M147" s="5">
        <f>IF(COUNTA(E147:H147)=0,"",SUM(E147:H147))</f>
        <v/>
      </c>
      <c r="N147" s="5">
        <f>IF(M147="","先填计数",IF(M147&lt;30,"样本太少：仅描述",IF(M147&lt;100,"试点","可进入验证")))</f>
        <v/>
      </c>
      <c r="O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7">
        <f>IF(E148+F148=0,"",E148/(E148+F148))</f>
        <v/>
      </c>
      <c r="K148" s="7">
        <f>IF(E148+G148=0,"",E148/(E148+G148))</f>
        <v/>
      </c>
      <c r="L148" s="7">
        <f>IF(OR(J148="",K148="",J148+K148=0),"",2*J148*K148/(J148+K148))</f>
        <v/>
      </c>
      <c r="M148" s="5">
        <f>IF(COUNTA(E148:H148)=0,"",SUM(E148:H148))</f>
        <v/>
      </c>
      <c r="N148" s="5">
        <f>IF(M148="","先填计数",IF(M148&lt;30,"样本太少：仅描述",IF(M148&lt;100,"试点","可进入验证")))</f>
        <v/>
      </c>
      <c r="O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7">
        <f>IF(E149+F149=0,"",E149/(E149+F149))</f>
        <v/>
      </c>
      <c r="K149" s="7">
        <f>IF(E149+G149=0,"",E149/(E149+G149))</f>
        <v/>
      </c>
      <c r="L149" s="7">
        <f>IF(OR(J149="",K149="",J149+K149=0),"",2*J149*K149/(J149+K149))</f>
        <v/>
      </c>
      <c r="M149" s="5">
        <f>IF(COUNTA(E149:H149)=0,"",SUM(E149:H149))</f>
        <v/>
      </c>
      <c r="N149" s="5">
        <f>IF(M149="","先填计数",IF(M149&lt;30,"样本太少：仅描述",IF(M149&lt;100,"试点","可进入验证")))</f>
        <v/>
      </c>
      <c r="O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7">
        <f>IF(E150+F150=0,"",E150/(E150+F150))</f>
        <v/>
      </c>
      <c r="K150" s="7">
        <f>IF(E150+G150=0,"",E150/(E150+G150))</f>
        <v/>
      </c>
      <c r="L150" s="7">
        <f>IF(OR(J150="",K150="",J150+K150=0),"",2*J150*K150/(J150+K150))</f>
        <v/>
      </c>
      <c r="M150" s="5">
        <f>IF(COUNTA(E150:H150)=0,"",SUM(E150:H150))</f>
        <v/>
      </c>
      <c r="N150" s="5">
        <f>IF(M150="","先填计数",IF(M150&lt;30,"样本太少：仅描述",IF(M150&lt;100,"试点","可进入验证")))</f>
        <v/>
      </c>
      <c r="O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7">
        <f>IF(E151+F151=0,"",E151/(E151+F151))</f>
        <v/>
      </c>
      <c r="K151" s="7">
        <f>IF(E151+G151=0,"",E151/(E151+G151))</f>
        <v/>
      </c>
      <c r="L151" s="7">
        <f>IF(OR(J151="",K151="",J151+K151=0),"",2*J151*K151/(J151+K151))</f>
        <v/>
      </c>
      <c r="M151" s="5">
        <f>IF(COUNTA(E151:H151)=0,"",SUM(E151:H151))</f>
        <v/>
      </c>
      <c r="N151" s="5">
        <f>IF(M151="","先填计数",IF(M151&lt;30,"样本太少：仅描述",IF(M151&lt;100,"试点","可进入验证")))</f>
        <v/>
      </c>
      <c r="O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7">
        <f>IF(E152+F152=0,"",E152/(E152+F152))</f>
        <v/>
      </c>
      <c r="K152" s="7">
        <f>IF(E152+G152=0,"",E152/(E152+G152))</f>
        <v/>
      </c>
      <c r="L152" s="7">
        <f>IF(OR(J152="",K152="",J152+K152=0),"",2*J152*K152/(J152+K152))</f>
        <v/>
      </c>
      <c r="M152" s="5">
        <f>IF(COUNTA(E152:H152)=0,"",SUM(E152:H152))</f>
        <v/>
      </c>
      <c r="N152" s="5">
        <f>IF(M152="","先填计数",IF(M152&lt;30,"样本太少：仅描述",IF(M152&lt;100,"试点","可进入验证")))</f>
        <v/>
      </c>
      <c r="O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7">
        <f>IF(E153+F153=0,"",E153/(E153+F153))</f>
        <v/>
      </c>
      <c r="K153" s="7">
        <f>IF(E153+G153=0,"",E153/(E153+G153))</f>
        <v/>
      </c>
      <c r="L153" s="7">
        <f>IF(OR(J153="",K153="",J153+K153=0),"",2*J153*K153/(J153+K153))</f>
        <v/>
      </c>
      <c r="M153" s="5">
        <f>IF(COUNTA(E153:H153)=0,"",SUM(E153:H153))</f>
        <v/>
      </c>
      <c r="N153" s="5">
        <f>IF(M153="","先填计数",IF(M153&lt;30,"样本太少：仅描述",IF(M153&lt;100,"试点","可进入验证")))</f>
        <v/>
      </c>
      <c r="O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7">
        <f>IF(E154+F154=0,"",E154/(E154+F154))</f>
        <v/>
      </c>
      <c r="K154" s="7">
        <f>IF(E154+G154=0,"",E154/(E154+G154))</f>
        <v/>
      </c>
      <c r="L154" s="7">
        <f>IF(OR(J154="",K154="",J154+K154=0),"",2*J154*K154/(J154+K154))</f>
        <v/>
      </c>
      <c r="M154" s="5">
        <f>IF(COUNTA(E154:H154)=0,"",SUM(E154:H154))</f>
        <v/>
      </c>
      <c r="N154" s="5">
        <f>IF(M154="","先填计数",IF(M154&lt;30,"样本太少：仅描述",IF(M154&lt;100,"试点","可进入验证")))</f>
        <v/>
      </c>
      <c r="O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7">
        <f>IF(E155+F155=0,"",E155/(E155+F155))</f>
        <v/>
      </c>
      <c r="K155" s="7">
        <f>IF(E155+G155=0,"",E155/(E155+G155))</f>
        <v/>
      </c>
      <c r="L155" s="7">
        <f>IF(OR(J155="",K155="",J155+K155=0),"",2*J155*K155/(J155+K155))</f>
        <v/>
      </c>
      <c r="M155" s="5">
        <f>IF(COUNTA(E155:H155)=0,"",SUM(E155:H155))</f>
        <v/>
      </c>
      <c r="N155" s="5">
        <f>IF(M155="","先填计数",IF(M155&lt;30,"样本太少：仅描述",IF(M155&lt;100,"试点","可进入验证")))</f>
        <v/>
      </c>
      <c r="O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7">
        <f>IF(E156+F156=0,"",E156/(E156+F156))</f>
        <v/>
      </c>
      <c r="K156" s="7">
        <f>IF(E156+G156=0,"",E156/(E156+G156))</f>
        <v/>
      </c>
      <c r="L156" s="7">
        <f>IF(OR(J156="",K156="",J156+K156=0),"",2*J156*K156/(J156+K156))</f>
        <v/>
      </c>
      <c r="M156" s="5">
        <f>IF(COUNTA(E156:H156)=0,"",SUM(E156:H156))</f>
        <v/>
      </c>
      <c r="N156" s="5">
        <f>IF(M156="","先填计数",IF(M156&lt;30,"样本太少：仅描述",IF(M156&lt;100,"试点","可进入验证")))</f>
        <v/>
      </c>
      <c r="O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7">
        <f>IF(E157+F157=0,"",E157/(E157+F157))</f>
        <v/>
      </c>
      <c r="K157" s="7">
        <f>IF(E157+G157=0,"",E157/(E157+G157))</f>
        <v/>
      </c>
      <c r="L157" s="7">
        <f>IF(OR(J157="",K157="",J157+K157=0),"",2*J157*K157/(J157+K157))</f>
        <v/>
      </c>
      <c r="M157" s="5">
        <f>IF(COUNTA(E157:H157)=0,"",SUM(E157:H157))</f>
        <v/>
      </c>
      <c r="N157" s="5">
        <f>IF(M157="","先填计数",IF(M157&lt;30,"样本太少：仅描述",IF(M157&lt;100,"试点","可进入验证")))</f>
        <v/>
      </c>
      <c r="O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7">
        <f>IF(E158+F158=0,"",E158/(E158+F158))</f>
        <v/>
      </c>
      <c r="K158" s="7">
        <f>IF(E158+G158=0,"",E158/(E158+G158))</f>
        <v/>
      </c>
      <c r="L158" s="7">
        <f>IF(OR(J158="",K158="",J158+K158=0),"",2*J158*K158/(J158+K158))</f>
        <v/>
      </c>
      <c r="M158" s="5">
        <f>IF(COUNTA(E158:H158)=0,"",SUM(E158:H158))</f>
        <v/>
      </c>
      <c r="N158" s="5">
        <f>IF(M158="","先填计数",IF(M158&lt;30,"样本太少：仅描述",IF(M158&lt;100,"试点","可进入验证")))</f>
        <v/>
      </c>
      <c r="O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7">
        <f>IF(E159+F159=0,"",E159/(E159+F159))</f>
        <v/>
      </c>
      <c r="K159" s="7">
        <f>IF(E159+G159=0,"",E159/(E159+G159))</f>
        <v/>
      </c>
      <c r="L159" s="7">
        <f>IF(OR(J159="",K159="",J159+K159=0),"",2*J159*K159/(J159+K159))</f>
        <v/>
      </c>
      <c r="M159" s="5">
        <f>IF(COUNTA(E159:H159)=0,"",SUM(E159:H159))</f>
        <v/>
      </c>
      <c r="N159" s="5">
        <f>IF(M159="","先填计数",IF(M159&lt;30,"样本太少：仅描述",IF(M159&lt;100,"试点","可进入验证")))</f>
        <v/>
      </c>
      <c r="O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7">
        <f>IF(E160+F160=0,"",E160/(E160+F160))</f>
        <v/>
      </c>
      <c r="K160" s="7">
        <f>IF(E160+G160=0,"",E160/(E160+G160))</f>
        <v/>
      </c>
      <c r="L160" s="7">
        <f>IF(OR(J160="",K160="",J160+K160=0),"",2*J160*K160/(J160+K160))</f>
        <v/>
      </c>
      <c r="M160" s="5">
        <f>IF(COUNTA(E160:H160)=0,"",SUM(E160:H160))</f>
        <v/>
      </c>
      <c r="N160" s="5">
        <f>IF(M160="","先填计数",IF(M160&lt;30,"样本太少：仅描述",IF(M160&lt;100,"试点","可进入验证")))</f>
        <v/>
      </c>
      <c r="O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7">
        <f>IF(E161+F161=0,"",E161/(E161+F161))</f>
        <v/>
      </c>
      <c r="K161" s="7">
        <f>IF(E161+G161=0,"",E161/(E161+G161))</f>
        <v/>
      </c>
      <c r="L161" s="7">
        <f>IF(OR(J161="",K161="",J161+K161=0),"",2*J161*K161/(J161+K161))</f>
        <v/>
      </c>
      <c r="M161" s="5">
        <f>IF(COUNTA(E161:H161)=0,"",SUM(E161:H161))</f>
        <v/>
      </c>
      <c r="N161" s="5">
        <f>IF(M161="","先填计数",IF(M161&lt;30,"样本太少：仅描述",IF(M161&lt;100,"试点","可进入验证")))</f>
        <v/>
      </c>
      <c r="O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7">
        <f>IF(E162+F162=0,"",E162/(E162+F162))</f>
        <v/>
      </c>
      <c r="K162" s="7">
        <f>IF(E162+G162=0,"",E162/(E162+G162))</f>
        <v/>
      </c>
      <c r="L162" s="7">
        <f>IF(OR(J162="",K162="",J162+K162=0),"",2*J162*K162/(J162+K162))</f>
        <v/>
      </c>
      <c r="M162" s="5">
        <f>IF(COUNTA(E162:H162)=0,"",SUM(E162:H162))</f>
        <v/>
      </c>
      <c r="N162" s="5">
        <f>IF(M162="","先填计数",IF(M162&lt;30,"样本太少：仅描述",IF(M162&lt;100,"试点","可进入验证")))</f>
        <v/>
      </c>
      <c r="O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7">
        <f>IF(E163+F163=0,"",E163/(E163+F163))</f>
        <v/>
      </c>
      <c r="K163" s="7">
        <f>IF(E163+G163=0,"",E163/(E163+G163))</f>
        <v/>
      </c>
      <c r="L163" s="7">
        <f>IF(OR(J163="",K163="",J163+K163=0),"",2*J163*K163/(J163+K163))</f>
        <v/>
      </c>
      <c r="M163" s="5">
        <f>IF(COUNTA(E163:H163)=0,"",SUM(E163:H163))</f>
        <v/>
      </c>
      <c r="N163" s="5">
        <f>IF(M163="","先填计数",IF(M163&lt;30,"样本太少：仅描述",IF(M163&lt;100,"试点","可进入验证")))</f>
        <v/>
      </c>
      <c r="O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7">
        <f>IF(E164+F164=0,"",E164/(E164+F164))</f>
        <v/>
      </c>
      <c r="K164" s="7">
        <f>IF(E164+G164=0,"",E164/(E164+G164))</f>
        <v/>
      </c>
      <c r="L164" s="7">
        <f>IF(OR(J164="",K164="",J164+K164=0),"",2*J164*K164/(J164+K164))</f>
        <v/>
      </c>
      <c r="M164" s="5">
        <f>IF(COUNTA(E164:H164)=0,"",SUM(E164:H164))</f>
        <v/>
      </c>
      <c r="N164" s="5">
        <f>IF(M164="","先填计数",IF(M164&lt;30,"样本太少：仅描述",IF(M164&lt;100,"试点","可进入验证")))</f>
        <v/>
      </c>
      <c r="O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7">
        <f>IF(E165+F165=0,"",E165/(E165+F165))</f>
        <v/>
      </c>
      <c r="K165" s="7">
        <f>IF(E165+G165=0,"",E165/(E165+G165))</f>
        <v/>
      </c>
      <c r="L165" s="7">
        <f>IF(OR(J165="",K165="",J165+K165=0),"",2*J165*K165/(J165+K165))</f>
        <v/>
      </c>
      <c r="M165" s="5">
        <f>IF(COUNTA(E165:H165)=0,"",SUM(E165:H165))</f>
        <v/>
      </c>
      <c r="N165" s="5">
        <f>IF(M165="","先填计数",IF(M165&lt;30,"样本太少：仅描述",IF(M165&lt;100,"试点","可进入验证")))</f>
        <v/>
      </c>
      <c r="O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7">
        <f>IF(E166+F166=0,"",E166/(E166+F166))</f>
        <v/>
      </c>
      <c r="K166" s="7">
        <f>IF(E166+G166=0,"",E166/(E166+G166))</f>
        <v/>
      </c>
      <c r="L166" s="7">
        <f>IF(OR(J166="",K166="",J166+K166=0),"",2*J166*K166/(J166+K166))</f>
        <v/>
      </c>
      <c r="M166" s="5">
        <f>IF(COUNTA(E166:H166)=0,"",SUM(E166:H166))</f>
        <v/>
      </c>
      <c r="N166" s="5">
        <f>IF(M166="","先填计数",IF(M166&lt;30,"样本太少：仅描述",IF(M166&lt;100,"试点","可进入验证")))</f>
        <v/>
      </c>
      <c r="O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7">
        <f>IF(E167+F167=0,"",E167/(E167+F167))</f>
        <v/>
      </c>
      <c r="K167" s="7">
        <f>IF(E167+G167=0,"",E167/(E167+G167))</f>
        <v/>
      </c>
      <c r="L167" s="7">
        <f>IF(OR(J167="",K167="",J167+K167=0),"",2*J167*K167/(J167+K167))</f>
        <v/>
      </c>
      <c r="M167" s="5">
        <f>IF(COUNTA(E167:H167)=0,"",SUM(E167:H167))</f>
        <v/>
      </c>
      <c r="N167" s="5">
        <f>IF(M167="","先填计数",IF(M167&lt;30,"样本太少：仅描述",IF(M167&lt;100,"试点","可进入验证")))</f>
        <v/>
      </c>
      <c r="O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7">
        <f>IF(E168+F168=0,"",E168/(E168+F168))</f>
        <v/>
      </c>
      <c r="K168" s="7">
        <f>IF(E168+G168=0,"",E168/(E168+G168))</f>
        <v/>
      </c>
      <c r="L168" s="7">
        <f>IF(OR(J168="",K168="",J168+K168=0),"",2*J168*K168/(J168+K168))</f>
        <v/>
      </c>
      <c r="M168" s="5">
        <f>IF(COUNTA(E168:H168)=0,"",SUM(E168:H168))</f>
        <v/>
      </c>
      <c r="N168" s="5">
        <f>IF(M168="","先填计数",IF(M168&lt;30,"样本太少：仅描述",IF(M168&lt;100,"试点","可进入验证")))</f>
        <v/>
      </c>
      <c r="O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7">
        <f>IF(E169+F169=0,"",E169/(E169+F169))</f>
        <v/>
      </c>
      <c r="K169" s="7">
        <f>IF(E169+G169=0,"",E169/(E169+G169))</f>
        <v/>
      </c>
      <c r="L169" s="7">
        <f>IF(OR(J169="",K169="",J169+K169=0),"",2*J169*K169/(J169+K169))</f>
        <v/>
      </c>
      <c r="M169" s="5">
        <f>IF(COUNTA(E169:H169)=0,"",SUM(E169:H169))</f>
        <v/>
      </c>
      <c r="N169" s="5">
        <f>IF(M169="","先填计数",IF(M169&lt;30,"样本太少：仅描述",IF(M169&lt;100,"试点","可进入验证")))</f>
        <v/>
      </c>
      <c r="O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7">
        <f>IF(E170+F170=0,"",E170/(E170+F170))</f>
        <v/>
      </c>
      <c r="K170" s="7">
        <f>IF(E170+G170=0,"",E170/(E170+G170))</f>
        <v/>
      </c>
      <c r="L170" s="7">
        <f>IF(OR(J170="",K170="",J170+K170=0),"",2*J170*K170/(J170+K170))</f>
        <v/>
      </c>
      <c r="M170" s="5">
        <f>IF(COUNTA(E170:H170)=0,"",SUM(E170:H170))</f>
        <v/>
      </c>
      <c r="N170" s="5">
        <f>IF(M170="","先填计数",IF(M170&lt;30,"样本太少：仅描述",IF(M170&lt;100,"试点","可进入验证")))</f>
        <v/>
      </c>
      <c r="O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7">
        <f>IF(E171+F171=0,"",E171/(E171+F171))</f>
        <v/>
      </c>
      <c r="K171" s="7">
        <f>IF(E171+G171=0,"",E171/(E171+G171))</f>
        <v/>
      </c>
      <c r="L171" s="7">
        <f>IF(OR(J171="",K171="",J171+K171=0),"",2*J171*K171/(J171+K171))</f>
        <v/>
      </c>
      <c r="M171" s="5">
        <f>IF(COUNTA(E171:H171)=0,"",SUM(E171:H171))</f>
        <v/>
      </c>
      <c r="N171" s="5">
        <f>IF(M171="","先填计数",IF(M171&lt;30,"样本太少：仅描述",IF(M171&lt;100,"试点","可进入验证")))</f>
        <v/>
      </c>
      <c r="O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7">
        <f>IF(E172+F172=0,"",E172/(E172+F172))</f>
        <v/>
      </c>
      <c r="K172" s="7">
        <f>IF(E172+G172=0,"",E172/(E172+G172))</f>
        <v/>
      </c>
      <c r="L172" s="7">
        <f>IF(OR(J172="",K172="",J172+K172=0),"",2*J172*K172/(J172+K172))</f>
        <v/>
      </c>
      <c r="M172" s="5">
        <f>IF(COUNTA(E172:H172)=0,"",SUM(E172:H172))</f>
        <v/>
      </c>
      <c r="N172" s="5">
        <f>IF(M172="","先填计数",IF(M172&lt;30,"样本太少：仅描述",IF(M172&lt;100,"试点","可进入验证")))</f>
        <v/>
      </c>
      <c r="O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7">
        <f>IF(E173+F173=0,"",E173/(E173+F173))</f>
        <v/>
      </c>
      <c r="K173" s="7">
        <f>IF(E173+G173=0,"",E173/(E173+G173))</f>
        <v/>
      </c>
      <c r="L173" s="7">
        <f>IF(OR(J173="",K173="",J173+K173=0),"",2*J173*K173/(J173+K173))</f>
        <v/>
      </c>
      <c r="M173" s="5">
        <f>IF(COUNTA(E173:H173)=0,"",SUM(E173:H173))</f>
        <v/>
      </c>
      <c r="N173" s="5">
        <f>IF(M173="","先填计数",IF(M173&lt;30,"样本太少：仅描述",IF(M173&lt;100,"试点","可进入验证")))</f>
        <v/>
      </c>
      <c r="O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7">
        <f>IF(E174+F174=0,"",E174/(E174+F174))</f>
        <v/>
      </c>
      <c r="K174" s="7">
        <f>IF(E174+G174=0,"",E174/(E174+G174))</f>
        <v/>
      </c>
      <c r="L174" s="7">
        <f>IF(OR(J174="",K174="",J174+K174=0),"",2*J174*K174/(J174+K174))</f>
        <v/>
      </c>
      <c r="M174" s="5">
        <f>IF(COUNTA(E174:H174)=0,"",SUM(E174:H174))</f>
        <v/>
      </c>
      <c r="N174" s="5">
        <f>IF(M174="","先填计数",IF(M174&lt;30,"样本太少：仅描述",IF(M174&lt;100,"试点","可进入验证")))</f>
        <v/>
      </c>
      <c r="O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7">
        <f>IF(E175+F175=0,"",E175/(E175+F175))</f>
        <v/>
      </c>
      <c r="K175" s="7">
        <f>IF(E175+G175=0,"",E175/(E175+G175))</f>
        <v/>
      </c>
      <c r="L175" s="7">
        <f>IF(OR(J175="",K175="",J175+K175=0),"",2*J175*K175/(J175+K175))</f>
        <v/>
      </c>
      <c r="M175" s="5">
        <f>IF(COUNTA(E175:H175)=0,"",SUM(E175:H175))</f>
        <v/>
      </c>
      <c r="N175" s="5">
        <f>IF(M175="","先填计数",IF(M175&lt;30,"样本太少：仅描述",IF(M175&lt;100,"试点","可进入验证")))</f>
        <v/>
      </c>
      <c r="O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7">
        <f>IF(E176+F176=0,"",E176/(E176+F176))</f>
        <v/>
      </c>
      <c r="K176" s="7">
        <f>IF(E176+G176=0,"",E176/(E176+G176))</f>
        <v/>
      </c>
      <c r="L176" s="7">
        <f>IF(OR(J176="",K176="",J176+K176=0),"",2*J176*K176/(J176+K176))</f>
        <v/>
      </c>
      <c r="M176" s="5">
        <f>IF(COUNTA(E176:H176)=0,"",SUM(E176:H176))</f>
        <v/>
      </c>
      <c r="N176" s="5">
        <f>IF(M176="","先填计数",IF(M176&lt;30,"样本太少：仅描述",IF(M176&lt;100,"试点","可进入验证")))</f>
        <v/>
      </c>
      <c r="O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7">
        <f>IF(E177+F177=0,"",E177/(E177+F177))</f>
        <v/>
      </c>
      <c r="K177" s="7">
        <f>IF(E177+G177=0,"",E177/(E177+G177))</f>
        <v/>
      </c>
      <c r="L177" s="7">
        <f>IF(OR(J177="",K177="",J177+K177=0),"",2*J177*K177/(J177+K177))</f>
        <v/>
      </c>
      <c r="M177" s="5">
        <f>IF(COUNTA(E177:H177)=0,"",SUM(E177:H177))</f>
        <v/>
      </c>
      <c r="N177" s="5">
        <f>IF(M177="","先填计数",IF(M177&lt;30,"样本太少：仅描述",IF(M177&lt;100,"试点","可进入验证")))</f>
        <v/>
      </c>
      <c r="O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7">
        <f>IF(E178+F178=0,"",E178/(E178+F178))</f>
        <v/>
      </c>
      <c r="K178" s="7">
        <f>IF(E178+G178=0,"",E178/(E178+G178))</f>
        <v/>
      </c>
      <c r="L178" s="7">
        <f>IF(OR(J178="",K178="",J178+K178=0),"",2*J178*K178/(J178+K178))</f>
        <v/>
      </c>
      <c r="M178" s="5">
        <f>IF(COUNTA(E178:H178)=0,"",SUM(E178:H178))</f>
        <v/>
      </c>
      <c r="N178" s="5">
        <f>IF(M178="","先填计数",IF(M178&lt;30,"样本太少：仅描述",IF(M178&lt;100,"试点","可进入验证")))</f>
        <v/>
      </c>
      <c r="O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7">
        <f>IF(E179+F179=0,"",E179/(E179+F179))</f>
        <v/>
      </c>
      <c r="K179" s="7">
        <f>IF(E179+G179=0,"",E179/(E179+G179))</f>
        <v/>
      </c>
      <c r="L179" s="7">
        <f>IF(OR(J179="",K179="",J179+K179=0),"",2*J179*K179/(J179+K179))</f>
        <v/>
      </c>
      <c r="M179" s="5">
        <f>IF(COUNTA(E179:H179)=0,"",SUM(E179:H179))</f>
        <v/>
      </c>
      <c r="N179" s="5">
        <f>IF(M179="","先填计数",IF(M179&lt;30,"样本太少：仅描述",IF(M179&lt;100,"试点","可进入验证")))</f>
        <v/>
      </c>
      <c r="O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7">
        <f>IF(E180+F180=0,"",E180/(E180+F180))</f>
        <v/>
      </c>
      <c r="K180" s="7">
        <f>IF(E180+G180=0,"",E180/(E180+G180))</f>
        <v/>
      </c>
      <c r="L180" s="7">
        <f>IF(OR(J180="",K180="",J180+K180=0),"",2*J180*K180/(J180+K180))</f>
        <v/>
      </c>
      <c r="M180" s="5">
        <f>IF(COUNTA(E180:H180)=0,"",SUM(E180:H180))</f>
        <v/>
      </c>
      <c r="N180" s="5">
        <f>IF(M180="","先填计数",IF(M180&lt;30,"样本太少：仅描述",IF(M180&lt;100,"试点","可进入验证")))</f>
        <v/>
      </c>
      <c r="O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7">
        <f>IF(E181+F181=0,"",E181/(E181+F181))</f>
        <v/>
      </c>
      <c r="K181" s="7">
        <f>IF(E181+G181=0,"",E181/(E181+G181))</f>
        <v/>
      </c>
      <c r="L181" s="7">
        <f>IF(OR(J181="",K181="",J181+K181=0),"",2*J181*K181/(J181+K181))</f>
        <v/>
      </c>
      <c r="M181" s="5">
        <f>IF(COUNTA(E181:H181)=0,"",SUM(E181:H181))</f>
        <v/>
      </c>
      <c r="N181" s="5">
        <f>IF(M181="","先填计数",IF(M181&lt;30,"样本太少：仅描述",IF(M181&lt;100,"试点","可进入验证")))</f>
        <v/>
      </c>
      <c r="O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7">
        <f>IF(E182+F182=0,"",E182/(E182+F182))</f>
        <v/>
      </c>
      <c r="K182" s="7">
        <f>IF(E182+G182=0,"",E182/(E182+G182))</f>
        <v/>
      </c>
      <c r="L182" s="7">
        <f>IF(OR(J182="",K182="",J182+K182=0),"",2*J182*K182/(J182+K182))</f>
        <v/>
      </c>
      <c r="M182" s="5">
        <f>IF(COUNTA(E182:H182)=0,"",SUM(E182:H182))</f>
        <v/>
      </c>
      <c r="N182" s="5">
        <f>IF(M182="","先填计数",IF(M182&lt;30,"样本太少：仅描述",IF(M182&lt;100,"试点","可进入验证")))</f>
        <v/>
      </c>
      <c r="O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7">
        <f>IF(E183+F183=0,"",E183/(E183+F183))</f>
        <v/>
      </c>
      <c r="K183" s="7">
        <f>IF(E183+G183=0,"",E183/(E183+G183))</f>
        <v/>
      </c>
      <c r="L183" s="7">
        <f>IF(OR(J183="",K183="",J183+K183=0),"",2*J183*K183/(J183+K183))</f>
        <v/>
      </c>
      <c r="M183" s="5">
        <f>IF(COUNTA(E183:H183)=0,"",SUM(E183:H183))</f>
        <v/>
      </c>
      <c r="N183" s="5">
        <f>IF(M183="","先填计数",IF(M183&lt;30,"样本太少：仅描述",IF(M183&lt;100,"试点","可进入验证")))</f>
        <v/>
      </c>
      <c r="O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7">
        <f>IF(E184+F184=0,"",E184/(E184+F184))</f>
        <v/>
      </c>
      <c r="K184" s="7">
        <f>IF(E184+G184=0,"",E184/(E184+G184))</f>
        <v/>
      </c>
      <c r="L184" s="7">
        <f>IF(OR(J184="",K184="",J184+K184=0),"",2*J184*K184/(J184+K184))</f>
        <v/>
      </c>
      <c r="M184" s="5">
        <f>IF(COUNTA(E184:H184)=0,"",SUM(E184:H184))</f>
        <v/>
      </c>
      <c r="N184" s="5">
        <f>IF(M184="","先填计数",IF(M184&lt;30,"样本太少：仅描述",IF(M184&lt;100,"试点","可进入验证")))</f>
        <v/>
      </c>
      <c r="O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7">
        <f>IF(E185+F185=0,"",E185/(E185+F185))</f>
        <v/>
      </c>
      <c r="K185" s="7">
        <f>IF(E185+G185=0,"",E185/(E185+G185))</f>
        <v/>
      </c>
      <c r="L185" s="7">
        <f>IF(OR(J185="",K185="",J185+K185=0),"",2*J185*K185/(J185+K185))</f>
        <v/>
      </c>
      <c r="M185" s="5">
        <f>IF(COUNTA(E185:H185)=0,"",SUM(E185:H185))</f>
        <v/>
      </c>
      <c r="N185" s="5">
        <f>IF(M185="","先填计数",IF(M185&lt;30,"样本太少：仅描述",IF(M185&lt;100,"试点","可进入验证")))</f>
        <v/>
      </c>
      <c r="O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7">
        <f>IF(E186+F186=0,"",E186/(E186+F186))</f>
        <v/>
      </c>
      <c r="K186" s="7">
        <f>IF(E186+G186=0,"",E186/(E186+G186))</f>
        <v/>
      </c>
      <c r="L186" s="7">
        <f>IF(OR(J186="",K186="",J186+K186=0),"",2*J186*K186/(J186+K186))</f>
        <v/>
      </c>
      <c r="M186" s="5">
        <f>IF(COUNTA(E186:H186)=0,"",SUM(E186:H186))</f>
        <v/>
      </c>
      <c r="N186" s="5">
        <f>IF(M186="","先填计数",IF(M186&lt;30,"样本太少：仅描述",IF(M186&lt;100,"试点","可进入验证")))</f>
        <v/>
      </c>
      <c r="O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7">
        <f>IF(E187+F187=0,"",E187/(E187+F187))</f>
        <v/>
      </c>
      <c r="K187" s="7">
        <f>IF(E187+G187=0,"",E187/(E187+G187))</f>
        <v/>
      </c>
      <c r="L187" s="7">
        <f>IF(OR(J187="",K187="",J187+K187=0),"",2*J187*K187/(J187+K187))</f>
        <v/>
      </c>
      <c r="M187" s="5">
        <f>IF(COUNTA(E187:H187)=0,"",SUM(E187:H187))</f>
        <v/>
      </c>
      <c r="N187" s="5">
        <f>IF(M187="","先填计数",IF(M187&lt;30,"样本太少：仅描述",IF(M187&lt;100,"试点","可进入验证")))</f>
        <v/>
      </c>
      <c r="O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7">
        <f>IF(E188+F188=0,"",E188/(E188+F188))</f>
        <v/>
      </c>
      <c r="K188" s="7">
        <f>IF(E188+G188=0,"",E188/(E188+G188))</f>
        <v/>
      </c>
      <c r="L188" s="7">
        <f>IF(OR(J188="",K188="",J188+K188=0),"",2*J188*K188/(J188+K188))</f>
        <v/>
      </c>
      <c r="M188" s="5">
        <f>IF(COUNTA(E188:H188)=0,"",SUM(E188:H188))</f>
        <v/>
      </c>
      <c r="N188" s="5">
        <f>IF(M188="","先填计数",IF(M188&lt;30,"样本太少：仅描述",IF(M188&lt;100,"试点","可进入验证")))</f>
        <v/>
      </c>
      <c r="O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7">
        <f>IF(E189+F189=0,"",E189/(E189+F189))</f>
        <v/>
      </c>
      <c r="K189" s="7">
        <f>IF(E189+G189=0,"",E189/(E189+G189))</f>
        <v/>
      </c>
      <c r="L189" s="7">
        <f>IF(OR(J189="",K189="",J189+K189=0),"",2*J189*K189/(J189+K189))</f>
        <v/>
      </c>
      <c r="M189" s="5">
        <f>IF(COUNTA(E189:H189)=0,"",SUM(E189:H189))</f>
        <v/>
      </c>
      <c r="N189" s="5">
        <f>IF(M189="","先填计数",IF(M189&lt;30,"样本太少：仅描述",IF(M189&lt;100,"试点","可进入验证")))</f>
        <v/>
      </c>
      <c r="O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7">
        <f>IF(E190+F190=0,"",E190/(E190+F190))</f>
        <v/>
      </c>
      <c r="K190" s="7">
        <f>IF(E190+G190=0,"",E190/(E190+G190))</f>
        <v/>
      </c>
      <c r="L190" s="7">
        <f>IF(OR(J190="",K190="",J190+K190=0),"",2*J190*K190/(J190+K190))</f>
        <v/>
      </c>
      <c r="M190" s="5">
        <f>IF(COUNTA(E190:H190)=0,"",SUM(E190:H190))</f>
        <v/>
      </c>
      <c r="N190" s="5">
        <f>IF(M190="","先填计数",IF(M190&lt;30,"样本太少：仅描述",IF(M190&lt;100,"试点","可进入验证")))</f>
        <v/>
      </c>
      <c r="O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7">
        <f>IF(E191+F191=0,"",E191/(E191+F191))</f>
        <v/>
      </c>
      <c r="K191" s="7">
        <f>IF(E191+G191=0,"",E191/(E191+G191))</f>
        <v/>
      </c>
      <c r="L191" s="7">
        <f>IF(OR(J191="",K191="",J191+K191=0),"",2*J191*K191/(J191+K191))</f>
        <v/>
      </c>
      <c r="M191" s="5">
        <f>IF(COUNTA(E191:H191)=0,"",SUM(E191:H191))</f>
        <v/>
      </c>
      <c r="N191" s="5">
        <f>IF(M191="","先填计数",IF(M191&lt;30,"样本太少：仅描述",IF(M191&lt;100,"试点","可进入验证")))</f>
        <v/>
      </c>
      <c r="O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7">
        <f>IF(E192+F192=0,"",E192/(E192+F192))</f>
        <v/>
      </c>
      <c r="K192" s="7">
        <f>IF(E192+G192=0,"",E192/(E192+G192))</f>
        <v/>
      </c>
      <c r="L192" s="7">
        <f>IF(OR(J192="",K192="",J192+K192=0),"",2*J192*K192/(J192+K192))</f>
        <v/>
      </c>
      <c r="M192" s="5">
        <f>IF(COUNTA(E192:H192)=0,"",SUM(E192:H192))</f>
        <v/>
      </c>
      <c r="N192" s="5">
        <f>IF(M192="","先填计数",IF(M192&lt;30,"样本太少：仅描述",IF(M192&lt;100,"试点","可进入验证")))</f>
        <v/>
      </c>
      <c r="O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7">
        <f>IF(E193+F193=0,"",E193/(E193+F193))</f>
        <v/>
      </c>
      <c r="K193" s="7">
        <f>IF(E193+G193=0,"",E193/(E193+G193))</f>
        <v/>
      </c>
      <c r="L193" s="7">
        <f>IF(OR(J193="",K193="",J193+K193=0),"",2*J193*K193/(J193+K193))</f>
        <v/>
      </c>
      <c r="M193" s="5">
        <f>IF(COUNTA(E193:H193)=0,"",SUM(E193:H193))</f>
        <v/>
      </c>
      <c r="N193" s="5">
        <f>IF(M193="","先填计数",IF(M193&lt;30,"样本太少：仅描述",IF(M193&lt;100,"试点","可进入验证")))</f>
        <v/>
      </c>
      <c r="O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7">
        <f>IF(E194+F194=0,"",E194/(E194+F194))</f>
        <v/>
      </c>
      <c r="K194" s="7">
        <f>IF(E194+G194=0,"",E194/(E194+G194))</f>
        <v/>
      </c>
      <c r="L194" s="7">
        <f>IF(OR(J194="",K194="",J194+K194=0),"",2*J194*K194/(J194+K194))</f>
        <v/>
      </c>
      <c r="M194" s="5">
        <f>IF(COUNTA(E194:H194)=0,"",SUM(E194:H194))</f>
        <v/>
      </c>
      <c r="N194" s="5">
        <f>IF(M194="","先填计数",IF(M194&lt;30,"样本太少：仅描述",IF(M194&lt;100,"试点","可进入验证")))</f>
        <v/>
      </c>
      <c r="O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7">
        <f>IF(E195+F195=0,"",E195/(E195+F195))</f>
        <v/>
      </c>
      <c r="K195" s="7">
        <f>IF(E195+G195=0,"",E195/(E195+G195))</f>
        <v/>
      </c>
      <c r="L195" s="7">
        <f>IF(OR(J195="",K195="",J195+K195=0),"",2*J195*K195/(J195+K195))</f>
        <v/>
      </c>
      <c r="M195" s="5">
        <f>IF(COUNTA(E195:H195)=0,"",SUM(E195:H195))</f>
        <v/>
      </c>
      <c r="N195" s="5">
        <f>IF(M195="","先填计数",IF(M195&lt;30,"样本太少：仅描述",IF(M195&lt;100,"试点","可进入验证")))</f>
        <v/>
      </c>
      <c r="O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7">
        <f>IF(E196+F196=0,"",E196/(E196+F196))</f>
        <v/>
      </c>
      <c r="K196" s="7">
        <f>IF(E196+G196=0,"",E196/(E196+G196))</f>
        <v/>
      </c>
      <c r="L196" s="7">
        <f>IF(OR(J196="",K196="",J196+K196=0),"",2*J196*K196/(J196+K196))</f>
        <v/>
      </c>
      <c r="M196" s="5">
        <f>IF(COUNTA(E196:H196)=0,"",SUM(E196:H196))</f>
        <v/>
      </c>
      <c r="N196" s="5">
        <f>IF(M196="","先填计数",IF(M196&lt;30,"样本太少：仅描述",IF(M196&lt;100,"试点","可进入验证")))</f>
        <v/>
      </c>
      <c r="O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7">
        <f>IF(E197+F197=0,"",E197/(E197+F197))</f>
        <v/>
      </c>
      <c r="K197" s="7">
        <f>IF(E197+G197=0,"",E197/(E197+G197))</f>
        <v/>
      </c>
      <c r="L197" s="7">
        <f>IF(OR(J197="",K197="",J197+K197=0),"",2*J197*K197/(J197+K197))</f>
        <v/>
      </c>
      <c r="M197" s="5">
        <f>IF(COUNTA(E197:H197)=0,"",SUM(E197:H197))</f>
        <v/>
      </c>
      <c r="N197" s="5">
        <f>IF(M197="","先填计数",IF(M197&lt;30,"样本太少：仅描述",IF(M197&lt;100,"试点","可进入验证")))</f>
        <v/>
      </c>
      <c r="O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7">
        <f>IF(E198+F198=0,"",E198/(E198+F198))</f>
        <v/>
      </c>
      <c r="K198" s="7">
        <f>IF(E198+G198=0,"",E198/(E198+G198))</f>
        <v/>
      </c>
      <c r="L198" s="7">
        <f>IF(OR(J198="",K198="",J198+K198=0),"",2*J198*K198/(J198+K198))</f>
        <v/>
      </c>
      <c r="M198" s="5">
        <f>IF(COUNTA(E198:H198)=0,"",SUM(E198:H198))</f>
        <v/>
      </c>
      <c r="N198" s="5">
        <f>IF(M198="","先填计数",IF(M198&lt;30,"样本太少：仅描述",IF(M198&lt;100,"试点","可进入验证")))</f>
        <v/>
      </c>
      <c r="O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7">
        <f>IF(E199+F199=0,"",E199/(E199+F199))</f>
        <v/>
      </c>
      <c r="K199" s="7">
        <f>IF(E199+G199=0,"",E199/(E199+G199))</f>
        <v/>
      </c>
      <c r="L199" s="7">
        <f>IF(OR(J199="",K199="",J199+K199=0),"",2*J199*K199/(J199+K199))</f>
        <v/>
      </c>
      <c r="M199" s="5">
        <f>IF(COUNTA(E199:H199)=0,"",SUM(E199:H199))</f>
        <v/>
      </c>
      <c r="N199" s="5">
        <f>IF(M199="","先填计数",IF(M199&lt;30,"样本太少：仅描述",IF(M199&lt;100,"试点","可进入验证")))</f>
        <v/>
      </c>
      <c r="O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7">
        <f>IF(E200+F200=0,"",E200/(E200+F200))</f>
        <v/>
      </c>
      <c r="K200" s="7">
        <f>IF(E200+G200=0,"",E200/(E200+G200))</f>
        <v/>
      </c>
      <c r="L200" s="7">
        <f>IF(OR(J200="",K200="",J200+K200=0),"",2*J200*K200/(J200+K200))</f>
        <v/>
      </c>
      <c r="M200" s="5">
        <f>IF(COUNTA(E200:H200)=0,"",SUM(E200:H200))</f>
        <v/>
      </c>
      <c r="N200" s="5">
        <f>IF(M200="","先填计数",IF(M200&lt;30,"样本太少：仅描述",IF(M200&lt;100,"试点","可进入验证")))</f>
        <v/>
      </c>
      <c r="O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7">
        <f>IF(E201+F201=0,"",E201/(E201+F201))</f>
        <v/>
      </c>
      <c r="K201" s="7">
        <f>IF(E201+G201=0,"",E201/(E201+G201))</f>
        <v/>
      </c>
      <c r="L201" s="7">
        <f>IF(OR(J201="",K201="",J201+K201=0),"",2*J201*K201/(J201+K201))</f>
        <v/>
      </c>
      <c r="M201" s="5">
        <f>IF(COUNTA(E201:H201)=0,"",SUM(E201:H201))</f>
        <v/>
      </c>
      <c r="N201" s="5">
        <f>IF(M201="","先填计数",IF(M201&lt;30,"样本太少：仅描述",IF(M201&lt;100,"试点","可进入验证")))</f>
        <v/>
      </c>
      <c r="O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7">
        <f>IF(E202+F202=0,"",E202/(E202+F202))</f>
        <v/>
      </c>
      <c r="K202" s="7">
        <f>IF(E202+G202=0,"",E202/(E202+G202))</f>
        <v/>
      </c>
      <c r="L202" s="7">
        <f>IF(OR(J202="",K202="",J202+K202=0),"",2*J202*K202/(J202+K202))</f>
        <v/>
      </c>
      <c r="M202" s="5">
        <f>IF(COUNTA(E202:H202)=0,"",SUM(E202:H202))</f>
        <v/>
      </c>
      <c r="N202" s="5">
        <f>IF(M202="","先填计数",IF(M202&lt;30,"样本太少：仅描述",IF(M202&lt;100,"试点","可进入验证")))</f>
        <v/>
      </c>
      <c r="O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7">
        <f>IF(E203+F203=0,"",E203/(E203+F203))</f>
        <v/>
      </c>
      <c r="K203" s="7">
        <f>IF(E203+G203=0,"",E203/(E203+G203))</f>
        <v/>
      </c>
      <c r="L203" s="7">
        <f>IF(OR(J203="",K203="",J203+K203=0),"",2*J203*K203/(J203+K203))</f>
        <v/>
      </c>
      <c r="M203" s="5">
        <f>IF(COUNTA(E203:H203)=0,"",SUM(E203:H203))</f>
        <v/>
      </c>
      <c r="N203" s="5">
        <f>IF(M203="","先填计数",IF(M203&lt;30,"样本太少：仅描述",IF(M203&lt;100,"试点","可进入验证")))</f>
        <v/>
      </c>
      <c r="O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7">
        <f>IF(E204+F204=0,"",E204/(E204+F204))</f>
        <v/>
      </c>
      <c r="K204" s="7">
        <f>IF(E204+G204=0,"",E204/(E204+G204))</f>
        <v/>
      </c>
      <c r="L204" s="7">
        <f>IF(OR(J204="",K204="",J204+K204=0),"",2*J204*K204/(J204+K204))</f>
        <v/>
      </c>
      <c r="M204" s="5">
        <f>IF(COUNTA(E204:H204)=0,"",SUM(E204:H204))</f>
        <v/>
      </c>
      <c r="N204" s="5">
        <f>IF(M204="","先填计数",IF(M204&lt;30,"样本太少：仅描述",IF(M204&lt;100,"试点","可进入验证")))</f>
        <v/>
      </c>
      <c r="O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7">
        <f>IF(E205+F205=0,"",E205/(E205+F205))</f>
        <v/>
      </c>
      <c r="K205" s="7">
        <f>IF(E205+G205=0,"",E205/(E205+G205))</f>
        <v/>
      </c>
      <c r="L205" s="7">
        <f>IF(OR(J205="",K205="",J205+K205=0),"",2*J205*K205/(J205+K205))</f>
        <v/>
      </c>
      <c r="M205" s="5">
        <f>IF(COUNTA(E205:H205)=0,"",SUM(E205:H205))</f>
        <v/>
      </c>
      <c r="N205" s="5">
        <f>IF(M205="","先填计数",IF(M205&lt;30,"样本太少：仅描述",IF(M205&lt;100,"试点","可进入验证")))</f>
        <v/>
      </c>
      <c r="O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7">
        <f>IF(E206+F206=0,"",E206/(E206+F206))</f>
        <v/>
      </c>
      <c r="K206" s="7">
        <f>IF(E206+G206=0,"",E206/(E206+G206))</f>
        <v/>
      </c>
      <c r="L206" s="7">
        <f>IF(OR(J206="",K206="",J206+K206=0),"",2*J206*K206/(J206+K206))</f>
        <v/>
      </c>
      <c r="M206" s="5">
        <f>IF(COUNTA(E206:H206)=0,"",SUM(E206:H206))</f>
        <v/>
      </c>
      <c r="N206" s="5">
        <f>IF(M206="","先填计数",IF(M206&lt;30,"样本太少：仅描述",IF(M206&lt;100,"试点","可进入验证")))</f>
        <v/>
      </c>
      <c r="O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7">
        <f>IF(E207+F207=0,"",E207/(E207+F207))</f>
        <v/>
      </c>
      <c r="K207" s="7">
        <f>IF(E207+G207=0,"",E207/(E207+G207))</f>
        <v/>
      </c>
      <c r="L207" s="7">
        <f>IF(OR(J207="",K207="",J207+K207=0),"",2*J207*K207/(J207+K207))</f>
        <v/>
      </c>
      <c r="M207" s="5">
        <f>IF(COUNTA(E207:H207)=0,"",SUM(E207:H207))</f>
        <v/>
      </c>
      <c r="N207" s="5">
        <f>IF(M207="","先填计数",IF(M207&lt;30,"样本太少：仅描述",IF(M207&lt;100,"试点","可进入验证")))</f>
        <v/>
      </c>
      <c r="O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7">
        <f>IF(E208+F208=0,"",E208/(E208+F208))</f>
        <v/>
      </c>
      <c r="K208" s="7">
        <f>IF(E208+G208=0,"",E208/(E208+G208))</f>
        <v/>
      </c>
      <c r="L208" s="7">
        <f>IF(OR(J208="",K208="",J208+K208=0),"",2*J208*K208/(J208+K208))</f>
        <v/>
      </c>
      <c r="M208" s="5">
        <f>IF(COUNTA(E208:H208)=0,"",SUM(E208:H208))</f>
        <v/>
      </c>
      <c r="N208" s="5">
        <f>IF(M208="","先填计数",IF(M208&lt;30,"样本太少：仅描述",IF(M208&lt;100,"试点","可进入验证")))</f>
        <v/>
      </c>
      <c r="O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7">
        <f>IF(E209+F209=0,"",E209/(E209+F209))</f>
        <v/>
      </c>
      <c r="K209" s="7">
        <f>IF(E209+G209=0,"",E209/(E209+G209))</f>
        <v/>
      </c>
      <c r="L209" s="7">
        <f>IF(OR(J209="",K209="",J209+K209=0),"",2*J209*K209/(J209+K209))</f>
        <v/>
      </c>
      <c r="M209" s="5">
        <f>IF(COUNTA(E209:H209)=0,"",SUM(E209:H209))</f>
        <v/>
      </c>
      <c r="N209" s="5">
        <f>IF(M209="","先填计数",IF(M209&lt;30,"样本太少：仅描述",IF(M209&lt;100,"试点","可进入验证")))</f>
        <v/>
      </c>
      <c r="O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7">
        <f>IF(E210+F210=0,"",E210/(E210+F210))</f>
        <v/>
      </c>
      <c r="K210" s="7">
        <f>IF(E210+G210=0,"",E210/(E210+G210))</f>
        <v/>
      </c>
      <c r="L210" s="7">
        <f>IF(OR(J210="",K210="",J210+K210=0),"",2*J210*K210/(J210+K210))</f>
        <v/>
      </c>
      <c r="M210" s="5">
        <f>IF(COUNTA(E210:H210)=0,"",SUM(E210:H210))</f>
        <v/>
      </c>
      <c r="N210" s="5">
        <f>IF(M210="","先填计数",IF(M210&lt;30,"样本太少：仅描述",IF(M210&lt;100,"试点","可进入验证")))</f>
        <v/>
      </c>
      <c r="O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7">
        <f>IF(E211+F211=0,"",E211/(E211+F211))</f>
        <v/>
      </c>
      <c r="K211" s="7">
        <f>IF(E211+G211=0,"",E211/(E211+G211))</f>
        <v/>
      </c>
      <c r="L211" s="7">
        <f>IF(OR(J211="",K211="",J211+K211=0),"",2*J211*K211/(J211+K211))</f>
        <v/>
      </c>
      <c r="M211" s="5">
        <f>IF(COUNTA(E211:H211)=0,"",SUM(E211:H211))</f>
        <v/>
      </c>
      <c r="N211" s="5">
        <f>IF(M211="","先填计数",IF(M211&lt;30,"样本太少：仅描述",IF(M211&lt;100,"试点","可进入验证")))</f>
        <v/>
      </c>
      <c r="O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7">
        <f>IF(E212+F212=0,"",E212/(E212+F212))</f>
        <v/>
      </c>
      <c r="K212" s="7">
        <f>IF(E212+G212=0,"",E212/(E212+G212))</f>
        <v/>
      </c>
      <c r="L212" s="7">
        <f>IF(OR(J212="",K212="",J212+K212=0),"",2*J212*K212/(J212+K212))</f>
        <v/>
      </c>
      <c r="M212" s="5">
        <f>IF(COUNTA(E212:H212)=0,"",SUM(E212:H212))</f>
        <v/>
      </c>
      <c r="N212" s="5">
        <f>IF(M212="","先填计数",IF(M212&lt;30,"样本太少：仅描述",IF(M212&lt;100,"试点","可进入验证")))</f>
        <v/>
      </c>
      <c r="O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7">
        <f>IF(E213+F213=0,"",E213/(E213+F213))</f>
        <v/>
      </c>
      <c r="K213" s="7">
        <f>IF(E213+G213=0,"",E213/(E213+G213))</f>
        <v/>
      </c>
      <c r="L213" s="7">
        <f>IF(OR(J213="",K213="",J213+K213=0),"",2*J213*K213/(J213+K213))</f>
        <v/>
      </c>
      <c r="M213" s="5">
        <f>IF(COUNTA(E213:H213)=0,"",SUM(E213:H213))</f>
        <v/>
      </c>
      <c r="N213" s="5">
        <f>IF(M213="","先填计数",IF(M213&lt;30,"样本太少：仅描述",IF(M213&lt;100,"试点","可进入验证")))</f>
        <v/>
      </c>
      <c r="O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7">
        <f>IF(E214+F214=0,"",E214/(E214+F214))</f>
        <v/>
      </c>
      <c r="K214" s="7">
        <f>IF(E214+G214=0,"",E214/(E214+G214))</f>
        <v/>
      </c>
      <c r="L214" s="7">
        <f>IF(OR(J214="",K214="",J214+K214=0),"",2*J214*K214/(J214+K214))</f>
        <v/>
      </c>
      <c r="M214" s="5">
        <f>IF(COUNTA(E214:H214)=0,"",SUM(E214:H214))</f>
        <v/>
      </c>
      <c r="N214" s="5">
        <f>IF(M214="","先填计数",IF(M214&lt;30,"样本太少：仅描述",IF(M214&lt;100,"试点","可进入验证")))</f>
        <v/>
      </c>
      <c r="O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7">
        <f>IF(E215+F215=0,"",E215/(E215+F215))</f>
        <v/>
      </c>
      <c r="K215" s="7">
        <f>IF(E215+G215=0,"",E215/(E215+G215))</f>
        <v/>
      </c>
      <c r="L215" s="7">
        <f>IF(OR(J215="",K215="",J215+K215=0),"",2*J215*K215/(J215+K215))</f>
        <v/>
      </c>
      <c r="M215" s="5">
        <f>IF(COUNTA(E215:H215)=0,"",SUM(E215:H215))</f>
        <v/>
      </c>
      <c r="N215" s="5">
        <f>IF(M215="","先填计数",IF(M215&lt;30,"样本太少：仅描述",IF(M215&lt;100,"试点","可进入验证")))</f>
        <v/>
      </c>
      <c r="O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7">
        <f>IF(E216+F216=0,"",E216/(E216+F216))</f>
        <v/>
      </c>
      <c r="K216" s="7">
        <f>IF(E216+G216=0,"",E216/(E216+G216))</f>
        <v/>
      </c>
      <c r="L216" s="7">
        <f>IF(OR(J216="",K216="",J216+K216=0),"",2*J216*K216/(J216+K216))</f>
        <v/>
      </c>
      <c r="M216" s="5">
        <f>IF(COUNTA(E216:H216)=0,"",SUM(E216:H216))</f>
        <v/>
      </c>
      <c r="N216" s="5">
        <f>IF(M216="","先填计数",IF(M216&lt;30,"样本太少：仅描述",IF(M216&lt;100,"试点","可进入验证")))</f>
        <v/>
      </c>
      <c r="O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7">
        <f>IF(E217+F217=0,"",E217/(E217+F217))</f>
        <v/>
      </c>
      <c r="K217" s="7">
        <f>IF(E217+G217=0,"",E217/(E217+G217))</f>
        <v/>
      </c>
      <c r="L217" s="7">
        <f>IF(OR(J217="",K217="",J217+K217=0),"",2*J217*K217/(J217+K217))</f>
        <v/>
      </c>
      <c r="M217" s="5">
        <f>IF(COUNTA(E217:H217)=0,"",SUM(E217:H217))</f>
        <v/>
      </c>
      <c r="N217" s="5">
        <f>IF(M217="","先填计数",IF(M217&lt;30,"样本太少：仅描述",IF(M217&lt;100,"试点","可进入验证")))</f>
        <v/>
      </c>
      <c r="O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7">
        <f>IF(E218+F218=0,"",E218/(E218+F218))</f>
        <v/>
      </c>
      <c r="K218" s="7">
        <f>IF(E218+G218=0,"",E218/(E218+G218))</f>
        <v/>
      </c>
      <c r="L218" s="7">
        <f>IF(OR(J218="",K218="",J218+K218=0),"",2*J218*K218/(J218+K218))</f>
        <v/>
      </c>
      <c r="M218" s="5">
        <f>IF(COUNTA(E218:H218)=0,"",SUM(E218:H218))</f>
        <v/>
      </c>
      <c r="N218" s="5">
        <f>IF(M218="","先填计数",IF(M218&lt;30,"样本太少：仅描述",IF(M218&lt;100,"试点","可进入验证")))</f>
        <v/>
      </c>
      <c r="O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7">
        <f>IF(E219+F219=0,"",E219/(E219+F219))</f>
        <v/>
      </c>
      <c r="K219" s="7">
        <f>IF(E219+G219=0,"",E219/(E219+G219))</f>
        <v/>
      </c>
      <c r="L219" s="7">
        <f>IF(OR(J219="",K219="",J219+K219=0),"",2*J219*K219/(J219+K219))</f>
        <v/>
      </c>
      <c r="M219" s="5">
        <f>IF(COUNTA(E219:H219)=0,"",SUM(E219:H219))</f>
        <v/>
      </c>
      <c r="N219" s="5">
        <f>IF(M219="","先填计数",IF(M219&lt;30,"样本太少：仅描述",IF(M219&lt;100,"试点","可进入验证")))</f>
        <v/>
      </c>
      <c r="O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7">
        <f>IF(E220+F220=0,"",E220/(E220+F220))</f>
        <v/>
      </c>
      <c r="K220" s="7">
        <f>IF(E220+G220=0,"",E220/(E220+G220))</f>
        <v/>
      </c>
      <c r="L220" s="7">
        <f>IF(OR(J220="",K220="",J220+K220=0),"",2*J220*K220/(J220+K220))</f>
        <v/>
      </c>
      <c r="M220" s="5">
        <f>IF(COUNTA(E220:H220)=0,"",SUM(E220:H220))</f>
        <v/>
      </c>
      <c r="N220" s="5">
        <f>IF(M220="","先填计数",IF(M220&lt;30,"样本太少：仅描述",IF(M220&lt;100,"试点","可进入验证")))</f>
        <v/>
      </c>
      <c r="O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7">
        <f>IF(E221+F221=0,"",E221/(E221+F221))</f>
        <v/>
      </c>
      <c r="K221" s="7">
        <f>IF(E221+G221=0,"",E221/(E221+G221))</f>
        <v/>
      </c>
      <c r="L221" s="7">
        <f>IF(OR(J221="",K221="",J221+K221=0),"",2*J221*K221/(J221+K221))</f>
        <v/>
      </c>
      <c r="M221" s="5">
        <f>IF(COUNTA(E221:H221)=0,"",SUM(E221:H221))</f>
        <v/>
      </c>
      <c r="N221" s="5">
        <f>IF(M221="","先填计数",IF(M221&lt;30,"样本太少：仅描述",IF(M221&lt;100,"试点","可进入验证")))</f>
        <v/>
      </c>
      <c r="O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7">
        <f>IF(E222+F222=0,"",E222/(E222+F222))</f>
        <v/>
      </c>
      <c r="K222" s="7">
        <f>IF(E222+G222=0,"",E222/(E222+G222))</f>
        <v/>
      </c>
      <c r="L222" s="7">
        <f>IF(OR(J222="",K222="",J222+K222=0),"",2*J222*K222/(J222+K222))</f>
        <v/>
      </c>
      <c r="M222" s="5">
        <f>IF(COUNTA(E222:H222)=0,"",SUM(E222:H222))</f>
        <v/>
      </c>
      <c r="N222" s="5">
        <f>IF(M222="","先填计数",IF(M222&lt;30,"样本太少：仅描述",IF(M222&lt;100,"试点","可进入验证")))</f>
        <v/>
      </c>
      <c r="O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7">
        <f>IF(E223+F223=0,"",E223/(E223+F223))</f>
        <v/>
      </c>
      <c r="K223" s="7">
        <f>IF(E223+G223=0,"",E223/(E223+G223))</f>
        <v/>
      </c>
      <c r="L223" s="7">
        <f>IF(OR(J223="",K223="",J223+K223=0),"",2*J223*K223/(J223+K223))</f>
        <v/>
      </c>
      <c r="M223" s="5">
        <f>IF(COUNTA(E223:H223)=0,"",SUM(E223:H223))</f>
        <v/>
      </c>
      <c r="N223" s="5">
        <f>IF(M223="","先填计数",IF(M223&lt;30,"样本太少：仅描述",IF(M223&lt;100,"试点","可进入验证")))</f>
        <v/>
      </c>
      <c r="O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7">
        <f>IF(E224+F224=0,"",E224/(E224+F224))</f>
        <v/>
      </c>
      <c r="K224" s="7">
        <f>IF(E224+G224=0,"",E224/(E224+G224))</f>
        <v/>
      </c>
      <c r="L224" s="7">
        <f>IF(OR(J224="",K224="",J224+K224=0),"",2*J224*K224/(J224+K224))</f>
        <v/>
      </c>
      <c r="M224" s="5">
        <f>IF(COUNTA(E224:H224)=0,"",SUM(E224:H224))</f>
        <v/>
      </c>
      <c r="N224" s="5">
        <f>IF(M224="","先填计数",IF(M224&lt;30,"样本太少：仅描述",IF(M224&lt;100,"试点","可进入验证")))</f>
        <v/>
      </c>
      <c r="O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7">
        <f>IF(E225+F225=0,"",E225/(E225+F225))</f>
        <v/>
      </c>
      <c r="K225" s="7">
        <f>IF(E225+G225=0,"",E225/(E225+G225))</f>
        <v/>
      </c>
      <c r="L225" s="7">
        <f>IF(OR(J225="",K225="",J225+K225=0),"",2*J225*K225/(J225+K225))</f>
        <v/>
      </c>
      <c r="M225" s="5">
        <f>IF(COUNTA(E225:H225)=0,"",SUM(E225:H225))</f>
        <v/>
      </c>
      <c r="N225" s="5">
        <f>IF(M225="","先填计数",IF(M225&lt;30,"样本太少：仅描述",IF(M225&lt;100,"试点","可进入验证")))</f>
        <v/>
      </c>
      <c r="O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7">
        <f>IF(E226+F226=0,"",E226/(E226+F226))</f>
        <v/>
      </c>
      <c r="K226" s="7">
        <f>IF(E226+G226=0,"",E226/(E226+G226))</f>
        <v/>
      </c>
      <c r="L226" s="7">
        <f>IF(OR(J226="",K226="",J226+K226=0),"",2*J226*K226/(J226+K226))</f>
        <v/>
      </c>
      <c r="M226" s="5">
        <f>IF(COUNTA(E226:H226)=0,"",SUM(E226:H226))</f>
        <v/>
      </c>
      <c r="N226" s="5">
        <f>IF(M226="","先填计数",IF(M226&lt;30,"样本太少：仅描述",IF(M226&lt;100,"试点","可进入验证")))</f>
        <v/>
      </c>
      <c r="O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7">
        <f>IF(E227+F227=0,"",E227/(E227+F227))</f>
        <v/>
      </c>
      <c r="K227" s="7">
        <f>IF(E227+G227=0,"",E227/(E227+G227))</f>
        <v/>
      </c>
      <c r="L227" s="7">
        <f>IF(OR(J227="",K227="",J227+K227=0),"",2*J227*K227/(J227+K227))</f>
        <v/>
      </c>
      <c r="M227" s="5">
        <f>IF(COUNTA(E227:H227)=0,"",SUM(E227:H227))</f>
        <v/>
      </c>
      <c r="N227" s="5">
        <f>IF(M227="","先填计数",IF(M227&lt;30,"样本太少：仅描述",IF(M227&lt;100,"试点","可进入验证")))</f>
        <v/>
      </c>
      <c r="O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7">
        <f>IF(E228+F228=0,"",E228/(E228+F228))</f>
        <v/>
      </c>
      <c r="K228" s="7">
        <f>IF(E228+G228=0,"",E228/(E228+G228))</f>
        <v/>
      </c>
      <c r="L228" s="7">
        <f>IF(OR(J228="",K228="",J228+K228=0),"",2*J228*K228/(J228+K228))</f>
        <v/>
      </c>
      <c r="M228" s="5">
        <f>IF(COUNTA(E228:H228)=0,"",SUM(E228:H228))</f>
        <v/>
      </c>
      <c r="N228" s="5">
        <f>IF(M228="","先填计数",IF(M228&lt;30,"样本太少：仅描述",IF(M228&lt;100,"试点","可进入验证")))</f>
        <v/>
      </c>
      <c r="O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7">
        <f>IF(E229+F229=0,"",E229/(E229+F229))</f>
        <v/>
      </c>
      <c r="K229" s="7">
        <f>IF(E229+G229=0,"",E229/(E229+G229))</f>
        <v/>
      </c>
      <c r="L229" s="7">
        <f>IF(OR(J229="",K229="",J229+K229=0),"",2*J229*K229/(J229+K229))</f>
        <v/>
      </c>
      <c r="M229" s="5">
        <f>IF(COUNTA(E229:H229)=0,"",SUM(E229:H229))</f>
        <v/>
      </c>
      <c r="N229" s="5">
        <f>IF(M229="","先填计数",IF(M229&lt;30,"样本太少：仅描述",IF(M229&lt;100,"试点","可进入验证")))</f>
        <v/>
      </c>
      <c r="O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7">
        <f>IF(E230+F230=0,"",E230/(E230+F230))</f>
        <v/>
      </c>
      <c r="K230" s="7">
        <f>IF(E230+G230=0,"",E230/(E230+G230))</f>
        <v/>
      </c>
      <c r="L230" s="7">
        <f>IF(OR(J230="",K230="",J230+K230=0),"",2*J230*K230/(J230+K230))</f>
        <v/>
      </c>
      <c r="M230" s="5">
        <f>IF(COUNTA(E230:H230)=0,"",SUM(E230:H230))</f>
        <v/>
      </c>
      <c r="N230" s="5">
        <f>IF(M230="","先填计数",IF(M230&lt;30,"样本太少：仅描述",IF(M230&lt;100,"试点","可进入验证")))</f>
        <v/>
      </c>
      <c r="O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7">
        <f>IF(E231+F231=0,"",E231/(E231+F231))</f>
        <v/>
      </c>
      <c r="K231" s="7">
        <f>IF(E231+G231=0,"",E231/(E231+G231))</f>
        <v/>
      </c>
      <c r="L231" s="7">
        <f>IF(OR(J231="",K231="",J231+K231=0),"",2*J231*K231/(J231+K231))</f>
        <v/>
      </c>
      <c r="M231" s="5">
        <f>IF(COUNTA(E231:H231)=0,"",SUM(E231:H231))</f>
        <v/>
      </c>
      <c r="N231" s="5">
        <f>IF(M231="","先填计数",IF(M231&lt;30,"样本太少：仅描述",IF(M231&lt;100,"试点","可进入验证")))</f>
        <v/>
      </c>
      <c r="O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7">
        <f>IF(E232+F232=0,"",E232/(E232+F232))</f>
        <v/>
      </c>
      <c r="K232" s="7">
        <f>IF(E232+G232=0,"",E232/(E232+G232))</f>
        <v/>
      </c>
      <c r="L232" s="7">
        <f>IF(OR(J232="",K232="",J232+K232=0),"",2*J232*K232/(J232+K232))</f>
        <v/>
      </c>
      <c r="M232" s="5">
        <f>IF(COUNTA(E232:H232)=0,"",SUM(E232:H232))</f>
        <v/>
      </c>
      <c r="N232" s="5">
        <f>IF(M232="","先填计数",IF(M232&lt;30,"样本太少：仅描述",IF(M232&lt;100,"试点","可进入验证")))</f>
        <v/>
      </c>
      <c r="O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7">
        <f>IF(E233+F233=0,"",E233/(E233+F233))</f>
        <v/>
      </c>
      <c r="K233" s="7">
        <f>IF(E233+G233=0,"",E233/(E233+G233))</f>
        <v/>
      </c>
      <c r="L233" s="7">
        <f>IF(OR(J233="",K233="",J233+K233=0),"",2*J233*K233/(J233+K233))</f>
        <v/>
      </c>
      <c r="M233" s="5">
        <f>IF(COUNTA(E233:H233)=0,"",SUM(E233:H233))</f>
        <v/>
      </c>
      <c r="N233" s="5">
        <f>IF(M233="","先填计数",IF(M233&lt;30,"样本太少：仅描述",IF(M233&lt;100,"试点","可进入验证")))</f>
        <v/>
      </c>
      <c r="O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7">
        <f>IF(E234+F234=0,"",E234/(E234+F234))</f>
        <v/>
      </c>
      <c r="K234" s="7">
        <f>IF(E234+G234=0,"",E234/(E234+G234))</f>
        <v/>
      </c>
      <c r="L234" s="7">
        <f>IF(OR(J234="",K234="",J234+K234=0),"",2*J234*K234/(J234+K234))</f>
        <v/>
      </c>
      <c r="M234" s="5">
        <f>IF(COUNTA(E234:H234)=0,"",SUM(E234:H234))</f>
        <v/>
      </c>
      <c r="N234" s="5">
        <f>IF(M234="","先填计数",IF(M234&lt;30,"样本太少：仅描述",IF(M234&lt;100,"试点","可进入验证")))</f>
        <v/>
      </c>
      <c r="O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7">
        <f>IF(E235+F235=0,"",E235/(E235+F235))</f>
        <v/>
      </c>
      <c r="K235" s="7">
        <f>IF(E235+G235=0,"",E235/(E235+G235))</f>
        <v/>
      </c>
      <c r="L235" s="7">
        <f>IF(OR(J235="",K235="",J235+K235=0),"",2*J235*K235/(J235+K235))</f>
        <v/>
      </c>
      <c r="M235" s="5">
        <f>IF(COUNTA(E235:H235)=0,"",SUM(E235:H235))</f>
        <v/>
      </c>
      <c r="N235" s="5">
        <f>IF(M235="","先填计数",IF(M235&lt;30,"样本太少：仅描述",IF(M235&lt;100,"试点","可进入验证")))</f>
        <v/>
      </c>
      <c r="O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7">
        <f>IF(E236+F236=0,"",E236/(E236+F236))</f>
        <v/>
      </c>
      <c r="K236" s="7">
        <f>IF(E236+G236=0,"",E236/(E236+G236))</f>
        <v/>
      </c>
      <c r="L236" s="7">
        <f>IF(OR(J236="",K236="",J236+K236=0),"",2*J236*K236/(J236+K236))</f>
        <v/>
      </c>
      <c r="M236" s="5">
        <f>IF(COUNTA(E236:H236)=0,"",SUM(E236:H236))</f>
        <v/>
      </c>
      <c r="N236" s="5">
        <f>IF(M236="","先填计数",IF(M236&lt;30,"样本太少：仅描述",IF(M236&lt;100,"试点","可进入验证")))</f>
        <v/>
      </c>
      <c r="O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7">
        <f>IF(E237+F237=0,"",E237/(E237+F237))</f>
        <v/>
      </c>
      <c r="K237" s="7">
        <f>IF(E237+G237=0,"",E237/(E237+G237))</f>
        <v/>
      </c>
      <c r="L237" s="7">
        <f>IF(OR(J237="",K237="",J237+K237=0),"",2*J237*K237/(J237+K237))</f>
        <v/>
      </c>
      <c r="M237" s="5">
        <f>IF(COUNTA(E237:H237)=0,"",SUM(E237:H237))</f>
        <v/>
      </c>
      <c r="N237" s="5">
        <f>IF(M237="","先填计数",IF(M237&lt;30,"样本太少：仅描述",IF(M237&lt;100,"试点","可进入验证")))</f>
        <v/>
      </c>
      <c r="O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7">
        <f>IF(E238+F238=0,"",E238/(E238+F238))</f>
        <v/>
      </c>
      <c r="K238" s="7">
        <f>IF(E238+G238=0,"",E238/(E238+G238))</f>
        <v/>
      </c>
      <c r="L238" s="7">
        <f>IF(OR(J238="",K238="",J238+K238=0),"",2*J238*K238/(J238+K238))</f>
        <v/>
      </c>
      <c r="M238" s="5">
        <f>IF(COUNTA(E238:H238)=0,"",SUM(E238:H238))</f>
        <v/>
      </c>
      <c r="N238" s="5">
        <f>IF(M238="","先填计数",IF(M238&lt;30,"样本太少：仅描述",IF(M238&lt;100,"试点","可进入验证")))</f>
        <v/>
      </c>
      <c r="O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7">
        <f>IF(E239+F239=0,"",E239/(E239+F239))</f>
        <v/>
      </c>
      <c r="K239" s="7">
        <f>IF(E239+G239=0,"",E239/(E239+G239))</f>
        <v/>
      </c>
      <c r="L239" s="7">
        <f>IF(OR(J239="",K239="",J239+K239=0),"",2*J239*K239/(J239+K239))</f>
        <v/>
      </c>
      <c r="M239" s="5">
        <f>IF(COUNTA(E239:H239)=0,"",SUM(E239:H239))</f>
        <v/>
      </c>
      <c r="N239" s="5">
        <f>IF(M239="","先填计数",IF(M239&lt;30,"样本太少：仅描述",IF(M239&lt;100,"试点","可进入验证")))</f>
        <v/>
      </c>
      <c r="O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7">
        <f>IF(E240+F240=0,"",E240/(E240+F240))</f>
        <v/>
      </c>
      <c r="K240" s="7">
        <f>IF(E240+G240=0,"",E240/(E240+G240))</f>
        <v/>
      </c>
      <c r="L240" s="7">
        <f>IF(OR(J240="",K240="",J240+K240=0),"",2*J240*K240/(J240+K240))</f>
        <v/>
      </c>
      <c r="M240" s="5">
        <f>IF(COUNTA(E240:H240)=0,"",SUM(E240:H240))</f>
        <v/>
      </c>
      <c r="N240" s="5">
        <f>IF(M240="","先填计数",IF(M240&lt;30,"样本太少：仅描述",IF(M240&lt;100,"试点","可进入验证")))</f>
        <v/>
      </c>
      <c r="O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7">
        <f>IF(E241+F241=0,"",E241/(E241+F241))</f>
        <v/>
      </c>
      <c r="K241" s="7">
        <f>IF(E241+G241=0,"",E241/(E241+G241))</f>
        <v/>
      </c>
      <c r="L241" s="7">
        <f>IF(OR(J241="",K241="",J241+K241=0),"",2*J241*K241/(J241+K241))</f>
        <v/>
      </c>
      <c r="M241" s="5">
        <f>IF(COUNTA(E241:H241)=0,"",SUM(E241:H241))</f>
        <v/>
      </c>
      <c r="N241" s="5">
        <f>IF(M241="","先填计数",IF(M241&lt;30,"样本太少：仅描述",IF(M241&lt;100,"试点","可进入验证")))</f>
        <v/>
      </c>
      <c r="O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7">
        <f>IF(E242+F242=0,"",E242/(E242+F242))</f>
        <v/>
      </c>
      <c r="K242" s="7">
        <f>IF(E242+G242=0,"",E242/(E242+G242))</f>
        <v/>
      </c>
      <c r="L242" s="7">
        <f>IF(OR(J242="",K242="",J242+K242=0),"",2*J242*K242/(J242+K242))</f>
        <v/>
      </c>
      <c r="M242" s="5">
        <f>IF(COUNTA(E242:H242)=0,"",SUM(E242:H242))</f>
        <v/>
      </c>
      <c r="N242" s="5">
        <f>IF(M242="","先填计数",IF(M242&lt;30,"样本太少：仅描述",IF(M242&lt;100,"试点","可进入验证")))</f>
        <v/>
      </c>
      <c r="O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7">
        <f>IF(E243+F243=0,"",E243/(E243+F243))</f>
        <v/>
      </c>
      <c r="K243" s="7">
        <f>IF(E243+G243=0,"",E243/(E243+G243))</f>
        <v/>
      </c>
      <c r="L243" s="7">
        <f>IF(OR(J243="",K243="",J243+K243=0),"",2*J243*K243/(J243+K243))</f>
        <v/>
      </c>
      <c r="M243" s="5">
        <f>IF(COUNTA(E243:H243)=0,"",SUM(E243:H243))</f>
        <v/>
      </c>
      <c r="N243" s="5">
        <f>IF(M243="","先填计数",IF(M243&lt;30,"样本太少：仅描述",IF(M243&lt;100,"试点","可进入验证")))</f>
        <v/>
      </c>
      <c r="O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7">
        <f>IF(E244+F244=0,"",E244/(E244+F244))</f>
        <v/>
      </c>
      <c r="K244" s="7">
        <f>IF(E244+G244=0,"",E244/(E244+G244))</f>
        <v/>
      </c>
      <c r="L244" s="7">
        <f>IF(OR(J244="",K244="",J244+K244=0),"",2*J244*K244/(J244+K244))</f>
        <v/>
      </c>
      <c r="M244" s="5">
        <f>IF(COUNTA(E244:H244)=0,"",SUM(E244:H244))</f>
        <v/>
      </c>
      <c r="N244" s="5">
        <f>IF(M244="","先填计数",IF(M244&lt;30,"样本太少：仅描述",IF(M244&lt;100,"试点","可进入验证")))</f>
        <v/>
      </c>
      <c r="O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7">
        <f>IF(E245+F245=0,"",E245/(E245+F245))</f>
        <v/>
      </c>
      <c r="K245" s="7">
        <f>IF(E245+G245=0,"",E245/(E245+G245))</f>
        <v/>
      </c>
      <c r="L245" s="7">
        <f>IF(OR(J245="",K245="",J245+K245=0),"",2*J245*K245/(J245+K245))</f>
        <v/>
      </c>
      <c r="M245" s="5">
        <f>IF(COUNTA(E245:H245)=0,"",SUM(E245:H245))</f>
        <v/>
      </c>
      <c r="N245" s="5">
        <f>IF(M245="","先填计数",IF(M245&lt;30,"样本太少：仅描述",IF(M245&lt;100,"试点","可进入验证")))</f>
        <v/>
      </c>
      <c r="O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7">
        <f>IF(E246+F246=0,"",E246/(E246+F246))</f>
        <v/>
      </c>
      <c r="K246" s="7">
        <f>IF(E246+G246=0,"",E246/(E246+G246))</f>
        <v/>
      </c>
      <c r="L246" s="7">
        <f>IF(OR(J246="",K246="",J246+K246=0),"",2*J246*K246/(J246+K246))</f>
        <v/>
      </c>
      <c r="M246" s="5">
        <f>IF(COUNTA(E246:H246)=0,"",SUM(E246:H246))</f>
        <v/>
      </c>
      <c r="N246" s="5">
        <f>IF(M246="","先填计数",IF(M246&lt;30,"样本太少：仅描述",IF(M246&lt;100,"试点","可进入验证")))</f>
        <v/>
      </c>
      <c r="O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7">
        <f>IF(E247+F247=0,"",E247/(E247+F247))</f>
        <v/>
      </c>
      <c r="K247" s="7">
        <f>IF(E247+G247=0,"",E247/(E247+G247))</f>
        <v/>
      </c>
      <c r="L247" s="7">
        <f>IF(OR(J247="",K247="",J247+K247=0),"",2*J247*K247/(J247+K247))</f>
        <v/>
      </c>
      <c r="M247" s="5">
        <f>IF(COUNTA(E247:H247)=0,"",SUM(E247:H247))</f>
        <v/>
      </c>
      <c r="N247" s="5">
        <f>IF(M247="","先填计数",IF(M247&lt;30,"样本太少：仅描述",IF(M247&lt;100,"试点","可进入验证")))</f>
        <v/>
      </c>
      <c r="O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7">
        <f>IF(E248+F248=0,"",E248/(E248+F248))</f>
        <v/>
      </c>
      <c r="K248" s="7">
        <f>IF(E248+G248=0,"",E248/(E248+G248))</f>
        <v/>
      </c>
      <c r="L248" s="7">
        <f>IF(OR(J248="",K248="",J248+K248=0),"",2*J248*K248/(J248+K248))</f>
        <v/>
      </c>
      <c r="M248" s="5">
        <f>IF(COUNTA(E248:H248)=0,"",SUM(E248:H248))</f>
        <v/>
      </c>
      <c r="N248" s="5">
        <f>IF(M248="","先填计数",IF(M248&lt;30,"样本太少：仅描述",IF(M248&lt;100,"试点","可进入验证")))</f>
        <v/>
      </c>
      <c r="O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7">
        <f>IF(E249+F249=0,"",E249/(E249+F249))</f>
        <v/>
      </c>
      <c r="K249" s="7">
        <f>IF(E249+G249=0,"",E249/(E249+G249))</f>
        <v/>
      </c>
      <c r="L249" s="7">
        <f>IF(OR(J249="",K249="",J249+K249=0),"",2*J249*K249/(J249+K249))</f>
        <v/>
      </c>
      <c r="M249" s="5">
        <f>IF(COUNTA(E249:H249)=0,"",SUM(E249:H249))</f>
        <v/>
      </c>
      <c r="N249" s="5">
        <f>IF(M249="","先填计数",IF(M249&lt;30,"样本太少：仅描述",IF(M249&lt;100,"试点","可进入验证")))</f>
        <v/>
      </c>
      <c r="O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7">
        <f>IF(E250+F250=0,"",E250/(E250+F250))</f>
        <v/>
      </c>
      <c r="K250" s="7">
        <f>IF(E250+G250=0,"",E250/(E250+G250))</f>
        <v/>
      </c>
      <c r="L250" s="7">
        <f>IF(OR(J250="",K250="",J250+K250=0),"",2*J250*K250/(J250+K250))</f>
        <v/>
      </c>
      <c r="M250" s="5">
        <f>IF(COUNTA(E250:H250)=0,"",SUM(E250:H250))</f>
        <v/>
      </c>
      <c r="N250" s="5">
        <f>IF(M250="","先填计数",IF(M250&lt;30,"样本太少：仅描述",IF(M250&lt;100,"试点","可进入验证")))</f>
        <v/>
      </c>
      <c r="O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7">
        <f>IF(E251+F251=0,"",E251/(E251+F251))</f>
        <v/>
      </c>
      <c r="K251" s="7">
        <f>IF(E251+G251=0,"",E251/(E251+G251))</f>
        <v/>
      </c>
      <c r="L251" s="7">
        <f>IF(OR(J251="",K251="",J251+K251=0),"",2*J251*K251/(J251+K251))</f>
        <v/>
      </c>
      <c r="M251" s="5">
        <f>IF(COUNTA(E251:H251)=0,"",SUM(E251:H251))</f>
        <v/>
      </c>
      <c r="N251" s="5">
        <f>IF(M251="","先填计数",IF(M251&lt;30,"样本太少：仅描述",IF(M251&lt;100,"试点","可进入验证")))</f>
        <v/>
      </c>
      <c r="O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7">
        <f>IF(E252+F252=0,"",E252/(E252+F252))</f>
        <v/>
      </c>
      <c r="K252" s="7">
        <f>IF(E252+G252=0,"",E252/(E252+G252))</f>
        <v/>
      </c>
      <c r="L252" s="7">
        <f>IF(OR(J252="",K252="",J252+K252=0),"",2*J252*K252/(J252+K252))</f>
        <v/>
      </c>
      <c r="M252" s="5">
        <f>IF(COUNTA(E252:H252)=0,"",SUM(E252:H252))</f>
        <v/>
      </c>
      <c r="N252" s="5">
        <f>IF(M252="","先填计数",IF(M252&lt;30,"样本太少：仅描述",IF(M252&lt;100,"试点","可进入验证")))</f>
        <v/>
      </c>
      <c r="O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7">
        <f>IF(E253+F253=0,"",E253/(E253+F253))</f>
        <v/>
      </c>
      <c r="K253" s="7">
        <f>IF(E253+G253=0,"",E253/(E253+G253))</f>
        <v/>
      </c>
      <c r="L253" s="7">
        <f>IF(OR(J253="",K253="",J253+K253=0),"",2*J253*K253/(J253+K253))</f>
        <v/>
      </c>
      <c r="M253" s="5">
        <f>IF(COUNTA(E253:H253)=0,"",SUM(E253:H253))</f>
        <v/>
      </c>
      <c r="N253" s="5">
        <f>IF(M253="","先填计数",IF(M253&lt;30,"样本太少：仅描述",IF(M253&lt;100,"试点","可进入验证")))</f>
        <v/>
      </c>
      <c r="O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7">
        <f>IF(E254+F254=0,"",E254/(E254+F254))</f>
        <v/>
      </c>
      <c r="K254" s="7">
        <f>IF(E254+G254=0,"",E254/(E254+G254))</f>
        <v/>
      </c>
      <c r="L254" s="7">
        <f>IF(OR(J254="",K254="",J254+K254=0),"",2*J254*K254/(J254+K254))</f>
        <v/>
      </c>
      <c r="M254" s="5">
        <f>IF(COUNTA(E254:H254)=0,"",SUM(E254:H254))</f>
        <v/>
      </c>
      <c r="N254" s="5">
        <f>IF(M254="","先填计数",IF(M254&lt;30,"样本太少：仅描述",IF(M254&lt;100,"试点","可进入验证")))</f>
        <v/>
      </c>
      <c r="O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7">
        <f>IF(E255+F255=0,"",E255/(E255+F255))</f>
        <v/>
      </c>
      <c r="K255" s="7">
        <f>IF(E255+G255=0,"",E255/(E255+G255))</f>
        <v/>
      </c>
      <c r="L255" s="7">
        <f>IF(OR(J255="",K255="",J255+K255=0),"",2*J255*K255/(J255+K255))</f>
        <v/>
      </c>
      <c r="M255" s="5">
        <f>IF(COUNTA(E255:H255)=0,"",SUM(E255:H255))</f>
        <v/>
      </c>
      <c r="N255" s="5">
        <f>IF(M255="","先填计数",IF(M255&lt;30,"样本太少：仅描述",IF(M255&lt;100,"试点","可进入验证")))</f>
        <v/>
      </c>
      <c r="O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7">
        <f>IF(E256+F256=0,"",E256/(E256+F256))</f>
        <v/>
      </c>
      <c r="K256" s="7">
        <f>IF(E256+G256=0,"",E256/(E256+G256))</f>
        <v/>
      </c>
      <c r="L256" s="7">
        <f>IF(OR(J256="",K256="",J256+K256=0),"",2*J256*K256/(J256+K256))</f>
        <v/>
      </c>
      <c r="M256" s="5">
        <f>IF(COUNTA(E256:H256)=0,"",SUM(E256:H256))</f>
        <v/>
      </c>
      <c r="N256" s="5">
        <f>IF(M256="","先填计数",IF(M256&lt;30,"样本太少：仅描述",IF(M256&lt;100,"试点","可进入验证")))</f>
        <v/>
      </c>
      <c r="O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7">
        <f>IF(E257+F257=0,"",E257/(E257+F257))</f>
        <v/>
      </c>
      <c r="K257" s="7">
        <f>IF(E257+G257=0,"",E257/(E257+G257))</f>
        <v/>
      </c>
      <c r="L257" s="7">
        <f>IF(OR(J257="",K257="",J257+K257=0),"",2*J257*K257/(J257+K257))</f>
        <v/>
      </c>
      <c r="M257" s="5">
        <f>IF(COUNTA(E257:H257)=0,"",SUM(E257:H257))</f>
        <v/>
      </c>
      <c r="N257" s="5">
        <f>IF(M257="","先填计数",IF(M257&lt;30,"样本太少：仅描述",IF(M257&lt;100,"试点","可进入验证")))</f>
        <v/>
      </c>
      <c r="O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7">
        <f>IF(E258+F258=0,"",E258/(E258+F258))</f>
        <v/>
      </c>
      <c r="K258" s="7">
        <f>IF(E258+G258=0,"",E258/(E258+G258))</f>
        <v/>
      </c>
      <c r="L258" s="7">
        <f>IF(OR(J258="",K258="",J258+K258=0),"",2*J258*K258/(J258+K258))</f>
        <v/>
      </c>
      <c r="M258" s="5">
        <f>IF(COUNTA(E258:H258)=0,"",SUM(E258:H258))</f>
        <v/>
      </c>
      <c r="N258" s="5">
        <f>IF(M258="","先填计数",IF(M258&lt;30,"样本太少：仅描述",IF(M258&lt;100,"试点","可进入验证")))</f>
        <v/>
      </c>
      <c r="O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7">
        <f>IF(E259+F259=0,"",E259/(E259+F259))</f>
        <v/>
      </c>
      <c r="K259" s="7">
        <f>IF(E259+G259=0,"",E259/(E259+G259))</f>
        <v/>
      </c>
      <c r="L259" s="7">
        <f>IF(OR(J259="",K259="",J259+K259=0),"",2*J259*K259/(J259+K259))</f>
        <v/>
      </c>
      <c r="M259" s="5">
        <f>IF(COUNTA(E259:H259)=0,"",SUM(E259:H259))</f>
        <v/>
      </c>
      <c r="N259" s="5">
        <f>IF(M259="","先填计数",IF(M259&lt;30,"样本太少：仅描述",IF(M259&lt;100,"试点","可进入验证")))</f>
        <v/>
      </c>
      <c r="O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7">
        <f>IF(E260+F260=0,"",E260/(E260+F260))</f>
        <v/>
      </c>
      <c r="K260" s="7">
        <f>IF(E260+G260=0,"",E260/(E260+G260))</f>
        <v/>
      </c>
      <c r="L260" s="7">
        <f>IF(OR(J260="",K260="",J260+K260=0),"",2*J260*K260/(J260+K260))</f>
        <v/>
      </c>
      <c r="M260" s="5">
        <f>IF(COUNTA(E260:H260)=0,"",SUM(E260:H260))</f>
        <v/>
      </c>
      <c r="N260" s="5">
        <f>IF(M260="","先填计数",IF(M260&lt;30,"样本太少：仅描述",IF(M260&lt;100,"试点","可进入验证")))</f>
        <v/>
      </c>
      <c r="O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7">
        <f>IF(E261+F261=0,"",E261/(E261+F261))</f>
        <v/>
      </c>
      <c r="K261" s="7">
        <f>IF(E261+G261=0,"",E261/(E261+G261))</f>
        <v/>
      </c>
      <c r="L261" s="7">
        <f>IF(OR(J261="",K261="",J261+K261=0),"",2*J261*K261/(J261+K261))</f>
        <v/>
      </c>
      <c r="M261" s="5">
        <f>IF(COUNTA(E261:H261)=0,"",SUM(E261:H261))</f>
        <v/>
      </c>
      <c r="N261" s="5">
        <f>IF(M261="","先填计数",IF(M261&lt;30,"样本太少：仅描述",IF(M261&lt;100,"试点","可进入验证")))</f>
        <v/>
      </c>
      <c r="O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7">
        <f>IF(E262+F262=0,"",E262/(E262+F262))</f>
        <v/>
      </c>
      <c r="K262" s="7">
        <f>IF(E262+G262=0,"",E262/(E262+G262))</f>
        <v/>
      </c>
      <c r="L262" s="7">
        <f>IF(OR(J262="",K262="",J262+K262=0),"",2*J262*K262/(J262+K262))</f>
        <v/>
      </c>
      <c r="M262" s="5">
        <f>IF(COUNTA(E262:H262)=0,"",SUM(E262:H262))</f>
        <v/>
      </c>
      <c r="N262" s="5">
        <f>IF(M262="","先填计数",IF(M262&lt;30,"样本太少：仅描述",IF(M262&lt;100,"试点","可进入验证")))</f>
        <v/>
      </c>
      <c r="O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7">
        <f>IF(E263+F263=0,"",E263/(E263+F263))</f>
        <v/>
      </c>
      <c r="K263" s="7">
        <f>IF(E263+G263=0,"",E263/(E263+G263))</f>
        <v/>
      </c>
      <c r="L263" s="7">
        <f>IF(OR(J263="",K263="",J263+K263=0),"",2*J263*K263/(J263+K263))</f>
        <v/>
      </c>
      <c r="M263" s="5">
        <f>IF(COUNTA(E263:H263)=0,"",SUM(E263:H263))</f>
        <v/>
      </c>
      <c r="N263" s="5">
        <f>IF(M263="","先填计数",IF(M263&lt;30,"样本太少：仅描述",IF(M263&lt;100,"试点","可进入验证")))</f>
        <v/>
      </c>
      <c r="O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7">
        <f>IF(E264+F264=0,"",E264/(E264+F264))</f>
        <v/>
      </c>
      <c r="K264" s="7">
        <f>IF(E264+G264=0,"",E264/(E264+G264))</f>
        <v/>
      </c>
      <c r="L264" s="7">
        <f>IF(OR(J264="",K264="",J264+K264=0),"",2*J264*K264/(J264+K264))</f>
        <v/>
      </c>
      <c r="M264" s="5">
        <f>IF(COUNTA(E264:H264)=0,"",SUM(E264:H264))</f>
        <v/>
      </c>
      <c r="N264" s="5">
        <f>IF(M264="","先填计数",IF(M264&lt;30,"样本太少：仅描述",IF(M264&lt;100,"试点","可进入验证")))</f>
        <v/>
      </c>
      <c r="O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7">
        <f>IF(E265+F265=0,"",E265/(E265+F265))</f>
        <v/>
      </c>
      <c r="K265" s="7">
        <f>IF(E265+G265=0,"",E265/(E265+G265))</f>
        <v/>
      </c>
      <c r="L265" s="7">
        <f>IF(OR(J265="",K265="",J265+K265=0),"",2*J265*K265/(J265+K265))</f>
        <v/>
      </c>
      <c r="M265" s="5">
        <f>IF(COUNTA(E265:H265)=0,"",SUM(E265:H265))</f>
        <v/>
      </c>
      <c r="N265" s="5">
        <f>IF(M265="","先填计数",IF(M265&lt;30,"样本太少：仅描述",IF(M265&lt;100,"试点","可进入验证")))</f>
        <v/>
      </c>
      <c r="O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7">
        <f>IF(E266+F266=0,"",E266/(E266+F266))</f>
        <v/>
      </c>
      <c r="K266" s="7">
        <f>IF(E266+G266=0,"",E266/(E266+G266))</f>
        <v/>
      </c>
      <c r="L266" s="7">
        <f>IF(OR(J266="",K266="",J266+K266=0),"",2*J266*K266/(J266+K266))</f>
        <v/>
      </c>
      <c r="M266" s="5">
        <f>IF(COUNTA(E266:H266)=0,"",SUM(E266:H266))</f>
        <v/>
      </c>
      <c r="N266" s="5">
        <f>IF(M266="","先填计数",IF(M266&lt;30,"样本太少：仅描述",IF(M266&lt;100,"试点","可进入验证")))</f>
        <v/>
      </c>
      <c r="O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7">
        <f>IF(E267+F267=0,"",E267/(E267+F267))</f>
        <v/>
      </c>
      <c r="K267" s="7">
        <f>IF(E267+G267=0,"",E267/(E267+G267))</f>
        <v/>
      </c>
      <c r="L267" s="7">
        <f>IF(OR(J267="",K267="",J267+K267=0),"",2*J267*K267/(J267+K267))</f>
        <v/>
      </c>
      <c r="M267" s="5">
        <f>IF(COUNTA(E267:H267)=0,"",SUM(E267:H267))</f>
        <v/>
      </c>
      <c r="N267" s="5">
        <f>IF(M267="","先填计数",IF(M267&lt;30,"样本太少：仅描述",IF(M267&lt;100,"试点","可进入验证")))</f>
        <v/>
      </c>
      <c r="O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7">
        <f>IF(E268+F268=0,"",E268/(E268+F268))</f>
        <v/>
      </c>
      <c r="K268" s="7">
        <f>IF(E268+G268=0,"",E268/(E268+G268))</f>
        <v/>
      </c>
      <c r="L268" s="7">
        <f>IF(OR(J268="",K268="",J268+K268=0),"",2*J268*K268/(J268+K268))</f>
        <v/>
      </c>
      <c r="M268" s="5">
        <f>IF(COUNTA(E268:H268)=0,"",SUM(E268:H268))</f>
        <v/>
      </c>
      <c r="N268" s="5">
        <f>IF(M268="","先填计数",IF(M268&lt;30,"样本太少：仅描述",IF(M268&lt;100,"试点","可进入验证")))</f>
        <v/>
      </c>
      <c r="O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7">
        <f>IF(E269+F269=0,"",E269/(E269+F269))</f>
        <v/>
      </c>
      <c r="K269" s="7">
        <f>IF(E269+G269=0,"",E269/(E269+G269))</f>
        <v/>
      </c>
      <c r="L269" s="7">
        <f>IF(OR(J269="",K269="",J269+K269=0),"",2*J269*K269/(J269+K269))</f>
        <v/>
      </c>
      <c r="M269" s="5">
        <f>IF(COUNTA(E269:H269)=0,"",SUM(E269:H269))</f>
        <v/>
      </c>
      <c r="N269" s="5">
        <f>IF(M269="","先填计数",IF(M269&lt;30,"样本太少：仅描述",IF(M269&lt;100,"试点","可进入验证")))</f>
        <v/>
      </c>
      <c r="O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7">
        <f>IF(E270+F270=0,"",E270/(E270+F270))</f>
        <v/>
      </c>
      <c r="K270" s="7">
        <f>IF(E270+G270=0,"",E270/(E270+G270))</f>
        <v/>
      </c>
      <c r="L270" s="7">
        <f>IF(OR(J270="",K270="",J270+K270=0),"",2*J270*K270/(J270+K270))</f>
        <v/>
      </c>
      <c r="M270" s="5">
        <f>IF(COUNTA(E270:H270)=0,"",SUM(E270:H270))</f>
        <v/>
      </c>
      <c r="N270" s="5">
        <f>IF(M270="","先填计数",IF(M270&lt;30,"样本太少：仅描述",IF(M270&lt;100,"试点","可进入验证")))</f>
        <v/>
      </c>
      <c r="O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7">
        <f>IF(E271+F271=0,"",E271/(E271+F271))</f>
        <v/>
      </c>
      <c r="K271" s="7">
        <f>IF(E271+G271=0,"",E271/(E271+G271))</f>
        <v/>
      </c>
      <c r="L271" s="7">
        <f>IF(OR(J271="",K271="",J271+K271=0),"",2*J271*K271/(J271+K271))</f>
        <v/>
      </c>
      <c r="M271" s="5">
        <f>IF(COUNTA(E271:H271)=0,"",SUM(E271:H271))</f>
        <v/>
      </c>
      <c r="N271" s="5">
        <f>IF(M271="","先填计数",IF(M271&lt;30,"样本太少：仅描述",IF(M271&lt;100,"试点","可进入验证")))</f>
        <v/>
      </c>
      <c r="O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7">
        <f>IF(E272+F272=0,"",E272/(E272+F272))</f>
        <v/>
      </c>
      <c r="K272" s="7">
        <f>IF(E272+G272=0,"",E272/(E272+G272))</f>
        <v/>
      </c>
      <c r="L272" s="7">
        <f>IF(OR(J272="",K272="",J272+K272=0),"",2*J272*K272/(J272+K272))</f>
        <v/>
      </c>
      <c r="M272" s="5">
        <f>IF(COUNTA(E272:H272)=0,"",SUM(E272:H272))</f>
        <v/>
      </c>
      <c r="N272" s="5">
        <f>IF(M272="","先填计数",IF(M272&lt;30,"样本太少：仅描述",IF(M272&lt;100,"试点","可进入验证")))</f>
        <v/>
      </c>
      <c r="O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7">
        <f>IF(E273+F273=0,"",E273/(E273+F273))</f>
        <v/>
      </c>
      <c r="K273" s="7">
        <f>IF(E273+G273=0,"",E273/(E273+G273))</f>
        <v/>
      </c>
      <c r="L273" s="7">
        <f>IF(OR(J273="",K273="",J273+K273=0),"",2*J273*K273/(J273+K273))</f>
        <v/>
      </c>
      <c r="M273" s="5">
        <f>IF(COUNTA(E273:H273)=0,"",SUM(E273:H273))</f>
        <v/>
      </c>
      <c r="N273" s="5">
        <f>IF(M273="","先填计数",IF(M273&lt;30,"样本太少：仅描述",IF(M273&lt;100,"试点","可进入验证")))</f>
        <v/>
      </c>
      <c r="O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7">
        <f>IF(E274+F274=0,"",E274/(E274+F274))</f>
        <v/>
      </c>
      <c r="K274" s="7">
        <f>IF(E274+G274=0,"",E274/(E274+G274))</f>
        <v/>
      </c>
      <c r="L274" s="7">
        <f>IF(OR(J274="",K274="",J274+K274=0),"",2*J274*K274/(J274+K274))</f>
        <v/>
      </c>
      <c r="M274" s="5">
        <f>IF(COUNTA(E274:H274)=0,"",SUM(E274:H274))</f>
        <v/>
      </c>
      <c r="N274" s="5">
        <f>IF(M274="","先填计数",IF(M274&lt;30,"样本太少：仅描述",IF(M274&lt;100,"试点","可进入验证")))</f>
        <v/>
      </c>
      <c r="O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7">
        <f>IF(E275+F275=0,"",E275/(E275+F275))</f>
        <v/>
      </c>
      <c r="K275" s="7">
        <f>IF(E275+G275=0,"",E275/(E275+G275))</f>
        <v/>
      </c>
      <c r="L275" s="7">
        <f>IF(OR(J275="",K275="",J275+K275=0),"",2*J275*K275/(J275+K275))</f>
        <v/>
      </c>
      <c r="M275" s="5">
        <f>IF(COUNTA(E275:H275)=0,"",SUM(E275:H275))</f>
        <v/>
      </c>
      <c r="N275" s="5">
        <f>IF(M275="","先填计数",IF(M275&lt;30,"样本太少：仅描述",IF(M275&lt;100,"试点","可进入验证")))</f>
        <v/>
      </c>
      <c r="O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7">
        <f>IF(E276+F276=0,"",E276/(E276+F276))</f>
        <v/>
      </c>
      <c r="K276" s="7">
        <f>IF(E276+G276=0,"",E276/(E276+G276))</f>
        <v/>
      </c>
      <c r="L276" s="7">
        <f>IF(OR(J276="",K276="",J276+K276=0),"",2*J276*K276/(J276+K276))</f>
        <v/>
      </c>
      <c r="M276" s="5">
        <f>IF(COUNTA(E276:H276)=0,"",SUM(E276:H276))</f>
        <v/>
      </c>
      <c r="N276" s="5">
        <f>IF(M276="","先填计数",IF(M276&lt;30,"样本太少：仅描述",IF(M276&lt;100,"试点","可进入验证")))</f>
        <v/>
      </c>
      <c r="O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7">
        <f>IF(E277+F277=0,"",E277/(E277+F277))</f>
        <v/>
      </c>
      <c r="K277" s="7">
        <f>IF(E277+G277=0,"",E277/(E277+G277))</f>
        <v/>
      </c>
      <c r="L277" s="7">
        <f>IF(OR(J277="",K277="",J277+K277=0),"",2*J277*K277/(J277+K277))</f>
        <v/>
      </c>
      <c r="M277" s="5">
        <f>IF(COUNTA(E277:H277)=0,"",SUM(E277:H277))</f>
        <v/>
      </c>
      <c r="N277" s="5">
        <f>IF(M277="","先填计数",IF(M277&lt;30,"样本太少：仅描述",IF(M277&lt;100,"试点","可进入验证")))</f>
        <v/>
      </c>
      <c r="O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7">
        <f>IF(E278+F278=0,"",E278/(E278+F278))</f>
        <v/>
      </c>
      <c r="K278" s="7">
        <f>IF(E278+G278=0,"",E278/(E278+G278))</f>
        <v/>
      </c>
      <c r="L278" s="7">
        <f>IF(OR(J278="",K278="",J278+K278=0),"",2*J278*K278/(J278+K278))</f>
        <v/>
      </c>
      <c r="M278" s="5">
        <f>IF(COUNTA(E278:H278)=0,"",SUM(E278:H278))</f>
        <v/>
      </c>
      <c r="N278" s="5">
        <f>IF(M278="","先填计数",IF(M278&lt;30,"样本太少：仅描述",IF(M278&lt;100,"试点","可进入验证")))</f>
        <v/>
      </c>
      <c r="O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7">
        <f>IF(E279+F279=0,"",E279/(E279+F279))</f>
        <v/>
      </c>
      <c r="K279" s="7">
        <f>IF(E279+G279=0,"",E279/(E279+G279))</f>
        <v/>
      </c>
      <c r="L279" s="7">
        <f>IF(OR(J279="",K279="",J279+K279=0),"",2*J279*K279/(J279+K279))</f>
        <v/>
      </c>
      <c r="M279" s="5">
        <f>IF(COUNTA(E279:H279)=0,"",SUM(E279:H279))</f>
        <v/>
      </c>
      <c r="N279" s="5">
        <f>IF(M279="","先填计数",IF(M279&lt;30,"样本太少：仅描述",IF(M279&lt;100,"试点","可进入验证")))</f>
        <v/>
      </c>
      <c r="O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7">
        <f>IF(E280+F280=0,"",E280/(E280+F280))</f>
        <v/>
      </c>
      <c r="K280" s="7">
        <f>IF(E280+G280=0,"",E280/(E280+G280))</f>
        <v/>
      </c>
      <c r="L280" s="7">
        <f>IF(OR(J280="",K280="",J280+K280=0),"",2*J280*K280/(J280+K280))</f>
        <v/>
      </c>
      <c r="M280" s="5">
        <f>IF(COUNTA(E280:H280)=0,"",SUM(E280:H280))</f>
        <v/>
      </c>
      <c r="N280" s="5">
        <f>IF(M280="","先填计数",IF(M280&lt;30,"样本太少：仅描述",IF(M280&lt;100,"试点","可进入验证")))</f>
        <v/>
      </c>
      <c r="O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7">
        <f>IF(E281+F281=0,"",E281/(E281+F281))</f>
        <v/>
      </c>
      <c r="K281" s="7">
        <f>IF(E281+G281=0,"",E281/(E281+G281))</f>
        <v/>
      </c>
      <c r="L281" s="7">
        <f>IF(OR(J281="",K281="",J281+K281=0),"",2*J281*K281/(J281+K281))</f>
        <v/>
      </c>
      <c r="M281" s="5">
        <f>IF(COUNTA(E281:H281)=0,"",SUM(E281:H281))</f>
        <v/>
      </c>
      <c r="N281" s="5">
        <f>IF(M281="","先填计数",IF(M281&lt;30,"样本太少：仅描述",IF(M281&lt;100,"试点","可进入验证")))</f>
        <v/>
      </c>
      <c r="O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7">
        <f>IF(E282+F282=0,"",E282/(E282+F282))</f>
        <v/>
      </c>
      <c r="K282" s="7">
        <f>IF(E282+G282=0,"",E282/(E282+G282))</f>
        <v/>
      </c>
      <c r="L282" s="7">
        <f>IF(OR(J282="",K282="",J282+K282=0),"",2*J282*K282/(J282+K282))</f>
        <v/>
      </c>
      <c r="M282" s="5">
        <f>IF(COUNTA(E282:H282)=0,"",SUM(E282:H282))</f>
        <v/>
      </c>
      <c r="N282" s="5">
        <f>IF(M282="","先填计数",IF(M282&lt;30,"样本太少：仅描述",IF(M282&lt;100,"试点","可进入验证")))</f>
        <v/>
      </c>
      <c r="O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7">
        <f>IF(E283+F283=0,"",E283/(E283+F283))</f>
        <v/>
      </c>
      <c r="K283" s="7">
        <f>IF(E283+G283=0,"",E283/(E283+G283))</f>
        <v/>
      </c>
      <c r="L283" s="7">
        <f>IF(OR(J283="",K283="",J283+K283=0),"",2*J283*K283/(J283+K283))</f>
        <v/>
      </c>
      <c r="M283" s="5">
        <f>IF(COUNTA(E283:H283)=0,"",SUM(E283:H283))</f>
        <v/>
      </c>
      <c r="N283" s="5">
        <f>IF(M283="","先填计数",IF(M283&lt;30,"样本太少：仅描述",IF(M283&lt;100,"试点","可进入验证")))</f>
        <v/>
      </c>
      <c r="O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7">
        <f>IF(E284+F284=0,"",E284/(E284+F284))</f>
        <v/>
      </c>
      <c r="K284" s="7">
        <f>IF(E284+G284=0,"",E284/(E284+G284))</f>
        <v/>
      </c>
      <c r="L284" s="7">
        <f>IF(OR(J284="",K284="",J284+K284=0),"",2*J284*K284/(J284+K284))</f>
        <v/>
      </c>
      <c r="M284" s="5">
        <f>IF(COUNTA(E284:H284)=0,"",SUM(E284:H284))</f>
        <v/>
      </c>
      <c r="N284" s="5">
        <f>IF(M284="","先填计数",IF(M284&lt;30,"样本太少：仅描述",IF(M284&lt;100,"试点","可进入验证")))</f>
        <v/>
      </c>
      <c r="O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7">
        <f>IF(E285+F285=0,"",E285/(E285+F285))</f>
        <v/>
      </c>
      <c r="K285" s="7">
        <f>IF(E285+G285=0,"",E285/(E285+G285))</f>
        <v/>
      </c>
      <c r="L285" s="7">
        <f>IF(OR(J285="",K285="",J285+K285=0),"",2*J285*K285/(J285+K285))</f>
        <v/>
      </c>
      <c r="M285" s="5">
        <f>IF(COUNTA(E285:H285)=0,"",SUM(E285:H285))</f>
        <v/>
      </c>
      <c r="N285" s="5">
        <f>IF(M285="","先填计数",IF(M285&lt;30,"样本太少：仅描述",IF(M285&lt;100,"试点","可进入验证")))</f>
        <v/>
      </c>
      <c r="O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7">
        <f>IF(E286+F286=0,"",E286/(E286+F286))</f>
        <v/>
      </c>
      <c r="K286" s="7">
        <f>IF(E286+G286=0,"",E286/(E286+G286))</f>
        <v/>
      </c>
      <c r="L286" s="7">
        <f>IF(OR(J286="",K286="",J286+K286=0),"",2*J286*K286/(J286+K286))</f>
        <v/>
      </c>
      <c r="M286" s="5">
        <f>IF(COUNTA(E286:H286)=0,"",SUM(E286:H286))</f>
        <v/>
      </c>
      <c r="N286" s="5">
        <f>IF(M286="","先填计数",IF(M286&lt;30,"样本太少：仅描述",IF(M286&lt;100,"试点","可进入验证")))</f>
        <v/>
      </c>
      <c r="O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7">
        <f>IF(E287+F287=0,"",E287/(E287+F287))</f>
        <v/>
      </c>
      <c r="K287" s="7">
        <f>IF(E287+G287=0,"",E287/(E287+G287))</f>
        <v/>
      </c>
      <c r="L287" s="7">
        <f>IF(OR(J287="",K287="",J287+K287=0),"",2*J287*K287/(J287+K287))</f>
        <v/>
      </c>
      <c r="M287" s="5">
        <f>IF(COUNTA(E287:H287)=0,"",SUM(E287:H287))</f>
        <v/>
      </c>
      <c r="N287" s="5">
        <f>IF(M287="","先填计数",IF(M287&lt;30,"样本太少：仅描述",IF(M287&lt;100,"试点","可进入验证")))</f>
        <v/>
      </c>
      <c r="O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7">
        <f>IF(E288+F288=0,"",E288/(E288+F288))</f>
        <v/>
      </c>
      <c r="K288" s="7">
        <f>IF(E288+G288=0,"",E288/(E288+G288))</f>
        <v/>
      </c>
      <c r="L288" s="7">
        <f>IF(OR(J288="",K288="",J288+K288=0),"",2*J288*K288/(J288+K288))</f>
        <v/>
      </c>
      <c r="M288" s="5">
        <f>IF(COUNTA(E288:H288)=0,"",SUM(E288:H288))</f>
        <v/>
      </c>
      <c r="N288" s="5">
        <f>IF(M288="","先填计数",IF(M288&lt;30,"样本太少：仅描述",IF(M288&lt;100,"试点","可进入验证")))</f>
        <v/>
      </c>
      <c r="O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7">
        <f>IF(E289+F289=0,"",E289/(E289+F289))</f>
        <v/>
      </c>
      <c r="K289" s="7">
        <f>IF(E289+G289=0,"",E289/(E289+G289))</f>
        <v/>
      </c>
      <c r="L289" s="7">
        <f>IF(OR(J289="",K289="",J289+K289=0),"",2*J289*K289/(J289+K289))</f>
        <v/>
      </c>
      <c r="M289" s="5">
        <f>IF(COUNTA(E289:H289)=0,"",SUM(E289:H289))</f>
        <v/>
      </c>
      <c r="N289" s="5">
        <f>IF(M289="","先填计数",IF(M289&lt;30,"样本太少：仅描述",IF(M289&lt;100,"试点","可进入验证")))</f>
        <v/>
      </c>
      <c r="O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7">
        <f>IF(E290+F290=0,"",E290/(E290+F290))</f>
        <v/>
      </c>
      <c r="K290" s="7">
        <f>IF(E290+G290=0,"",E290/(E290+G290))</f>
        <v/>
      </c>
      <c r="L290" s="7">
        <f>IF(OR(J290="",K290="",J290+K290=0),"",2*J290*K290/(J290+K290))</f>
        <v/>
      </c>
      <c r="M290" s="5">
        <f>IF(COUNTA(E290:H290)=0,"",SUM(E290:H290))</f>
        <v/>
      </c>
      <c r="N290" s="5">
        <f>IF(M290="","先填计数",IF(M290&lt;30,"样本太少：仅描述",IF(M290&lt;100,"试点","可进入验证")))</f>
        <v/>
      </c>
      <c r="O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7">
        <f>IF(E291+F291=0,"",E291/(E291+F291))</f>
        <v/>
      </c>
      <c r="K291" s="7">
        <f>IF(E291+G291=0,"",E291/(E291+G291))</f>
        <v/>
      </c>
      <c r="L291" s="7">
        <f>IF(OR(J291="",K291="",J291+K291=0),"",2*J291*K291/(J291+K291))</f>
        <v/>
      </c>
      <c r="M291" s="5">
        <f>IF(COUNTA(E291:H291)=0,"",SUM(E291:H291))</f>
        <v/>
      </c>
      <c r="N291" s="5">
        <f>IF(M291="","先填计数",IF(M291&lt;30,"样本太少：仅描述",IF(M291&lt;100,"试点","可进入验证")))</f>
        <v/>
      </c>
      <c r="O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7">
        <f>IF(E292+F292=0,"",E292/(E292+F292))</f>
        <v/>
      </c>
      <c r="K292" s="7">
        <f>IF(E292+G292=0,"",E292/(E292+G292))</f>
        <v/>
      </c>
      <c r="L292" s="7">
        <f>IF(OR(J292="",K292="",J292+K292=0),"",2*J292*K292/(J292+K292))</f>
        <v/>
      </c>
      <c r="M292" s="5">
        <f>IF(COUNTA(E292:H292)=0,"",SUM(E292:H292))</f>
        <v/>
      </c>
      <c r="N292" s="5">
        <f>IF(M292="","先填计数",IF(M292&lt;30,"样本太少：仅描述",IF(M292&lt;100,"试点","可进入验证")))</f>
        <v/>
      </c>
      <c r="O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7">
        <f>IF(E293+F293=0,"",E293/(E293+F293))</f>
        <v/>
      </c>
      <c r="K293" s="7">
        <f>IF(E293+G293=0,"",E293/(E293+G293))</f>
        <v/>
      </c>
      <c r="L293" s="7">
        <f>IF(OR(J293="",K293="",J293+K293=0),"",2*J293*K293/(J293+K293))</f>
        <v/>
      </c>
      <c r="M293" s="5">
        <f>IF(COUNTA(E293:H293)=0,"",SUM(E293:H293))</f>
        <v/>
      </c>
      <c r="N293" s="5">
        <f>IF(M293="","先填计数",IF(M293&lt;30,"样本太少：仅描述",IF(M293&lt;100,"试点","可进入验证")))</f>
        <v/>
      </c>
      <c r="O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7">
        <f>IF(E294+F294=0,"",E294/(E294+F294))</f>
        <v/>
      </c>
      <c r="K294" s="7">
        <f>IF(E294+G294=0,"",E294/(E294+G294))</f>
        <v/>
      </c>
      <c r="L294" s="7">
        <f>IF(OR(J294="",K294="",J294+K294=0),"",2*J294*K294/(J294+K294))</f>
        <v/>
      </c>
      <c r="M294" s="5">
        <f>IF(COUNTA(E294:H294)=0,"",SUM(E294:H294))</f>
        <v/>
      </c>
      <c r="N294" s="5">
        <f>IF(M294="","先填计数",IF(M294&lt;30,"样本太少：仅描述",IF(M294&lt;100,"试点","可进入验证")))</f>
        <v/>
      </c>
      <c r="O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7">
        <f>IF(E295+F295=0,"",E295/(E295+F295))</f>
        <v/>
      </c>
      <c r="K295" s="7">
        <f>IF(E295+G295=0,"",E295/(E295+G295))</f>
        <v/>
      </c>
      <c r="L295" s="7">
        <f>IF(OR(J295="",K295="",J295+K295=0),"",2*J295*K295/(J295+K295))</f>
        <v/>
      </c>
      <c r="M295" s="5">
        <f>IF(COUNTA(E295:H295)=0,"",SUM(E295:H295))</f>
        <v/>
      </c>
      <c r="N295" s="5">
        <f>IF(M295="","先填计数",IF(M295&lt;30,"样本太少：仅描述",IF(M295&lt;100,"试点","可进入验证")))</f>
        <v/>
      </c>
      <c r="O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7">
        <f>IF(E296+F296=0,"",E296/(E296+F296))</f>
        <v/>
      </c>
      <c r="K296" s="7">
        <f>IF(E296+G296=0,"",E296/(E296+G296))</f>
        <v/>
      </c>
      <c r="L296" s="7">
        <f>IF(OR(J296="",K296="",J296+K296=0),"",2*J296*K296/(J296+K296))</f>
        <v/>
      </c>
      <c r="M296" s="5">
        <f>IF(COUNTA(E296:H296)=0,"",SUM(E296:H296))</f>
        <v/>
      </c>
      <c r="N296" s="5">
        <f>IF(M296="","先填计数",IF(M296&lt;30,"样本太少：仅描述",IF(M296&lt;100,"试点","可进入验证")))</f>
        <v/>
      </c>
      <c r="O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7">
        <f>IF(E297+F297=0,"",E297/(E297+F297))</f>
        <v/>
      </c>
      <c r="K297" s="7">
        <f>IF(E297+G297=0,"",E297/(E297+G297))</f>
        <v/>
      </c>
      <c r="L297" s="7">
        <f>IF(OR(J297="",K297="",J297+K297=0),"",2*J297*K297/(J297+K297))</f>
        <v/>
      </c>
      <c r="M297" s="5">
        <f>IF(COUNTA(E297:H297)=0,"",SUM(E297:H297))</f>
        <v/>
      </c>
      <c r="N297" s="5">
        <f>IF(M297="","先填计数",IF(M297&lt;30,"样本太少：仅描述",IF(M297&lt;100,"试点","可进入验证")))</f>
        <v/>
      </c>
      <c r="O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7">
        <f>IF(E298+F298=0,"",E298/(E298+F298))</f>
        <v/>
      </c>
      <c r="K298" s="7">
        <f>IF(E298+G298=0,"",E298/(E298+G298))</f>
        <v/>
      </c>
      <c r="L298" s="7">
        <f>IF(OR(J298="",K298="",J298+K298=0),"",2*J298*K298/(J298+K298))</f>
        <v/>
      </c>
      <c r="M298" s="5">
        <f>IF(COUNTA(E298:H298)=0,"",SUM(E298:H298))</f>
        <v/>
      </c>
      <c r="N298" s="5">
        <f>IF(M298="","先填计数",IF(M298&lt;30,"样本太少：仅描述",IF(M298&lt;100,"试点","可进入验证")))</f>
        <v/>
      </c>
      <c r="O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7">
        <f>IF(E299+F299=0,"",E299/(E299+F299))</f>
        <v/>
      </c>
      <c r="K299" s="7">
        <f>IF(E299+G299=0,"",E299/(E299+G299))</f>
        <v/>
      </c>
      <c r="L299" s="7">
        <f>IF(OR(J299="",K299="",J299+K299=0),"",2*J299*K299/(J299+K299))</f>
        <v/>
      </c>
      <c r="M299" s="5">
        <f>IF(COUNTA(E299:H299)=0,"",SUM(E299:H299))</f>
        <v/>
      </c>
      <c r="N299" s="5">
        <f>IF(M299="","先填计数",IF(M299&lt;30,"样本太少：仅描述",IF(M299&lt;100,"试点","可进入验证")))</f>
        <v/>
      </c>
      <c r="O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7">
        <f>IF(E300+F300=0,"",E300/(E300+F300))</f>
        <v/>
      </c>
      <c r="K300" s="7">
        <f>IF(E300+G300=0,"",E300/(E300+G300))</f>
        <v/>
      </c>
      <c r="L300" s="7">
        <f>IF(OR(J300="",K300="",J300+K300=0),"",2*J300*K300/(J300+K300))</f>
        <v/>
      </c>
      <c r="M300" s="5">
        <f>IF(COUNTA(E300:H300)=0,"",SUM(E300:H300))</f>
        <v/>
      </c>
      <c r="N300" s="5">
        <f>IF(M300="","先填计数",IF(M300&lt;30,"样本太少：仅描述",IF(M300&lt;100,"试点","可进入验证")))</f>
        <v/>
      </c>
      <c r="O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7">
        <f>IF(E301+F301=0,"",E301/(E301+F301))</f>
        <v/>
      </c>
      <c r="K301" s="7">
        <f>IF(E301+G301=0,"",E301/(E301+G301))</f>
        <v/>
      </c>
      <c r="L301" s="7">
        <f>IF(OR(J301="",K301="",J301+K301=0),"",2*J301*K301/(J301+K301))</f>
        <v/>
      </c>
      <c r="M301" s="5">
        <f>IF(COUNTA(E301:H301)=0,"",SUM(E301:H301))</f>
        <v/>
      </c>
      <c r="N301" s="5">
        <f>IF(M301="","先填计数",IF(M301&lt;30,"样本太少：仅描述",IF(M301&lt;100,"试点","可进入验证")))</f>
        <v/>
      </c>
      <c r="O301" s="3" t="n"/>
    </row>
  </sheetData>
  <autoFilter ref="A1:O3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6B26B"/>
    <outlinePr summaryBelow="1" summaryRight="1"/>
    <pageSetUpPr/>
  </sheetPr>
  <dimension ref="A1:L30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4" customHeight="1">
      <c r="A1" s="1" t="inlineStr">
        <is>
          <t>依赖记录ID</t>
        </is>
      </c>
      <c r="B1" s="1" t="inlineStr">
        <is>
          <t>数据批次</t>
        </is>
      </c>
      <c r="C1" s="1" t="inlineStr">
        <is>
          <t>样本ID</t>
        </is>
      </c>
      <c r="D1" s="1" t="inlineStr">
        <is>
          <t>来源A类别</t>
        </is>
      </c>
      <c r="E1" s="1" t="inlineStr">
        <is>
          <t>来源B类别</t>
        </is>
      </c>
      <c r="F1" s="1" t="inlineStr">
        <is>
          <t>共同来源组ID</t>
        </is>
      </c>
      <c r="G1" s="1" t="inlineStr">
        <is>
          <t>依赖类型</t>
        </is>
      </c>
      <c r="H1" s="1" t="inlineStr">
        <is>
          <t>依赖复核结论</t>
        </is>
      </c>
      <c r="I1" s="1" t="inlineStr">
        <is>
          <t>处理方式</t>
        </is>
      </c>
      <c r="J1" s="1" t="inlineStr">
        <is>
          <t>复核人员代号</t>
        </is>
      </c>
      <c r="K1" s="1" t="inlineStr">
        <is>
          <t>复核日期</t>
        </is>
      </c>
      <c r="L1" s="1" t="inlineStr">
        <is>
          <t>备注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4" t="n"/>
      <c r="L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4" t="n"/>
      <c r="L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4" t="n"/>
      <c r="L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4" t="n"/>
      <c r="L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4" t="n"/>
      <c r="L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4" t="n"/>
      <c r="L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4" t="n"/>
      <c r="L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4" t="n"/>
      <c r="L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4" t="n"/>
      <c r="L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4" t="n"/>
      <c r="L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4" t="n"/>
      <c r="L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4" t="n"/>
      <c r="L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4" t="n"/>
      <c r="L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4" t="n"/>
      <c r="L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4" t="n"/>
      <c r="L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4" t="n"/>
      <c r="L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4" t="n"/>
      <c r="L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4" t="n"/>
      <c r="L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4" t="n"/>
      <c r="L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4" t="n"/>
      <c r="L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4" t="n"/>
      <c r="L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4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4" t="n"/>
      <c r="L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4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4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4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4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4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4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4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4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4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4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4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4" t="n"/>
      <c r="L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4" t="n"/>
      <c r="L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4" t="n"/>
      <c r="L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4" t="n"/>
      <c r="L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4" t="n"/>
      <c r="L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4" t="n"/>
      <c r="L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4" t="n"/>
      <c r="L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4" t="n"/>
      <c r="L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4" t="n"/>
      <c r="L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4" t="n"/>
      <c r="L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4" t="n"/>
      <c r="L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4" t="n"/>
      <c r="L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4" t="n"/>
      <c r="L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4" t="n"/>
      <c r="L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4" t="n"/>
      <c r="L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4" t="n"/>
      <c r="L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4" t="n"/>
      <c r="L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4" t="n"/>
      <c r="L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4" t="n"/>
      <c r="L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4" t="n"/>
      <c r="L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4" t="n"/>
      <c r="L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4" t="n"/>
      <c r="L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4" t="n"/>
      <c r="L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4" t="n"/>
      <c r="L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4" t="n"/>
      <c r="L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4" t="n"/>
      <c r="L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4" t="n"/>
      <c r="L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4" t="n"/>
      <c r="L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4" t="n"/>
      <c r="L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4" t="n"/>
      <c r="L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4" t="n"/>
      <c r="L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4" t="n"/>
      <c r="L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4" t="n"/>
      <c r="L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4" t="n"/>
      <c r="L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4" t="n"/>
      <c r="L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4" t="n"/>
      <c r="L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4" t="n"/>
      <c r="L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4" t="n"/>
      <c r="L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4" t="n"/>
      <c r="L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4" t="n"/>
      <c r="L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4" t="n"/>
      <c r="L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4" t="n"/>
      <c r="L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4" t="n"/>
      <c r="L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4" t="n"/>
      <c r="L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4" t="n"/>
      <c r="L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4" t="n"/>
      <c r="L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4" t="n"/>
      <c r="L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4" t="n"/>
      <c r="L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4" t="n"/>
      <c r="L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4" t="n"/>
      <c r="L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4" t="n"/>
      <c r="L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4" t="n"/>
      <c r="L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4" t="n"/>
      <c r="L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4" t="n"/>
      <c r="L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4" t="n"/>
      <c r="L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4" t="n"/>
      <c r="L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4" t="n"/>
      <c r="L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4" t="n"/>
      <c r="L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4" t="n"/>
      <c r="L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4" t="n"/>
      <c r="L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4" t="n"/>
      <c r="L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4" t="n"/>
      <c r="L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4" t="n"/>
      <c r="L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4" t="n"/>
      <c r="L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4" t="n"/>
      <c r="L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4" t="n"/>
      <c r="L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4" t="n"/>
      <c r="L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4" t="n"/>
      <c r="L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4" t="n"/>
      <c r="L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4" t="n"/>
      <c r="L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4" t="n"/>
      <c r="L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4" t="n"/>
      <c r="L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4" t="n"/>
      <c r="L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4" t="n"/>
      <c r="L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4" t="n"/>
      <c r="L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4" t="n"/>
      <c r="L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4" t="n"/>
      <c r="L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4" t="n"/>
      <c r="L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4" t="n"/>
      <c r="L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4" t="n"/>
      <c r="L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4" t="n"/>
      <c r="L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4" t="n"/>
      <c r="L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4" t="n"/>
      <c r="L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4" t="n"/>
      <c r="L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4" t="n"/>
      <c r="L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4" t="n"/>
      <c r="L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4" t="n"/>
      <c r="L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4" t="n"/>
      <c r="L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4" t="n"/>
      <c r="L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4" t="n"/>
      <c r="L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4" t="n"/>
      <c r="L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4" t="n"/>
      <c r="L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4" t="n"/>
      <c r="L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4" t="n"/>
      <c r="L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4" t="n"/>
      <c r="L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4" t="n"/>
      <c r="L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4" t="n"/>
      <c r="L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4" t="n"/>
      <c r="L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4" t="n"/>
      <c r="L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4" t="n"/>
      <c r="L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4" t="n"/>
      <c r="L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4" t="n"/>
      <c r="L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4" t="n"/>
      <c r="L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4" t="n"/>
      <c r="L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4" t="n"/>
      <c r="L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4" t="n"/>
      <c r="L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4" t="n"/>
      <c r="L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4" t="n"/>
      <c r="L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4" t="n"/>
      <c r="L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4" t="n"/>
      <c r="L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4" t="n"/>
      <c r="L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4" t="n"/>
      <c r="L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4" t="n"/>
      <c r="L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4" t="n"/>
      <c r="L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4" t="n"/>
      <c r="L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4" t="n"/>
      <c r="L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4" t="n"/>
      <c r="L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4" t="n"/>
      <c r="L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4" t="n"/>
      <c r="L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4" t="n"/>
      <c r="L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4" t="n"/>
      <c r="L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4" t="n"/>
      <c r="L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4" t="n"/>
      <c r="L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4" t="n"/>
      <c r="L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4" t="n"/>
      <c r="L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4" t="n"/>
      <c r="L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4" t="n"/>
      <c r="L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4" t="n"/>
      <c r="L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4" t="n"/>
      <c r="L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4" t="n"/>
      <c r="L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4" t="n"/>
      <c r="L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4" t="n"/>
      <c r="L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4" t="n"/>
      <c r="L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4" t="n"/>
      <c r="L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4" t="n"/>
      <c r="L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4" t="n"/>
      <c r="L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4" t="n"/>
      <c r="L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4" t="n"/>
      <c r="L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4" t="n"/>
      <c r="L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4" t="n"/>
      <c r="L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4" t="n"/>
      <c r="L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4" t="n"/>
      <c r="L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4" t="n"/>
      <c r="L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4" t="n"/>
      <c r="L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4" t="n"/>
      <c r="L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4" t="n"/>
      <c r="L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4" t="n"/>
      <c r="L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4" t="n"/>
      <c r="L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4" t="n"/>
      <c r="L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4" t="n"/>
      <c r="L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4" t="n"/>
      <c r="L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4" t="n"/>
      <c r="L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4" t="n"/>
      <c r="L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4" t="n"/>
      <c r="L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4" t="n"/>
      <c r="L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4" t="n"/>
      <c r="L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4" t="n"/>
      <c r="L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4" t="n"/>
      <c r="L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4" t="n"/>
      <c r="L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4" t="n"/>
      <c r="L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4" t="n"/>
      <c r="L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4" t="n"/>
      <c r="L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4" t="n"/>
      <c r="L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4" t="n"/>
      <c r="L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4" t="n"/>
      <c r="L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4" t="n"/>
      <c r="L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4" t="n"/>
      <c r="L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4" t="n"/>
      <c r="L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4" t="n"/>
      <c r="L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4" t="n"/>
      <c r="L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4" t="n"/>
      <c r="L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4" t="n"/>
      <c r="L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4" t="n"/>
      <c r="L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4" t="n"/>
      <c r="L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4" t="n"/>
      <c r="L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4" t="n"/>
      <c r="L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4" t="n"/>
      <c r="L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4" t="n"/>
      <c r="L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4" t="n"/>
      <c r="L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4" t="n"/>
      <c r="L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4" t="n"/>
      <c r="L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4" t="n"/>
      <c r="L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4" t="n"/>
      <c r="L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4" t="n"/>
      <c r="L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4" t="n"/>
      <c r="L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4" t="n"/>
      <c r="L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4" t="n"/>
      <c r="L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4" t="n"/>
      <c r="L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4" t="n"/>
      <c r="L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4" t="n"/>
      <c r="L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4" t="n"/>
      <c r="L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4" t="n"/>
      <c r="L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4" t="n"/>
      <c r="L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4" t="n"/>
      <c r="L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4" t="n"/>
      <c r="L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4" t="n"/>
      <c r="L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4" t="n"/>
      <c r="L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4" t="n"/>
      <c r="L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4" t="n"/>
      <c r="L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4" t="n"/>
      <c r="L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4" t="n"/>
      <c r="L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4" t="n"/>
      <c r="L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4" t="n"/>
      <c r="L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4" t="n"/>
      <c r="L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4" t="n"/>
      <c r="L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4" t="n"/>
      <c r="L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4" t="n"/>
      <c r="L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4" t="n"/>
      <c r="L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4" t="n"/>
      <c r="L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4" t="n"/>
      <c r="L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4" t="n"/>
      <c r="L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4" t="n"/>
      <c r="L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4" t="n"/>
      <c r="L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4" t="n"/>
      <c r="L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4" t="n"/>
      <c r="L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4" t="n"/>
      <c r="L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4" t="n"/>
      <c r="L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4" t="n"/>
      <c r="L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4" t="n"/>
      <c r="L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4" t="n"/>
      <c r="L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4" t="n"/>
      <c r="L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4" t="n"/>
      <c r="L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4" t="n"/>
      <c r="L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4" t="n"/>
      <c r="L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4" t="n"/>
      <c r="L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4" t="n"/>
      <c r="L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4" t="n"/>
      <c r="L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4" t="n"/>
      <c r="L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4" t="n"/>
      <c r="L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4" t="n"/>
      <c r="L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4" t="n"/>
      <c r="L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4" t="n"/>
      <c r="L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4" t="n"/>
      <c r="L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4" t="n"/>
      <c r="L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4" t="n"/>
      <c r="L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4" t="n"/>
      <c r="L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4" t="n"/>
      <c r="L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4" t="n"/>
      <c r="L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4" t="n"/>
      <c r="L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4" t="n"/>
      <c r="L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4" t="n"/>
      <c r="L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4" t="n"/>
      <c r="L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4" t="n"/>
      <c r="L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4" t="n"/>
      <c r="L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4" t="n"/>
      <c r="L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4" t="n"/>
      <c r="L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4" t="n"/>
      <c r="L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4" t="n"/>
      <c r="L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4" t="n"/>
      <c r="L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4" t="n"/>
      <c r="L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4" t="n"/>
      <c r="L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4" t="n"/>
      <c r="L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4" t="n"/>
      <c r="L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4" t="n"/>
      <c r="L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4" t="n"/>
      <c r="L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4" t="n"/>
      <c r="L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4" t="n"/>
      <c r="L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4" t="n"/>
      <c r="L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4" t="n"/>
      <c r="L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4" t="n"/>
      <c r="L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4" t="n"/>
      <c r="L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4" t="n"/>
      <c r="L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4" t="n"/>
      <c r="L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4" t="n"/>
      <c r="L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4" t="n"/>
      <c r="L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4" t="n"/>
      <c r="L301" s="3" t="inlineStr"/>
    </row>
  </sheetData>
  <autoFilter ref="A1:L30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74EA7"/>
    <outlinePr summaryBelow="1" summaryRight="1"/>
    <pageSetUpPr/>
  </sheetPr>
  <dimension ref="A1:P30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33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4" customHeight="1">
      <c r="A1" s="1" t="inlineStr">
        <is>
          <t>规则ID</t>
        </is>
      </c>
      <c r="B1" s="1" t="inlineStr">
        <is>
          <t>文书类型</t>
        </is>
      </c>
      <c r="C1" s="1" t="inlineStr">
        <is>
          <t>适用谓词</t>
        </is>
      </c>
      <c r="D1" s="1" t="inlineStr">
        <is>
          <t>数据批次</t>
        </is>
      </c>
      <c r="E1" s="1" t="inlineStr">
        <is>
          <t>复核总数</t>
        </is>
      </c>
      <c r="F1" s="1" t="inlineStr">
        <is>
          <t>结论维持数</t>
        </is>
      </c>
      <c r="G1" s="1" t="inlineStr">
        <is>
          <t>被推翻/替代数</t>
        </is>
      </c>
      <c r="H1" s="1" t="inlineStr">
        <is>
          <t>程序无效数</t>
        </is>
      </c>
      <c r="I1" s="1" t="inlineStr">
        <is>
          <t>未知数</t>
        </is>
      </c>
      <c r="J1" s="1" t="inlineStr">
        <is>
          <t>监测维持率</t>
        </is>
      </c>
      <c r="K1" s="1" t="inlineStr">
        <is>
          <t>选择偏差说明</t>
        </is>
      </c>
      <c r="L1" s="1" t="inlineStr">
        <is>
          <t>权威状态</t>
        </is>
      </c>
      <c r="M1" s="1" t="inlineStr">
        <is>
          <t>复核人员代号</t>
        </is>
      </c>
      <c r="N1" s="1" t="inlineStr">
        <is>
          <t>复核日期</t>
        </is>
      </c>
      <c r="O1" s="1" t="inlineStr">
        <is>
          <t>能否自动改参数</t>
        </is>
      </c>
      <c r="P1" s="1" t="inlineStr">
        <is>
          <t>备注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7">
        <f>IF(F2+G2=0,"",F2/(F2+G2))</f>
        <v/>
      </c>
      <c r="K2" s="3" t="n"/>
      <c r="L2" s="3" t="n"/>
      <c r="M2" s="3" t="n"/>
      <c r="N2" s="4" t="n"/>
      <c r="O2" s="3" t="n"/>
      <c r="P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7">
        <f>IF(F3+G3=0,"",F3/(F3+G3))</f>
        <v/>
      </c>
      <c r="K3" s="3" t="n"/>
      <c r="L3" s="3" t="n"/>
      <c r="M3" s="3" t="n"/>
      <c r="N3" s="4" t="n"/>
      <c r="O3" s="3" t="n"/>
      <c r="P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7">
        <f>IF(F4+G4=0,"",F4/(F4+G4))</f>
        <v/>
      </c>
      <c r="K4" s="3" t="n"/>
      <c r="L4" s="3" t="n"/>
      <c r="M4" s="3" t="n"/>
      <c r="N4" s="4" t="n"/>
      <c r="O4" s="3" t="n"/>
      <c r="P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7">
        <f>IF(F5+G5=0,"",F5/(F5+G5))</f>
        <v/>
      </c>
      <c r="K5" s="3" t="n"/>
      <c r="L5" s="3" t="n"/>
      <c r="M5" s="3" t="n"/>
      <c r="N5" s="4" t="n"/>
      <c r="O5" s="3" t="n"/>
      <c r="P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7">
        <f>IF(F6+G6=0,"",F6/(F6+G6))</f>
        <v/>
      </c>
      <c r="K6" s="3" t="n"/>
      <c r="L6" s="3" t="n"/>
      <c r="M6" s="3" t="n"/>
      <c r="N6" s="4" t="n"/>
      <c r="O6" s="3" t="n"/>
      <c r="P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7">
        <f>IF(F7+G7=0,"",F7/(F7+G7))</f>
        <v/>
      </c>
      <c r="K7" s="3" t="n"/>
      <c r="L7" s="3" t="n"/>
      <c r="M7" s="3" t="n"/>
      <c r="N7" s="4" t="n"/>
      <c r="O7" s="3" t="n"/>
      <c r="P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7">
        <f>IF(F8+G8=0,"",F8/(F8+G8))</f>
        <v/>
      </c>
      <c r="K8" s="3" t="n"/>
      <c r="L8" s="3" t="n"/>
      <c r="M8" s="3" t="n"/>
      <c r="N8" s="4" t="n"/>
      <c r="O8" s="3" t="n"/>
      <c r="P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7">
        <f>IF(F9+G9=0,"",F9/(F9+G9))</f>
        <v/>
      </c>
      <c r="K9" s="3" t="n"/>
      <c r="L9" s="3" t="n"/>
      <c r="M9" s="3" t="n"/>
      <c r="N9" s="4" t="n"/>
      <c r="O9" s="3" t="n"/>
      <c r="P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7">
        <f>IF(F10+G10=0,"",F10/(F10+G10))</f>
        <v/>
      </c>
      <c r="K10" s="3" t="n"/>
      <c r="L10" s="3" t="n"/>
      <c r="M10" s="3" t="n"/>
      <c r="N10" s="4" t="n"/>
      <c r="O10" s="3" t="n"/>
      <c r="P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7">
        <f>IF(F11+G11=0,"",F11/(F11+G11))</f>
        <v/>
      </c>
      <c r="K11" s="3" t="n"/>
      <c r="L11" s="3" t="n"/>
      <c r="M11" s="3" t="n"/>
      <c r="N11" s="4" t="n"/>
      <c r="O11" s="3" t="n"/>
      <c r="P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7">
        <f>IF(F12+G12=0,"",F12/(F12+G12))</f>
        <v/>
      </c>
      <c r="K12" s="3" t="n"/>
      <c r="L12" s="3" t="n"/>
      <c r="M12" s="3" t="n"/>
      <c r="N12" s="4" t="n"/>
      <c r="O12" s="3" t="n"/>
      <c r="P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7">
        <f>IF(F13+G13=0,"",F13/(F13+G13))</f>
        <v/>
      </c>
      <c r="K13" s="3" t="n"/>
      <c r="L13" s="3" t="n"/>
      <c r="M13" s="3" t="n"/>
      <c r="N13" s="4" t="n"/>
      <c r="O13" s="3" t="n"/>
      <c r="P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7">
        <f>IF(F14+G14=0,"",F14/(F14+G14))</f>
        <v/>
      </c>
      <c r="K14" s="3" t="n"/>
      <c r="L14" s="3" t="n"/>
      <c r="M14" s="3" t="n"/>
      <c r="N14" s="4" t="n"/>
      <c r="O14" s="3" t="n"/>
      <c r="P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7">
        <f>IF(F15+G15=0,"",F15/(F15+G15))</f>
        <v/>
      </c>
      <c r="K15" s="3" t="n"/>
      <c r="L15" s="3" t="n"/>
      <c r="M15" s="3" t="n"/>
      <c r="N15" s="4" t="n"/>
      <c r="O15" s="3" t="n"/>
      <c r="P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7">
        <f>IF(F16+G16=0,"",F16/(F16+G16))</f>
        <v/>
      </c>
      <c r="K16" s="3" t="n"/>
      <c r="L16" s="3" t="n"/>
      <c r="M16" s="3" t="n"/>
      <c r="N16" s="4" t="n"/>
      <c r="O16" s="3" t="n"/>
      <c r="P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7">
        <f>IF(F17+G17=0,"",F17/(F17+G17))</f>
        <v/>
      </c>
      <c r="K17" s="3" t="n"/>
      <c r="L17" s="3" t="n"/>
      <c r="M17" s="3" t="n"/>
      <c r="N17" s="4" t="n"/>
      <c r="O17" s="3" t="n"/>
      <c r="P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7">
        <f>IF(F18+G18=0,"",F18/(F18+G18))</f>
        <v/>
      </c>
      <c r="K18" s="3" t="n"/>
      <c r="L18" s="3" t="n"/>
      <c r="M18" s="3" t="n"/>
      <c r="N18" s="4" t="n"/>
      <c r="O18" s="3" t="n"/>
      <c r="P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7">
        <f>IF(F19+G19=0,"",F19/(F19+G19))</f>
        <v/>
      </c>
      <c r="K19" s="3" t="n"/>
      <c r="L19" s="3" t="n"/>
      <c r="M19" s="3" t="n"/>
      <c r="N19" s="4" t="n"/>
      <c r="O19" s="3" t="n"/>
      <c r="P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7">
        <f>IF(F20+G20=0,"",F20/(F20+G20))</f>
        <v/>
      </c>
      <c r="K20" s="3" t="n"/>
      <c r="L20" s="3" t="n"/>
      <c r="M20" s="3" t="n"/>
      <c r="N20" s="4" t="n"/>
      <c r="O20" s="3" t="n"/>
      <c r="P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7">
        <f>IF(F21+G21=0,"",F21/(F21+G21))</f>
        <v/>
      </c>
      <c r="K21" s="3" t="n"/>
      <c r="L21" s="3" t="n"/>
      <c r="M21" s="3" t="n"/>
      <c r="N21" s="4" t="n"/>
      <c r="O21" s="3" t="n"/>
      <c r="P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7">
        <f>IF(F22+G22=0,"",F22/(F22+G22))</f>
        <v/>
      </c>
      <c r="K22" s="3" t="n"/>
      <c r="L22" s="3" t="n"/>
      <c r="M22" s="3" t="n"/>
      <c r="N22" s="4" t="n"/>
      <c r="O22" s="3" t="n"/>
      <c r="P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7">
        <f>IF(F23+G23=0,"",F23/(F23+G23))</f>
        <v/>
      </c>
      <c r="K23" s="3" t="n"/>
      <c r="L23" s="3" t="n"/>
      <c r="M23" s="3" t="n"/>
      <c r="N23" s="4" t="n"/>
      <c r="O23" s="3" t="n"/>
      <c r="P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7">
        <f>IF(F24+G24=0,"",F24/(F24+G24))</f>
        <v/>
      </c>
      <c r="K24" s="3" t="n"/>
      <c r="L24" s="3" t="n"/>
      <c r="M24" s="3" t="n"/>
      <c r="N24" s="4" t="n"/>
      <c r="O24" s="3" t="n"/>
      <c r="P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7">
        <f>IF(F25+G25=0,"",F25/(F25+G25))</f>
        <v/>
      </c>
      <c r="K25" s="3" t="n"/>
      <c r="L25" s="3" t="n"/>
      <c r="M25" s="3" t="n"/>
      <c r="N25" s="4" t="n"/>
      <c r="O25" s="3" t="n"/>
      <c r="P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7">
        <f>IF(F26+G26=0,"",F26/(F26+G26))</f>
        <v/>
      </c>
      <c r="K26" s="3" t="n"/>
      <c r="L26" s="3" t="n"/>
      <c r="M26" s="3" t="n"/>
      <c r="N26" s="4" t="n"/>
      <c r="O26" s="3" t="n"/>
      <c r="P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7">
        <f>IF(F27+G27=0,"",F27/(F27+G27))</f>
        <v/>
      </c>
      <c r="K27" s="3" t="n"/>
      <c r="L27" s="3" t="n"/>
      <c r="M27" s="3" t="n"/>
      <c r="N27" s="4" t="n"/>
      <c r="O27" s="3" t="n"/>
      <c r="P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7">
        <f>IF(F28+G28=0,"",F28/(F28+G28))</f>
        <v/>
      </c>
      <c r="K28" s="3" t="n"/>
      <c r="L28" s="3" t="n"/>
      <c r="M28" s="3" t="n"/>
      <c r="N28" s="4" t="n"/>
      <c r="O28" s="3" t="n"/>
      <c r="P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7">
        <f>IF(F29+G29=0,"",F29/(F29+G29))</f>
        <v/>
      </c>
      <c r="K29" s="3" t="n"/>
      <c r="L29" s="3" t="n"/>
      <c r="M29" s="3" t="n"/>
      <c r="N29" s="4" t="n"/>
      <c r="O29" s="3" t="n"/>
      <c r="P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7">
        <f>IF(F30+G30=0,"",F30/(F30+G30))</f>
        <v/>
      </c>
      <c r="K30" s="3" t="n"/>
      <c r="L30" s="3" t="n"/>
      <c r="M30" s="3" t="n"/>
      <c r="N30" s="4" t="n"/>
      <c r="O30" s="3" t="n"/>
      <c r="P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7">
        <f>IF(F31+G31=0,"",F31/(F31+G31))</f>
        <v/>
      </c>
      <c r="K31" s="3" t="n"/>
      <c r="L31" s="3" t="n"/>
      <c r="M31" s="3" t="n"/>
      <c r="N31" s="4" t="n"/>
      <c r="O31" s="3" t="n"/>
      <c r="P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7">
        <f>IF(F32+G32=0,"",F32/(F32+G32))</f>
        <v/>
      </c>
      <c r="K32" s="3" t="n"/>
      <c r="L32" s="3" t="n"/>
      <c r="M32" s="3" t="n"/>
      <c r="N32" s="4" t="n"/>
      <c r="O32" s="3" t="n"/>
      <c r="P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7">
        <f>IF(F33+G33=0,"",F33/(F33+G33))</f>
        <v/>
      </c>
      <c r="K33" s="3" t="n"/>
      <c r="L33" s="3" t="n"/>
      <c r="M33" s="3" t="n"/>
      <c r="N33" s="4" t="n"/>
      <c r="O33" s="3" t="n"/>
      <c r="P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7">
        <f>IF(F34+G34=0,"",F34/(F34+G34))</f>
        <v/>
      </c>
      <c r="K34" s="3" t="n"/>
      <c r="L34" s="3" t="n"/>
      <c r="M34" s="3" t="n"/>
      <c r="N34" s="4" t="n"/>
      <c r="O34" s="3" t="n"/>
      <c r="P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7">
        <f>IF(F35+G35=0,"",F35/(F35+G35))</f>
        <v/>
      </c>
      <c r="K35" s="3" t="n"/>
      <c r="L35" s="3" t="n"/>
      <c r="M35" s="3" t="n"/>
      <c r="N35" s="4" t="n"/>
      <c r="O35" s="3" t="n"/>
      <c r="P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7">
        <f>IF(F36+G36=0,"",F36/(F36+G36))</f>
        <v/>
      </c>
      <c r="K36" s="3" t="n"/>
      <c r="L36" s="3" t="n"/>
      <c r="M36" s="3" t="n"/>
      <c r="N36" s="4" t="n"/>
      <c r="O36" s="3" t="n"/>
      <c r="P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7">
        <f>IF(F37+G37=0,"",F37/(F37+G37))</f>
        <v/>
      </c>
      <c r="K37" s="3" t="n"/>
      <c r="L37" s="3" t="n"/>
      <c r="M37" s="3" t="n"/>
      <c r="N37" s="4" t="n"/>
      <c r="O37" s="3" t="n"/>
      <c r="P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7">
        <f>IF(F38+G38=0,"",F38/(F38+G38))</f>
        <v/>
      </c>
      <c r="K38" s="3" t="n"/>
      <c r="L38" s="3" t="n"/>
      <c r="M38" s="3" t="n"/>
      <c r="N38" s="4" t="n"/>
      <c r="O38" s="3" t="n"/>
      <c r="P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7">
        <f>IF(F39+G39=0,"",F39/(F39+G39))</f>
        <v/>
      </c>
      <c r="K39" s="3" t="n"/>
      <c r="L39" s="3" t="n"/>
      <c r="M39" s="3" t="n"/>
      <c r="N39" s="4" t="n"/>
      <c r="O39" s="3" t="n"/>
      <c r="P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7">
        <f>IF(F40+G40=0,"",F40/(F40+G40))</f>
        <v/>
      </c>
      <c r="K40" s="3" t="n"/>
      <c r="L40" s="3" t="n"/>
      <c r="M40" s="3" t="n"/>
      <c r="N40" s="4" t="n"/>
      <c r="O40" s="3" t="n"/>
      <c r="P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7">
        <f>IF(F41+G41=0,"",F41/(F41+G41))</f>
        <v/>
      </c>
      <c r="K41" s="3" t="n"/>
      <c r="L41" s="3" t="n"/>
      <c r="M41" s="3" t="n"/>
      <c r="N41" s="4" t="n"/>
      <c r="O41" s="3" t="n"/>
      <c r="P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7">
        <f>IF(F42+G42=0,"",F42/(F42+G42))</f>
        <v/>
      </c>
      <c r="K42" s="3" t="n"/>
      <c r="L42" s="3" t="n"/>
      <c r="M42" s="3" t="n"/>
      <c r="N42" s="4" t="n"/>
      <c r="O42" s="3" t="n"/>
      <c r="P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7">
        <f>IF(F43+G43=0,"",F43/(F43+G43))</f>
        <v/>
      </c>
      <c r="K43" s="3" t="n"/>
      <c r="L43" s="3" t="n"/>
      <c r="M43" s="3" t="n"/>
      <c r="N43" s="4" t="n"/>
      <c r="O43" s="3" t="n"/>
      <c r="P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7">
        <f>IF(F44+G44=0,"",F44/(F44+G44))</f>
        <v/>
      </c>
      <c r="K44" s="3" t="n"/>
      <c r="L44" s="3" t="n"/>
      <c r="M44" s="3" t="n"/>
      <c r="N44" s="4" t="n"/>
      <c r="O44" s="3" t="n"/>
      <c r="P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7">
        <f>IF(F45+G45=0,"",F45/(F45+G45))</f>
        <v/>
      </c>
      <c r="K45" s="3" t="n"/>
      <c r="L45" s="3" t="n"/>
      <c r="M45" s="3" t="n"/>
      <c r="N45" s="4" t="n"/>
      <c r="O45" s="3" t="n"/>
      <c r="P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7">
        <f>IF(F46+G46=0,"",F46/(F46+G46))</f>
        <v/>
      </c>
      <c r="K46" s="3" t="n"/>
      <c r="L46" s="3" t="n"/>
      <c r="M46" s="3" t="n"/>
      <c r="N46" s="4" t="n"/>
      <c r="O46" s="3" t="n"/>
      <c r="P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7">
        <f>IF(F47+G47=0,"",F47/(F47+G47))</f>
        <v/>
      </c>
      <c r="K47" s="3" t="n"/>
      <c r="L47" s="3" t="n"/>
      <c r="M47" s="3" t="n"/>
      <c r="N47" s="4" t="n"/>
      <c r="O47" s="3" t="n"/>
      <c r="P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7">
        <f>IF(F48+G48=0,"",F48/(F48+G48))</f>
        <v/>
      </c>
      <c r="K48" s="3" t="n"/>
      <c r="L48" s="3" t="n"/>
      <c r="M48" s="3" t="n"/>
      <c r="N48" s="4" t="n"/>
      <c r="O48" s="3" t="n"/>
      <c r="P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7">
        <f>IF(F49+G49=0,"",F49/(F49+G49))</f>
        <v/>
      </c>
      <c r="K49" s="3" t="n"/>
      <c r="L49" s="3" t="n"/>
      <c r="M49" s="3" t="n"/>
      <c r="N49" s="4" t="n"/>
      <c r="O49" s="3" t="n"/>
      <c r="P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7">
        <f>IF(F50+G50=0,"",F50/(F50+G50))</f>
        <v/>
      </c>
      <c r="K50" s="3" t="n"/>
      <c r="L50" s="3" t="n"/>
      <c r="M50" s="3" t="n"/>
      <c r="N50" s="4" t="n"/>
      <c r="O50" s="3" t="n"/>
      <c r="P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7">
        <f>IF(F51+G51=0,"",F51/(F51+G51))</f>
        <v/>
      </c>
      <c r="K51" s="3" t="n"/>
      <c r="L51" s="3" t="n"/>
      <c r="M51" s="3" t="n"/>
      <c r="N51" s="4" t="n"/>
      <c r="O51" s="3" t="n"/>
      <c r="P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7">
        <f>IF(F52+G52=0,"",F52/(F52+G52))</f>
        <v/>
      </c>
      <c r="K52" s="3" t="n"/>
      <c r="L52" s="3" t="n"/>
      <c r="M52" s="3" t="n"/>
      <c r="N52" s="4" t="n"/>
      <c r="O52" s="3" t="n"/>
      <c r="P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7">
        <f>IF(F53+G53=0,"",F53/(F53+G53))</f>
        <v/>
      </c>
      <c r="K53" s="3" t="n"/>
      <c r="L53" s="3" t="n"/>
      <c r="M53" s="3" t="n"/>
      <c r="N53" s="4" t="n"/>
      <c r="O53" s="3" t="n"/>
      <c r="P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7">
        <f>IF(F54+G54=0,"",F54/(F54+G54))</f>
        <v/>
      </c>
      <c r="K54" s="3" t="n"/>
      <c r="L54" s="3" t="n"/>
      <c r="M54" s="3" t="n"/>
      <c r="N54" s="4" t="n"/>
      <c r="O54" s="3" t="n"/>
      <c r="P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7">
        <f>IF(F55+G55=0,"",F55/(F55+G55))</f>
        <v/>
      </c>
      <c r="K55" s="3" t="n"/>
      <c r="L55" s="3" t="n"/>
      <c r="M55" s="3" t="n"/>
      <c r="N55" s="4" t="n"/>
      <c r="O55" s="3" t="n"/>
      <c r="P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7">
        <f>IF(F56+G56=0,"",F56/(F56+G56))</f>
        <v/>
      </c>
      <c r="K56" s="3" t="n"/>
      <c r="L56" s="3" t="n"/>
      <c r="M56" s="3" t="n"/>
      <c r="N56" s="4" t="n"/>
      <c r="O56" s="3" t="n"/>
      <c r="P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7">
        <f>IF(F57+G57=0,"",F57/(F57+G57))</f>
        <v/>
      </c>
      <c r="K57" s="3" t="n"/>
      <c r="L57" s="3" t="n"/>
      <c r="M57" s="3" t="n"/>
      <c r="N57" s="4" t="n"/>
      <c r="O57" s="3" t="n"/>
      <c r="P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7">
        <f>IF(F58+G58=0,"",F58/(F58+G58))</f>
        <v/>
      </c>
      <c r="K58" s="3" t="n"/>
      <c r="L58" s="3" t="n"/>
      <c r="M58" s="3" t="n"/>
      <c r="N58" s="4" t="n"/>
      <c r="O58" s="3" t="n"/>
      <c r="P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7">
        <f>IF(F59+G59=0,"",F59/(F59+G59))</f>
        <v/>
      </c>
      <c r="K59" s="3" t="n"/>
      <c r="L59" s="3" t="n"/>
      <c r="M59" s="3" t="n"/>
      <c r="N59" s="4" t="n"/>
      <c r="O59" s="3" t="n"/>
      <c r="P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7">
        <f>IF(F60+G60=0,"",F60/(F60+G60))</f>
        <v/>
      </c>
      <c r="K60" s="3" t="n"/>
      <c r="L60" s="3" t="n"/>
      <c r="M60" s="3" t="n"/>
      <c r="N60" s="4" t="n"/>
      <c r="O60" s="3" t="n"/>
      <c r="P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7">
        <f>IF(F61+G61=0,"",F61/(F61+G61))</f>
        <v/>
      </c>
      <c r="K61" s="3" t="n"/>
      <c r="L61" s="3" t="n"/>
      <c r="M61" s="3" t="n"/>
      <c r="N61" s="4" t="n"/>
      <c r="O61" s="3" t="n"/>
      <c r="P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7">
        <f>IF(F62+G62=0,"",F62/(F62+G62))</f>
        <v/>
      </c>
      <c r="K62" s="3" t="n"/>
      <c r="L62" s="3" t="n"/>
      <c r="M62" s="3" t="n"/>
      <c r="N62" s="4" t="n"/>
      <c r="O62" s="3" t="n"/>
      <c r="P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7">
        <f>IF(F63+G63=0,"",F63/(F63+G63))</f>
        <v/>
      </c>
      <c r="K63" s="3" t="n"/>
      <c r="L63" s="3" t="n"/>
      <c r="M63" s="3" t="n"/>
      <c r="N63" s="4" t="n"/>
      <c r="O63" s="3" t="n"/>
      <c r="P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7">
        <f>IF(F64+G64=0,"",F64/(F64+G64))</f>
        <v/>
      </c>
      <c r="K64" s="3" t="n"/>
      <c r="L64" s="3" t="n"/>
      <c r="M64" s="3" t="n"/>
      <c r="N64" s="4" t="n"/>
      <c r="O64" s="3" t="n"/>
      <c r="P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7">
        <f>IF(F65+G65=0,"",F65/(F65+G65))</f>
        <v/>
      </c>
      <c r="K65" s="3" t="n"/>
      <c r="L65" s="3" t="n"/>
      <c r="M65" s="3" t="n"/>
      <c r="N65" s="4" t="n"/>
      <c r="O65" s="3" t="n"/>
      <c r="P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7">
        <f>IF(F66+G66=0,"",F66/(F66+G66))</f>
        <v/>
      </c>
      <c r="K66" s="3" t="n"/>
      <c r="L66" s="3" t="n"/>
      <c r="M66" s="3" t="n"/>
      <c r="N66" s="4" t="n"/>
      <c r="O66" s="3" t="n"/>
      <c r="P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7">
        <f>IF(F67+G67=0,"",F67/(F67+G67))</f>
        <v/>
      </c>
      <c r="K67" s="3" t="n"/>
      <c r="L67" s="3" t="n"/>
      <c r="M67" s="3" t="n"/>
      <c r="N67" s="4" t="n"/>
      <c r="O67" s="3" t="n"/>
      <c r="P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7">
        <f>IF(F68+G68=0,"",F68/(F68+G68))</f>
        <v/>
      </c>
      <c r="K68" s="3" t="n"/>
      <c r="L68" s="3" t="n"/>
      <c r="M68" s="3" t="n"/>
      <c r="N68" s="4" t="n"/>
      <c r="O68" s="3" t="n"/>
      <c r="P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7">
        <f>IF(F69+G69=0,"",F69/(F69+G69))</f>
        <v/>
      </c>
      <c r="K69" s="3" t="n"/>
      <c r="L69" s="3" t="n"/>
      <c r="M69" s="3" t="n"/>
      <c r="N69" s="4" t="n"/>
      <c r="O69" s="3" t="n"/>
      <c r="P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7">
        <f>IF(F70+G70=0,"",F70/(F70+G70))</f>
        <v/>
      </c>
      <c r="K70" s="3" t="n"/>
      <c r="L70" s="3" t="n"/>
      <c r="M70" s="3" t="n"/>
      <c r="N70" s="4" t="n"/>
      <c r="O70" s="3" t="n"/>
      <c r="P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7">
        <f>IF(F71+G71=0,"",F71/(F71+G71))</f>
        <v/>
      </c>
      <c r="K71" s="3" t="n"/>
      <c r="L71" s="3" t="n"/>
      <c r="M71" s="3" t="n"/>
      <c r="N71" s="4" t="n"/>
      <c r="O71" s="3" t="n"/>
      <c r="P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7">
        <f>IF(F72+G72=0,"",F72/(F72+G72))</f>
        <v/>
      </c>
      <c r="K72" s="3" t="n"/>
      <c r="L72" s="3" t="n"/>
      <c r="M72" s="3" t="n"/>
      <c r="N72" s="4" t="n"/>
      <c r="O72" s="3" t="n"/>
      <c r="P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7">
        <f>IF(F73+G73=0,"",F73/(F73+G73))</f>
        <v/>
      </c>
      <c r="K73" s="3" t="n"/>
      <c r="L73" s="3" t="n"/>
      <c r="M73" s="3" t="n"/>
      <c r="N73" s="4" t="n"/>
      <c r="O73" s="3" t="n"/>
      <c r="P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7">
        <f>IF(F74+G74=0,"",F74/(F74+G74))</f>
        <v/>
      </c>
      <c r="K74" s="3" t="n"/>
      <c r="L74" s="3" t="n"/>
      <c r="M74" s="3" t="n"/>
      <c r="N74" s="4" t="n"/>
      <c r="O74" s="3" t="n"/>
      <c r="P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7">
        <f>IF(F75+G75=0,"",F75/(F75+G75))</f>
        <v/>
      </c>
      <c r="K75" s="3" t="n"/>
      <c r="L75" s="3" t="n"/>
      <c r="M75" s="3" t="n"/>
      <c r="N75" s="4" t="n"/>
      <c r="O75" s="3" t="n"/>
      <c r="P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7">
        <f>IF(F76+G76=0,"",F76/(F76+G76))</f>
        <v/>
      </c>
      <c r="K76" s="3" t="n"/>
      <c r="L76" s="3" t="n"/>
      <c r="M76" s="3" t="n"/>
      <c r="N76" s="4" t="n"/>
      <c r="O76" s="3" t="n"/>
      <c r="P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7">
        <f>IF(F77+G77=0,"",F77/(F77+G77))</f>
        <v/>
      </c>
      <c r="K77" s="3" t="n"/>
      <c r="L77" s="3" t="n"/>
      <c r="M77" s="3" t="n"/>
      <c r="N77" s="4" t="n"/>
      <c r="O77" s="3" t="n"/>
      <c r="P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7">
        <f>IF(F78+G78=0,"",F78/(F78+G78))</f>
        <v/>
      </c>
      <c r="K78" s="3" t="n"/>
      <c r="L78" s="3" t="n"/>
      <c r="M78" s="3" t="n"/>
      <c r="N78" s="4" t="n"/>
      <c r="O78" s="3" t="n"/>
      <c r="P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7">
        <f>IF(F79+G79=0,"",F79/(F79+G79))</f>
        <v/>
      </c>
      <c r="K79" s="3" t="n"/>
      <c r="L79" s="3" t="n"/>
      <c r="M79" s="3" t="n"/>
      <c r="N79" s="4" t="n"/>
      <c r="O79" s="3" t="n"/>
      <c r="P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7">
        <f>IF(F80+G80=0,"",F80/(F80+G80))</f>
        <v/>
      </c>
      <c r="K80" s="3" t="n"/>
      <c r="L80" s="3" t="n"/>
      <c r="M80" s="3" t="n"/>
      <c r="N80" s="4" t="n"/>
      <c r="O80" s="3" t="n"/>
      <c r="P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7">
        <f>IF(F81+G81=0,"",F81/(F81+G81))</f>
        <v/>
      </c>
      <c r="K81" s="3" t="n"/>
      <c r="L81" s="3" t="n"/>
      <c r="M81" s="3" t="n"/>
      <c r="N81" s="4" t="n"/>
      <c r="O81" s="3" t="n"/>
      <c r="P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7">
        <f>IF(F82+G82=0,"",F82/(F82+G82))</f>
        <v/>
      </c>
      <c r="K82" s="3" t="n"/>
      <c r="L82" s="3" t="n"/>
      <c r="M82" s="3" t="n"/>
      <c r="N82" s="4" t="n"/>
      <c r="O82" s="3" t="n"/>
      <c r="P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7">
        <f>IF(F83+G83=0,"",F83/(F83+G83))</f>
        <v/>
      </c>
      <c r="K83" s="3" t="n"/>
      <c r="L83" s="3" t="n"/>
      <c r="M83" s="3" t="n"/>
      <c r="N83" s="4" t="n"/>
      <c r="O83" s="3" t="n"/>
      <c r="P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7">
        <f>IF(F84+G84=0,"",F84/(F84+G84))</f>
        <v/>
      </c>
      <c r="K84" s="3" t="n"/>
      <c r="L84" s="3" t="n"/>
      <c r="M84" s="3" t="n"/>
      <c r="N84" s="4" t="n"/>
      <c r="O84" s="3" t="n"/>
      <c r="P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7">
        <f>IF(F85+G85=0,"",F85/(F85+G85))</f>
        <v/>
      </c>
      <c r="K85" s="3" t="n"/>
      <c r="L85" s="3" t="n"/>
      <c r="M85" s="3" t="n"/>
      <c r="N85" s="4" t="n"/>
      <c r="O85" s="3" t="n"/>
      <c r="P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7">
        <f>IF(F86+G86=0,"",F86/(F86+G86))</f>
        <v/>
      </c>
      <c r="K86" s="3" t="n"/>
      <c r="L86" s="3" t="n"/>
      <c r="M86" s="3" t="n"/>
      <c r="N86" s="4" t="n"/>
      <c r="O86" s="3" t="n"/>
      <c r="P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7">
        <f>IF(F87+G87=0,"",F87/(F87+G87))</f>
        <v/>
      </c>
      <c r="K87" s="3" t="n"/>
      <c r="L87" s="3" t="n"/>
      <c r="M87" s="3" t="n"/>
      <c r="N87" s="4" t="n"/>
      <c r="O87" s="3" t="n"/>
      <c r="P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7">
        <f>IF(F88+G88=0,"",F88/(F88+G88))</f>
        <v/>
      </c>
      <c r="K88" s="3" t="n"/>
      <c r="L88" s="3" t="n"/>
      <c r="M88" s="3" t="n"/>
      <c r="N88" s="4" t="n"/>
      <c r="O88" s="3" t="n"/>
      <c r="P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7">
        <f>IF(F89+G89=0,"",F89/(F89+G89))</f>
        <v/>
      </c>
      <c r="K89" s="3" t="n"/>
      <c r="L89" s="3" t="n"/>
      <c r="M89" s="3" t="n"/>
      <c r="N89" s="4" t="n"/>
      <c r="O89" s="3" t="n"/>
      <c r="P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7">
        <f>IF(F90+G90=0,"",F90/(F90+G90))</f>
        <v/>
      </c>
      <c r="K90" s="3" t="n"/>
      <c r="L90" s="3" t="n"/>
      <c r="M90" s="3" t="n"/>
      <c r="N90" s="4" t="n"/>
      <c r="O90" s="3" t="n"/>
      <c r="P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7">
        <f>IF(F91+G91=0,"",F91/(F91+G91))</f>
        <v/>
      </c>
      <c r="K91" s="3" t="n"/>
      <c r="L91" s="3" t="n"/>
      <c r="M91" s="3" t="n"/>
      <c r="N91" s="4" t="n"/>
      <c r="O91" s="3" t="n"/>
      <c r="P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7">
        <f>IF(F92+G92=0,"",F92/(F92+G92))</f>
        <v/>
      </c>
      <c r="K92" s="3" t="n"/>
      <c r="L92" s="3" t="n"/>
      <c r="M92" s="3" t="n"/>
      <c r="N92" s="4" t="n"/>
      <c r="O92" s="3" t="n"/>
      <c r="P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7">
        <f>IF(F93+G93=0,"",F93/(F93+G93))</f>
        <v/>
      </c>
      <c r="K93" s="3" t="n"/>
      <c r="L93" s="3" t="n"/>
      <c r="M93" s="3" t="n"/>
      <c r="N93" s="4" t="n"/>
      <c r="O93" s="3" t="n"/>
      <c r="P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7">
        <f>IF(F94+G94=0,"",F94/(F94+G94))</f>
        <v/>
      </c>
      <c r="K94" s="3" t="n"/>
      <c r="L94" s="3" t="n"/>
      <c r="M94" s="3" t="n"/>
      <c r="N94" s="4" t="n"/>
      <c r="O94" s="3" t="n"/>
      <c r="P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7">
        <f>IF(F95+G95=0,"",F95/(F95+G95))</f>
        <v/>
      </c>
      <c r="K95" s="3" t="n"/>
      <c r="L95" s="3" t="n"/>
      <c r="M95" s="3" t="n"/>
      <c r="N95" s="4" t="n"/>
      <c r="O95" s="3" t="n"/>
      <c r="P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7">
        <f>IF(F96+G96=0,"",F96/(F96+G96))</f>
        <v/>
      </c>
      <c r="K96" s="3" t="n"/>
      <c r="L96" s="3" t="n"/>
      <c r="M96" s="3" t="n"/>
      <c r="N96" s="4" t="n"/>
      <c r="O96" s="3" t="n"/>
      <c r="P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7">
        <f>IF(F97+G97=0,"",F97/(F97+G97))</f>
        <v/>
      </c>
      <c r="K97" s="3" t="n"/>
      <c r="L97" s="3" t="n"/>
      <c r="M97" s="3" t="n"/>
      <c r="N97" s="4" t="n"/>
      <c r="O97" s="3" t="n"/>
      <c r="P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7">
        <f>IF(F98+G98=0,"",F98/(F98+G98))</f>
        <v/>
      </c>
      <c r="K98" s="3" t="n"/>
      <c r="L98" s="3" t="n"/>
      <c r="M98" s="3" t="n"/>
      <c r="N98" s="4" t="n"/>
      <c r="O98" s="3" t="n"/>
      <c r="P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7">
        <f>IF(F99+G99=0,"",F99/(F99+G99))</f>
        <v/>
      </c>
      <c r="K99" s="3" t="n"/>
      <c r="L99" s="3" t="n"/>
      <c r="M99" s="3" t="n"/>
      <c r="N99" s="4" t="n"/>
      <c r="O99" s="3" t="n"/>
      <c r="P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7">
        <f>IF(F100+G100=0,"",F100/(F100+G100))</f>
        <v/>
      </c>
      <c r="K100" s="3" t="n"/>
      <c r="L100" s="3" t="n"/>
      <c r="M100" s="3" t="n"/>
      <c r="N100" s="4" t="n"/>
      <c r="O100" s="3" t="n"/>
      <c r="P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7">
        <f>IF(F101+G101=0,"",F101/(F101+G101))</f>
        <v/>
      </c>
      <c r="K101" s="3" t="n"/>
      <c r="L101" s="3" t="n"/>
      <c r="M101" s="3" t="n"/>
      <c r="N101" s="4" t="n"/>
      <c r="O101" s="3" t="n"/>
      <c r="P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7">
        <f>IF(F102+G102=0,"",F102/(F102+G102))</f>
        <v/>
      </c>
      <c r="K102" s="3" t="n"/>
      <c r="L102" s="3" t="n"/>
      <c r="M102" s="3" t="n"/>
      <c r="N102" s="4" t="n"/>
      <c r="O102" s="3" t="n"/>
      <c r="P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7">
        <f>IF(F103+G103=0,"",F103/(F103+G103))</f>
        <v/>
      </c>
      <c r="K103" s="3" t="n"/>
      <c r="L103" s="3" t="n"/>
      <c r="M103" s="3" t="n"/>
      <c r="N103" s="4" t="n"/>
      <c r="O103" s="3" t="n"/>
      <c r="P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7">
        <f>IF(F104+G104=0,"",F104/(F104+G104))</f>
        <v/>
      </c>
      <c r="K104" s="3" t="n"/>
      <c r="L104" s="3" t="n"/>
      <c r="M104" s="3" t="n"/>
      <c r="N104" s="4" t="n"/>
      <c r="O104" s="3" t="n"/>
      <c r="P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7">
        <f>IF(F105+G105=0,"",F105/(F105+G105))</f>
        <v/>
      </c>
      <c r="K105" s="3" t="n"/>
      <c r="L105" s="3" t="n"/>
      <c r="M105" s="3" t="n"/>
      <c r="N105" s="4" t="n"/>
      <c r="O105" s="3" t="n"/>
      <c r="P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7">
        <f>IF(F106+G106=0,"",F106/(F106+G106))</f>
        <v/>
      </c>
      <c r="K106" s="3" t="n"/>
      <c r="L106" s="3" t="n"/>
      <c r="M106" s="3" t="n"/>
      <c r="N106" s="4" t="n"/>
      <c r="O106" s="3" t="n"/>
      <c r="P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7">
        <f>IF(F107+G107=0,"",F107/(F107+G107))</f>
        <v/>
      </c>
      <c r="K107" s="3" t="n"/>
      <c r="L107" s="3" t="n"/>
      <c r="M107" s="3" t="n"/>
      <c r="N107" s="4" t="n"/>
      <c r="O107" s="3" t="n"/>
      <c r="P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7">
        <f>IF(F108+G108=0,"",F108/(F108+G108))</f>
        <v/>
      </c>
      <c r="K108" s="3" t="n"/>
      <c r="L108" s="3" t="n"/>
      <c r="M108" s="3" t="n"/>
      <c r="N108" s="4" t="n"/>
      <c r="O108" s="3" t="n"/>
      <c r="P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7">
        <f>IF(F109+G109=0,"",F109/(F109+G109))</f>
        <v/>
      </c>
      <c r="K109" s="3" t="n"/>
      <c r="L109" s="3" t="n"/>
      <c r="M109" s="3" t="n"/>
      <c r="N109" s="4" t="n"/>
      <c r="O109" s="3" t="n"/>
      <c r="P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7">
        <f>IF(F110+G110=0,"",F110/(F110+G110))</f>
        <v/>
      </c>
      <c r="K110" s="3" t="n"/>
      <c r="L110" s="3" t="n"/>
      <c r="M110" s="3" t="n"/>
      <c r="N110" s="4" t="n"/>
      <c r="O110" s="3" t="n"/>
      <c r="P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7">
        <f>IF(F111+G111=0,"",F111/(F111+G111))</f>
        <v/>
      </c>
      <c r="K111" s="3" t="n"/>
      <c r="L111" s="3" t="n"/>
      <c r="M111" s="3" t="n"/>
      <c r="N111" s="4" t="n"/>
      <c r="O111" s="3" t="n"/>
      <c r="P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7">
        <f>IF(F112+G112=0,"",F112/(F112+G112))</f>
        <v/>
      </c>
      <c r="K112" s="3" t="n"/>
      <c r="L112" s="3" t="n"/>
      <c r="M112" s="3" t="n"/>
      <c r="N112" s="4" t="n"/>
      <c r="O112" s="3" t="n"/>
      <c r="P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7">
        <f>IF(F113+G113=0,"",F113/(F113+G113))</f>
        <v/>
      </c>
      <c r="K113" s="3" t="n"/>
      <c r="L113" s="3" t="n"/>
      <c r="M113" s="3" t="n"/>
      <c r="N113" s="4" t="n"/>
      <c r="O113" s="3" t="n"/>
      <c r="P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7">
        <f>IF(F114+G114=0,"",F114/(F114+G114))</f>
        <v/>
      </c>
      <c r="K114" s="3" t="n"/>
      <c r="L114" s="3" t="n"/>
      <c r="M114" s="3" t="n"/>
      <c r="N114" s="4" t="n"/>
      <c r="O114" s="3" t="n"/>
      <c r="P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7">
        <f>IF(F115+G115=0,"",F115/(F115+G115))</f>
        <v/>
      </c>
      <c r="K115" s="3" t="n"/>
      <c r="L115" s="3" t="n"/>
      <c r="M115" s="3" t="n"/>
      <c r="N115" s="4" t="n"/>
      <c r="O115" s="3" t="n"/>
      <c r="P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7">
        <f>IF(F116+G116=0,"",F116/(F116+G116))</f>
        <v/>
      </c>
      <c r="K116" s="3" t="n"/>
      <c r="L116" s="3" t="n"/>
      <c r="M116" s="3" t="n"/>
      <c r="N116" s="4" t="n"/>
      <c r="O116" s="3" t="n"/>
      <c r="P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7">
        <f>IF(F117+G117=0,"",F117/(F117+G117))</f>
        <v/>
      </c>
      <c r="K117" s="3" t="n"/>
      <c r="L117" s="3" t="n"/>
      <c r="M117" s="3" t="n"/>
      <c r="N117" s="4" t="n"/>
      <c r="O117" s="3" t="n"/>
      <c r="P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7">
        <f>IF(F118+G118=0,"",F118/(F118+G118))</f>
        <v/>
      </c>
      <c r="K118" s="3" t="n"/>
      <c r="L118" s="3" t="n"/>
      <c r="M118" s="3" t="n"/>
      <c r="N118" s="4" t="n"/>
      <c r="O118" s="3" t="n"/>
      <c r="P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7">
        <f>IF(F119+G119=0,"",F119/(F119+G119))</f>
        <v/>
      </c>
      <c r="K119" s="3" t="n"/>
      <c r="L119" s="3" t="n"/>
      <c r="M119" s="3" t="n"/>
      <c r="N119" s="4" t="n"/>
      <c r="O119" s="3" t="n"/>
      <c r="P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7">
        <f>IF(F120+G120=0,"",F120/(F120+G120))</f>
        <v/>
      </c>
      <c r="K120" s="3" t="n"/>
      <c r="L120" s="3" t="n"/>
      <c r="M120" s="3" t="n"/>
      <c r="N120" s="4" t="n"/>
      <c r="O120" s="3" t="n"/>
      <c r="P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7">
        <f>IF(F121+G121=0,"",F121/(F121+G121))</f>
        <v/>
      </c>
      <c r="K121" s="3" t="n"/>
      <c r="L121" s="3" t="n"/>
      <c r="M121" s="3" t="n"/>
      <c r="N121" s="4" t="n"/>
      <c r="O121" s="3" t="n"/>
      <c r="P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7">
        <f>IF(F122+G122=0,"",F122/(F122+G122))</f>
        <v/>
      </c>
      <c r="K122" s="3" t="n"/>
      <c r="L122" s="3" t="n"/>
      <c r="M122" s="3" t="n"/>
      <c r="N122" s="4" t="n"/>
      <c r="O122" s="3" t="n"/>
      <c r="P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7">
        <f>IF(F123+G123=0,"",F123/(F123+G123))</f>
        <v/>
      </c>
      <c r="K123" s="3" t="n"/>
      <c r="L123" s="3" t="n"/>
      <c r="M123" s="3" t="n"/>
      <c r="N123" s="4" t="n"/>
      <c r="O123" s="3" t="n"/>
      <c r="P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7">
        <f>IF(F124+G124=0,"",F124/(F124+G124))</f>
        <v/>
      </c>
      <c r="K124" s="3" t="n"/>
      <c r="L124" s="3" t="n"/>
      <c r="M124" s="3" t="n"/>
      <c r="N124" s="4" t="n"/>
      <c r="O124" s="3" t="n"/>
      <c r="P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7">
        <f>IF(F125+G125=0,"",F125/(F125+G125))</f>
        <v/>
      </c>
      <c r="K125" s="3" t="n"/>
      <c r="L125" s="3" t="n"/>
      <c r="M125" s="3" t="n"/>
      <c r="N125" s="4" t="n"/>
      <c r="O125" s="3" t="n"/>
      <c r="P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7">
        <f>IF(F126+G126=0,"",F126/(F126+G126))</f>
        <v/>
      </c>
      <c r="K126" s="3" t="n"/>
      <c r="L126" s="3" t="n"/>
      <c r="M126" s="3" t="n"/>
      <c r="N126" s="4" t="n"/>
      <c r="O126" s="3" t="n"/>
      <c r="P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7">
        <f>IF(F127+G127=0,"",F127/(F127+G127))</f>
        <v/>
      </c>
      <c r="K127" s="3" t="n"/>
      <c r="L127" s="3" t="n"/>
      <c r="M127" s="3" t="n"/>
      <c r="N127" s="4" t="n"/>
      <c r="O127" s="3" t="n"/>
      <c r="P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7">
        <f>IF(F128+G128=0,"",F128/(F128+G128))</f>
        <v/>
      </c>
      <c r="K128" s="3" t="n"/>
      <c r="L128" s="3" t="n"/>
      <c r="M128" s="3" t="n"/>
      <c r="N128" s="4" t="n"/>
      <c r="O128" s="3" t="n"/>
      <c r="P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7">
        <f>IF(F129+G129=0,"",F129/(F129+G129))</f>
        <v/>
      </c>
      <c r="K129" s="3" t="n"/>
      <c r="L129" s="3" t="n"/>
      <c r="M129" s="3" t="n"/>
      <c r="N129" s="4" t="n"/>
      <c r="O129" s="3" t="n"/>
      <c r="P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7">
        <f>IF(F130+G130=0,"",F130/(F130+G130))</f>
        <v/>
      </c>
      <c r="K130" s="3" t="n"/>
      <c r="L130" s="3" t="n"/>
      <c r="M130" s="3" t="n"/>
      <c r="N130" s="4" t="n"/>
      <c r="O130" s="3" t="n"/>
      <c r="P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7">
        <f>IF(F131+G131=0,"",F131/(F131+G131))</f>
        <v/>
      </c>
      <c r="K131" s="3" t="n"/>
      <c r="L131" s="3" t="n"/>
      <c r="M131" s="3" t="n"/>
      <c r="N131" s="4" t="n"/>
      <c r="O131" s="3" t="n"/>
      <c r="P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7">
        <f>IF(F132+G132=0,"",F132/(F132+G132))</f>
        <v/>
      </c>
      <c r="K132" s="3" t="n"/>
      <c r="L132" s="3" t="n"/>
      <c r="M132" s="3" t="n"/>
      <c r="N132" s="4" t="n"/>
      <c r="O132" s="3" t="n"/>
      <c r="P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7">
        <f>IF(F133+G133=0,"",F133/(F133+G133))</f>
        <v/>
      </c>
      <c r="K133" s="3" t="n"/>
      <c r="L133" s="3" t="n"/>
      <c r="M133" s="3" t="n"/>
      <c r="N133" s="4" t="n"/>
      <c r="O133" s="3" t="n"/>
      <c r="P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7">
        <f>IF(F134+G134=0,"",F134/(F134+G134))</f>
        <v/>
      </c>
      <c r="K134" s="3" t="n"/>
      <c r="L134" s="3" t="n"/>
      <c r="M134" s="3" t="n"/>
      <c r="N134" s="4" t="n"/>
      <c r="O134" s="3" t="n"/>
      <c r="P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7">
        <f>IF(F135+G135=0,"",F135/(F135+G135))</f>
        <v/>
      </c>
      <c r="K135" s="3" t="n"/>
      <c r="L135" s="3" t="n"/>
      <c r="M135" s="3" t="n"/>
      <c r="N135" s="4" t="n"/>
      <c r="O135" s="3" t="n"/>
      <c r="P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7">
        <f>IF(F136+G136=0,"",F136/(F136+G136))</f>
        <v/>
      </c>
      <c r="K136" s="3" t="n"/>
      <c r="L136" s="3" t="n"/>
      <c r="M136" s="3" t="n"/>
      <c r="N136" s="4" t="n"/>
      <c r="O136" s="3" t="n"/>
      <c r="P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7">
        <f>IF(F137+G137=0,"",F137/(F137+G137))</f>
        <v/>
      </c>
      <c r="K137" s="3" t="n"/>
      <c r="L137" s="3" t="n"/>
      <c r="M137" s="3" t="n"/>
      <c r="N137" s="4" t="n"/>
      <c r="O137" s="3" t="n"/>
      <c r="P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7">
        <f>IF(F138+G138=0,"",F138/(F138+G138))</f>
        <v/>
      </c>
      <c r="K138" s="3" t="n"/>
      <c r="L138" s="3" t="n"/>
      <c r="M138" s="3" t="n"/>
      <c r="N138" s="4" t="n"/>
      <c r="O138" s="3" t="n"/>
      <c r="P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7">
        <f>IF(F139+G139=0,"",F139/(F139+G139))</f>
        <v/>
      </c>
      <c r="K139" s="3" t="n"/>
      <c r="L139" s="3" t="n"/>
      <c r="M139" s="3" t="n"/>
      <c r="N139" s="4" t="n"/>
      <c r="O139" s="3" t="n"/>
      <c r="P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7">
        <f>IF(F140+G140=0,"",F140/(F140+G140))</f>
        <v/>
      </c>
      <c r="K140" s="3" t="n"/>
      <c r="L140" s="3" t="n"/>
      <c r="M140" s="3" t="n"/>
      <c r="N140" s="4" t="n"/>
      <c r="O140" s="3" t="n"/>
      <c r="P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7">
        <f>IF(F141+G141=0,"",F141/(F141+G141))</f>
        <v/>
      </c>
      <c r="K141" s="3" t="n"/>
      <c r="L141" s="3" t="n"/>
      <c r="M141" s="3" t="n"/>
      <c r="N141" s="4" t="n"/>
      <c r="O141" s="3" t="n"/>
      <c r="P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7">
        <f>IF(F142+G142=0,"",F142/(F142+G142))</f>
        <v/>
      </c>
      <c r="K142" s="3" t="n"/>
      <c r="L142" s="3" t="n"/>
      <c r="M142" s="3" t="n"/>
      <c r="N142" s="4" t="n"/>
      <c r="O142" s="3" t="n"/>
      <c r="P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7">
        <f>IF(F143+G143=0,"",F143/(F143+G143))</f>
        <v/>
      </c>
      <c r="K143" s="3" t="n"/>
      <c r="L143" s="3" t="n"/>
      <c r="M143" s="3" t="n"/>
      <c r="N143" s="4" t="n"/>
      <c r="O143" s="3" t="n"/>
      <c r="P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7">
        <f>IF(F144+G144=0,"",F144/(F144+G144))</f>
        <v/>
      </c>
      <c r="K144" s="3" t="n"/>
      <c r="L144" s="3" t="n"/>
      <c r="M144" s="3" t="n"/>
      <c r="N144" s="4" t="n"/>
      <c r="O144" s="3" t="n"/>
      <c r="P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7">
        <f>IF(F145+G145=0,"",F145/(F145+G145))</f>
        <v/>
      </c>
      <c r="K145" s="3" t="n"/>
      <c r="L145" s="3" t="n"/>
      <c r="M145" s="3" t="n"/>
      <c r="N145" s="4" t="n"/>
      <c r="O145" s="3" t="n"/>
      <c r="P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7">
        <f>IF(F146+G146=0,"",F146/(F146+G146))</f>
        <v/>
      </c>
      <c r="K146" s="3" t="n"/>
      <c r="L146" s="3" t="n"/>
      <c r="M146" s="3" t="n"/>
      <c r="N146" s="4" t="n"/>
      <c r="O146" s="3" t="n"/>
      <c r="P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7">
        <f>IF(F147+G147=0,"",F147/(F147+G147))</f>
        <v/>
      </c>
      <c r="K147" s="3" t="n"/>
      <c r="L147" s="3" t="n"/>
      <c r="M147" s="3" t="n"/>
      <c r="N147" s="4" t="n"/>
      <c r="O147" s="3" t="n"/>
      <c r="P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7">
        <f>IF(F148+G148=0,"",F148/(F148+G148))</f>
        <v/>
      </c>
      <c r="K148" s="3" t="n"/>
      <c r="L148" s="3" t="n"/>
      <c r="M148" s="3" t="n"/>
      <c r="N148" s="4" t="n"/>
      <c r="O148" s="3" t="n"/>
      <c r="P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7">
        <f>IF(F149+G149=0,"",F149/(F149+G149))</f>
        <v/>
      </c>
      <c r="K149" s="3" t="n"/>
      <c r="L149" s="3" t="n"/>
      <c r="M149" s="3" t="n"/>
      <c r="N149" s="4" t="n"/>
      <c r="O149" s="3" t="n"/>
      <c r="P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7">
        <f>IF(F150+G150=0,"",F150/(F150+G150))</f>
        <v/>
      </c>
      <c r="K150" s="3" t="n"/>
      <c r="L150" s="3" t="n"/>
      <c r="M150" s="3" t="n"/>
      <c r="N150" s="4" t="n"/>
      <c r="O150" s="3" t="n"/>
      <c r="P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7">
        <f>IF(F151+G151=0,"",F151/(F151+G151))</f>
        <v/>
      </c>
      <c r="K151" s="3" t="n"/>
      <c r="L151" s="3" t="n"/>
      <c r="M151" s="3" t="n"/>
      <c r="N151" s="4" t="n"/>
      <c r="O151" s="3" t="n"/>
      <c r="P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7">
        <f>IF(F152+G152=0,"",F152/(F152+G152))</f>
        <v/>
      </c>
      <c r="K152" s="3" t="n"/>
      <c r="L152" s="3" t="n"/>
      <c r="M152" s="3" t="n"/>
      <c r="N152" s="4" t="n"/>
      <c r="O152" s="3" t="n"/>
      <c r="P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7">
        <f>IF(F153+G153=0,"",F153/(F153+G153))</f>
        <v/>
      </c>
      <c r="K153" s="3" t="n"/>
      <c r="L153" s="3" t="n"/>
      <c r="M153" s="3" t="n"/>
      <c r="N153" s="4" t="n"/>
      <c r="O153" s="3" t="n"/>
      <c r="P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7">
        <f>IF(F154+G154=0,"",F154/(F154+G154))</f>
        <v/>
      </c>
      <c r="K154" s="3" t="n"/>
      <c r="L154" s="3" t="n"/>
      <c r="M154" s="3" t="n"/>
      <c r="N154" s="4" t="n"/>
      <c r="O154" s="3" t="n"/>
      <c r="P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7">
        <f>IF(F155+G155=0,"",F155/(F155+G155))</f>
        <v/>
      </c>
      <c r="K155" s="3" t="n"/>
      <c r="L155" s="3" t="n"/>
      <c r="M155" s="3" t="n"/>
      <c r="N155" s="4" t="n"/>
      <c r="O155" s="3" t="n"/>
      <c r="P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7">
        <f>IF(F156+G156=0,"",F156/(F156+G156))</f>
        <v/>
      </c>
      <c r="K156" s="3" t="n"/>
      <c r="L156" s="3" t="n"/>
      <c r="M156" s="3" t="n"/>
      <c r="N156" s="4" t="n"/>
      <c r="O156" s="3" t="n"/>
      <c r="P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7">
        <f>IF(F157+G157=0,"",F157/(F157+G157))</f>
        <v/>
      </c>
      <c r="K157" s="3" t="n"/>
      <c r="L157" s="3" t="n"/>
      <c r="M157" s="3" t="n"/>
      <c r="N157" s="4" t="n"/>
      <c r="O157" s="3" t="n"/>
      <c r="P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7">
        <f>IF(F158+G158=0,"",F158/(F158+G158))</f>
        <v/>
      </c>
      <c r="K158" s="3" t="n"/>
      <c r="L158" s="3" t="n"/>
      <c r="M158" s="3" t="n"/>
      <c r="N158" s="4" t="n"/>
      <c r="O158" s="3" t="n"/>
      <c r="P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7">
        <f>IF(F159+G159=0,"",F159/(F159+G159))</f>
        <v/>
      </c>
      <c r="K159" s="3" t="n"/>
      <c r="L159" s="3" t="n"/>
      <c r="M159" s="3" t="n"/>
      <c r="N159" s="4" t="n"/>
      <c r="O159" s="3" t="n"/>
      <c r="P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7">
        <f>IF(F160+G160=0,"",F160/(F160+G160))</f>
        <v/>
      </c>
      <c r="K160" s="3" t="n"/>
      <c r="L160" s="3" t="n"/>
      <c r="M160" s="3" t="n"/>
      <c r="N160" s="4" t="n"/>
      <c r="O160" s="3" t="n"/>
      <c r="P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7">
        <f>IF(F161+G161=0,"",F161/(F161+G161))</f>
        <v/>
      </c>
      <c r="K161" s="3" t="n"/>
      <c r="L161" s="3" t="n"/>
      <c r="M161" s="3" t="n"/>
      <c r="N161" s="4" t="n"/>
      <c r="O161" s="3" t="n"/>
      <c r="P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7">
        <f>IF(F162+G162=0,"",F162/(F162+G162))</f>
        <v/>
      </c>
      <c r="K162" s="3" t="n"/>
      <c r="L162" s="3" t="n"/>
      <c r="M162" s="3" t="n"/>
      <c r="N162" s="4" t="n"/>
      <c r="O162" s="3" t="n"/>
      <c r="P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7">
        <f>IF(F163+G163=0,"",F163/(F163+G163))</f>
        <v/>
      </c>
      <c r="K163" s="3" t="n"/>
      <c r="L163" s="3" t="n"/>
      <c r="M163" s="3" t="n"/>
      <c r="N163" s="4" t="n"/>
      <c r="O163" s="3" t="n"/>
      <c r="P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7">
        <f>IF(F164+G164=0,"",F164/(F164+G164))</f>
        <v/>
      </c>
      <c r="K164" s="3" t="n"/>
      <c r="L164" s="3" t="n"/>
      <c r="M164" s="3" t="n"/>
      <c r="N164" s="4" t="n"/>
      <c r="O164" s="3" t="n"/>
      <c r="P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7">
        <f>IF(F165+G165=0,"",F165/(F165+G165))</f>
        <v/>
      </c>
      <c r="K165" s="3" t="n"/>
      <c r="L165" s="3" t="n"/>
      <c r="M165" s="3" t="n"/>
      <c r="N165" s="4" t="n"/>
      <c r="O165" s="3" t="n"/>
      <c r="P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7">
        <f>IF(F166+G166=0,"",F166/(F166+G166))</f>
        <v/>
      </c>
      <c r="K166" s="3" t="n"/>
      <c r="L166" s="3" t="n"/>
      <c r="M166" s="3" t="n"/>
      <c r="N166" s="4" t="n"/>
      <c r="O166" s="3" t="n"/>
      <c r="P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7">
        <f>IF(F167+G167=0,"",F167/(F167+G167))</f>
        <v/>
      </c>
      <c r="K167" s="3" t="n"/>
      <c r="L167" s="3" t="n"/>
      <c r="M167" s="3" t="n"/>
      <c r="N167" s="4" t="n"/>
      <c r="O167" s="3" t="n"/>
      <c r="P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7">
        <f>IF(F168+G168=0,"",F168/(F168+G168))</f>
        <v/>
      </c>
      <c r="K168" s="3" t="n"/>
      <c r="L168" s="3" t="n"/>
      <c r="M168" s="3" t="n"/>
      <c r="N168" s="4" t="n"/>
      <c r="O168" s="3" t="n"/>
      <c r="P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7">
        <f>IF(F169+G169=0,"",F169/(F169+G169))</f>
        <v/>
      </c>
      <c r="K169" s="3" t="n"/>
      <c r="L169" s="3" t="n"/>
      <c r="M169" s="3" t="n"/>
      <c r="N169" s="4" t="n"/>
      <c r="O169" s="3" t="n"/>
      <c r="P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7">
        <f>IF(F170+G170=0,"",F170/(F170+G170))</f>
        <v/>
      </c>
      <c r="K170" s="3" t="n"/>
      <c r="L170" s="3" t="n"/>
      <c r="M170" s="3" t="n"/>
      <c r="N170" s="4" t="n"/>
      <c r="O170" s="3" t="n"/>
      <c r="P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7">
        <f>IF(F171+G171=0,"",F171/(F171+G171))</f>
        <v/>
      </c>
      <c r="K171" s="3" t="n"/>
      <c r="L171" s="3" t="n"/>
      <c r="M171" s="3" t="n"/>
      <c r="N171" s="4" t="n"/>
      <c r="O171" s="3" t="n"/>
      <c r="P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7">
        <f>IF(F172+G172=0,"",F172/(F172+G172))</f>
        <v/>
      </c>
      <c r="K172" s="3" t="n"/>
      <c r="L172" s="3" t="n"/>
      <c r="M172" s="3" t="n"/>
      <c r="N172" s="4" t="n"/>
      <c r="O172" s="3" t="n"/>
      <c r="P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7">
        <f>IF(F173+G173=0,"",F173/(F173+G173))</f>
        <v/>
      </c>
      <c r="K173" s="3" t="n"/>
      <c r="L173" s="3" t="n"/>
      <c r="M173" s="3" t="n"/>
      <c r="N173" s="4" t="n"/>
      <c r="O173" s="3" t="n"/>
      <c r="P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7">
        <f>IF(F174+G174=0,"",F174/(F174+G174))</f>
        <v/>
      </c>
      <c r="K174" s="3" t="n"/>
      <c r="L174" s="3" t="n"/>
      <c r="M174" s="3" t="n"/>
      <c r="N174" s="4" t="n"/>
      <c r="O174" s="3" t="n"/>
      <c r="P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7">
        <f>IF(F175+G175=0,"",F175/(F175+G175))</f>
        <v/>
      </c>
      <c r="K175" s="3" t="n"/>
      <c r="L175" s="3" t="n"/>
      <c r="M175" s="3" t="n"/>
      <c r="N175" s="4" t="n"/>
      <c r="O175" s="3" t="n"/>
      <c r="P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7">
        <f>IF(F176+G176=0,"",F176/(F176+G176))</f>
        <v/>
      </c>
      <c r="K176" s="3" t="n"/>
      <c r="L176" s="3" t="n"/>
      <c r="M176" s="3" t="n"/>
      <c r="N176" s="4" t="n"/>
      <c r="O176" s="3" t="n"/>
      <c r="P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7">
        <f>IF(F177+G177=0,"",F177/(F177+G177))</f>
        <v/>
      </c>
      <c r="K177" s="3" t="n"/>
      <c r="L177" s="3" t="n"/>
      <c r="M177" s="3" t="n"/>
      <c r="N177" s="4" t="n"/>
      <c r="O177" s="3" t="n"/>
      <c r="P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7">
        <f>IF(F178+G178=0,"",F178/(F178+G178))</f>
        <v/>
      </c>
      <c r="K178" s="3" t="n"/>
      <c r="L178" s="3" t="n"/>
      <c r="M178" s="3" t="n"/>
      <c r="N178" s="4" t="n"/>
      <c r="O178" s="3" t="n"/>
      <c r="P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7">
        <f>IF(F179+G179=0,"",F179/(F179+G179))</f>
        <v/>
      </c>
      <c r="K179" s="3" t="n"/>
      <c r="L179" s="3" t="n"/>
      <c r="M179" s="3" t="n"/>
      <c r="N179" s="4" t="n"/>
      <c r="O179" s="3" t="n"/>
      <c r="P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7">
        <f>IF(F180+G180=0,"",F180/(F180+G180))</f>
        <v/>
      </c>
      <c r="K180" s="3" t="n"/>
      <c r="L180" s="3" t="n"/>
      <c r="M180" s="3" t="n"/>
      <c r="N180" s="4" t="n"/>
      <c r="O180" s="3" t="n"/>
      <c r="P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7">
        <f>IF(F181+G181=0,"",F181/(F181+G181))</f>
        <v/>
      </c>
      <c r="K181" s="3" t="n"/>
      <c r="L181" s="3" t="n"/>
      <c r="M181" s="3" t="n"/>
      <c r="N181" s="4" t="n"/>
      <c r="O181" s="3" t="n"/>
      <c r="P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7">
        <f>IF(F182+G182=0,"",F182/(F182+G182))</f>
        <v/>
      </c>
      <c r="K182" s="3" t="n"/>
      <c r="L182" s="3" t="n"/>
      <c r="M182" s="3" t="n"/>
      <c r="N182" s="4" t="n"/>
      <c r="O182" s="3" t="n"/>
      <c r="P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7">
        <f>IF(F183+G183=0,"",F183/(F183+G183))</f>
        <v/>
      </c>
      <c r="K183" s="3" t="n"/>
      <c r="L183" s="3" t="n"/>
      <c r="M183" s="3" t="n"/>
      <c r="N183" s="4" t="n"/>
      <c r="O183" s="3" t="n"/>
      <c r="P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7">
        <f>IF(F184+G184=0,"",F184/(F184+G184))</f>
        <v/>
      </c>
      <c r="K184" s="3" t="n"/>
      <c r="L184" s="3" t="n"/>
      <c r="M184" s="3" t="n"/>
      <c r="N184" s="4" t="n"/>
      <c r="O184" s="3" t="n"/>
      <c r="P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7">
        <f>IF(F185+G185=0,"",F185/(F185+G185))</f>
        <v/>
      </c>
      <c r="K185" s="3" t="n"/>
      <c r="L185" s="3" t="n"/>
      <c r="M185" s="3" t="n"/>
      <c r="N185" s="4" t="n"/>
      <c r="O185" s="3" t="n"/>
      <c r="P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7">
        <f>IF(F186+G186=0,"",F186/(F186+G186))</f>
        <v/>
      </c>
      <c r="K186" s="3" t="n"/>
      <c r="L186" s="3" t="n"/>
      <c r="M186" s="3" t="n"/>
      <c r="N186" s="4" t="n"/>
      <c r="O186" s="3" t="n"/>
      <c r="P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7">
        <f>IF(F187+G187=0,"",F187/(F187+G187))</f>
        <v/>
      </c>
      <c r="K187" s="3" t="n"/>
      <c r="L187" s="3" t="n"/>
      <c r="M187" s="3" t="n"/>
      <c r="N187" s="4" t="n"/>
      <c r="O187" s="3" t="n"/>
      <c r="P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7">
        <f>IF(F188+G188=0,"",F188/(F188+G188))</f>
        <v/>
      </c>
      <c r="K188" s="3" t="n"/>
      <c r="L188" s="3" t="n"/>
      <c r="M188" s="3" t="n"/>
      <c r="N188" s="4" t="n"/>
      <c r="O188" s="3" t="n"/>
      <c r="P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7">
        <f>IF(F189+G189=0,"",F189/(F189+G189))</f>
        <v/>
      </c>
      <c r="K189" s="3" t="n"/>
      <c r="L189" s="3" t="n"/>
      <c r="M189" s="3" t="n"/>
      <c r="N189" s="4" t="n"/>
      <c r="O189" s="3" t="n"/>
      <c r="P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7">
        <f>IF(F190+G190=0,"",F190/(F190+G190))</f>
        <v/>
      </c>
      <c r="K190" s="3" t="n"/>
      <c r="L190" s="3" t="n"/>
      <c r="M190" s="3" t="n"/>
      <c r="N190" s="4" t="n"/>
      <c r="O190" s="3" t="n"/>
      <c r="P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7">
        <f>IF(F191+G191=0,"",F191/(F191+G191))</f>
        <v/>
      </c>
      <c r="K191" s="3" t="n"/>
      <c r="L191" s="3" t="n"/>
      <c r="M191" s="3" t="n"/>
      <c r="N191" s="4" t="n"/>
      <c r="O191" s="3" t="n"/>
      <c r="P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7">
        <f>IF(F192+G192=0,"",F192/(F192+G192))</f>
        <v/>
      </c>
      <c r="K192" s="3" t="n"/>
      <c r="L192" s="3" t="n"/>
      <c r="M192" s="3" t="n"/>
      <c r="N192" s="4" t="n"/>
      <c r="O192" s="3" t="n"/>
      <c r="P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7">
        <f>IF(F193+G193=0,"",F193/(F193+G193))</f>
        <v/>
      </c>
      <c r="K193" s="3" t="n"/>
      <c r="L193" s="3" t="n"/>
      <c r="M193" s="3" t="n"/>
      <c r="N193" s="4" t="n"/>
      <c r="O193" s="3" t="n"/>
      <c r="P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7">
        <f>IF(F194+G194=0,"",F194/(F194+G194))</f>
        <v/>
      </c>
      <c r="K194" s="3" t="n"/>
      <c r="L194" s="3" t="n"/>
      <c r="M194" s="3" t="n"/>
      <c r="N194" s="4" t="n"/>
      <c r="O194" s="3" t="n"/>
      <c r="P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7">
        <f>IF(F195+G195=0,"",F195/(F195+G195))</f>
        <v/>
      </c>
      <c r="K195" s="3" t="n"/>
      <c r="L195" s="3" t="n"/>
      <c r="M195" s="3" t="n"/>
      <c r="N195" s="4" t="n"/>
      <c r="O195" s="3" t="n"/>
      <c r="P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7">
        <f>IF(F196+G196=0,"",F196/(F196+G196))</f>
        <v/>
      </c>
      <c r="K196" s="3" t="n"/>
      <c r="L196" s="3" t="n"/>
      <c r="M196" s="3" t="n"/>
      <c r="N196" s="4" t="n"/>
      <c r="O196" s="3" t="n"/>
      <c r="P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7">
        <f>IF(F197+G197=0,"",F197/(F197+G197))</f>
        <v/>
      </c>
      <c r="K197" s="3" t="n"/>
      <c r="L197" s="3" t="n"/>
      <c r="M197" s="3" t="n"/>
      <c r="N197" s="4" t="n"/>
      <c r="O197" s="3" t="n"/>
      <c r="P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7">
        <f>IF(F198+G198=0,"",F198/(F198+G198))</f>
        <v/>
      </c>
      <c r="K198" s="3" t="n"/>
      <c r="L198" s="3" t="n"/>
      <c r="M198" s="3" t="n"/>
      <c r="N198" s="4" t="n"/>
      <c r="O198" s="3" t="n"/>
      <c r="P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7">
        <f>IF(F199+G199=0,"",F199/(F199+G199))</f>
        <v/>
      </c>
      <c r="K199" s="3" t="n"/>
      <c r="L199" s="3" t="n"/>
      <c r="M199" s="3" t="n"/>
      <c r="N199" s="4" t="n"/>
      <c r="O199" s="3" t="n"/>
      <c r="P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7">
        <f>IF(F200+G200=0,"",F200/(F200+G200))</f>
        <v/>
      </c>
      <c r="K200" s="3" t="n"/>
      <c r="L200" s="3" t="n"/>
      <c r="M200" s="3" t="n"/>
      <c r="N200" s="4" t="n"/>
      <c r="O200" s="3" t="n"/>
      <c r="P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7">
        <f>IF(F201+G201=0,"",F201/(F201+G201))</f>
        <v/>
      </c>
      <c r="K201" s="3" t="n"/>
      <c r="L201" s="3" t="n"/>
      <c r="M201" s="3" t="n"/>
      <c r="N201" s="4" t="n"/>
      <c r="O201" s="3" t="n"/>
      <c r="P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7">
        <f>IF(F202+G202=0,"",F202/(F202+G202))</f>
        <v/>
      </c>
      <c r="K202" s="3" t="n"/>
      <c r="L202" s="3" t="n"/>
      <c r="M202" s="3" t="n"/>
      <c r="N202" s="4" t="n"/>
      <c r="O202" s="3" t="n"/>
      <c r="P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7">
        <f>IF(F203+G203=0,"",F203/(F203+G203))</f>
        <v/>
      </c>
      <c r="K203" s="3" t="n"/>
      <c r="L203" s="3" t="n"/>
      <c r="M203" s="3" t="n"/>
      <c r="N203" s="4" t="n"/>
      <c r="O203" s="3" t="n"/>
      <c r="P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7">
        <f>IF(F204+G204=0,"",F204/(F204+G204))</f>
        <v/>
      </c>
      <c r="K204" s="3" t="n"/>
      <c r="L204" s="3" t="n"/>
      <c r="M204" s="3" t="n"/>
      <c r="N204" s="4" t="n"/>
      <c r="O204" s="3" t="n"/>
      <c r="P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7">
        <f>IF(F205+G205=0,"",F205/(F205+G205))</f>
        <v/>
      </c>
      <c r="K205" s="3" t="n"/>
      <c r="L205" s="3" t="n"/>
      <c r="M205" s="3" t="n"/>
      <c r="N205" s="4" t="n"/>
      <c r="O205" s="3" t="n"/>
      <c r="P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7">
        <f>IF(F206+G206=0,"",F206/(F206+G206))</f>
        <v/>
      </c>
      <c r="K206" s="3" t="n"/>
      <c r="L206" s="3" t="n"/>
      <c r="M206" s="3" t="n"/>
      <c r="N206" s="4" t="n"/>
      <c r="O206" s="3" t="n"/>
      <c r="P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7">
        <f>IF(F207+G207=0,"",F207/(F207+G207))</f>
        <v/>
      </c>
      <c r="K207" s="3" t="n"/>
      <c r="L207" s="3" t="n"/>
      <c r="M207" s="3" t="n"/>
      <c r="N207" s="4" t="n"/>
      <c r="O207" s="3" t="n"/>
      <c r="P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7">
        <f>IF(F208+G208=0,"",F208/(F208+G208))</f>
        <v/>
      </c>
      <c r="K208" s="3" t="n"/>
      <c r="L208" s="3" t="n"/>
      <c r="M208" s="3" t="n"/>
      <c r="N208" s="4" t="n"/>
      <c r="O208" s="3" t="n"/>
      <c r="P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7">
        <f>IF(F209+G209=0,"",F209/(F209+G209))</f>
        <v/>
      </c>
      <c r="K209" s="3" t="n"/>
      <c r="L209" s="3" t="n"/>
      <c r="M209" s="3" t="n"/>
      <c r="N209" s="4" t="n"/>
      <c r="O209" s="3" t="n"/>
      <c r="P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7">
        <f>IF(F210+G210=0,"",F210/(F210+G210))</f>
        <v/>
      </c>
      <c r="K210" s="3" t="n"/>
      <c r="L210" s="3" t="n"/>
      <c r="M210" s="3" t="n"/>
      <c r="N210" s="4" t="n"/>
      <c r="O210" s="3" t="n"/>
      <c r="P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7">
        <f>IF(F211+G211=0,"",F211/(F211+G211))</f>
        <v/>
      </c>
      <c r="K211" s="3" t="n"/>
      <c r="L211" s="3" t="n"/>
      <c r="M211" s="3" t="n"/>
      <c r="N211" s="4" t="n"/>
      <c r="O211" s="3" t="n"/>
      <c r="P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7">
        <f>IF(F212+G212=0,"",F212/(F212+G212))</f>
        <v/>
      </c>
      <c r="K212" s="3" t="n"/>
      <c r="L212" s="3" t="n"/>
      <c r="M212" s="3" t="n"/>
      <c r="N212" s="4" t="n"/>
      <c r="O212" s="3" t="n"/>
      <c r="P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7">
        <f>IF(F213+G213=0,"",F213/(F213+G213))</f>
        <v/>
      </c>
      <c r="K213" s="3" t="n"/>
      <c r="L213" s="3" t="n"/>
      <c r="M213" s="3" t="n"/>
      <c r="N213" s="4" t="n"/>
      <c r="O213" s="3" t="n"/>
      <c r="P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7">
        <f>IF(F214+G214=0,"",F214/(F214+G214))</f>
        <v/>
      </c>
      <c r="K214" s="3" t="n"/>
      <c r="L214" s="3" t="n"/>
      <c r="M214" s="3" t="n"/>
      <c r="N214" s="4" t="n"/>
      <c r="O214" s="3" t="n"/>
      <c r="P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7">
        <f>IF(F215+G215=0,"",F215/(F215+G215))</f>
        <v/>
      </c>
      <c r="K215" s="3" t="n"/>
      <c r="L215" s="3" t="n"/>
      <c r="M215" s="3" t="n"/>
      <c r="N215" s="4" t="n"/>
      <c r="O215" s="3" t="n"/>
      <c r="P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7">
        <f>IF(F216+G216=0,"",F216/(F216+G216))</f>
        <v/>
      </c>
      <c r="K216" s="3" t="n"/>
      <c r="L216" s="3" t="n"/>
      <c r="M216" s="3" t="n"/>
      <c r="N216" s="4" t="n"/>
      <c r="O216" s="3" t="n"/>
      <c r="P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7">
        <f>IF(F217+G217=0,"",F217/(F217+G217))</f>
        <v/>
      </c>
      <c r="K217" s="3" t="n"/>
      <c r="L217" s="3" t="n"/>
      <c r="M217" s="3" t="n"/>
      <c r="N217" s="4" t="n"/>
      <c r="O217" s="3" t="n"/>
      <c r="P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7">
        <f>IF(F218+G218=0,"",F218/(F218+G218))</f>
        <v/>
      </c>
      <c r="K218" s="3" t="n"/>
      <c r="L218" s="3" t="n"/>
      <c r="M218" s="3" t="n"/>
      <c r="N218" s="4" t="n"/>
      <c r="O218" s="3" t="n"/>
      <c r="P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7">
        <f>IF(F219+G219=0,"",F219/(F219+G219))</f>
        <v/>
      </c>
      <c r="K219" s="3" t="n"/>
      <c r="L219" s="3" t="n"/>
      <c r="M219" s="3" t="n"/>
      <c r="N219" s="4" t="n"/>
      <c r="O219" s="3" t="n"/>
      <c r="P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7">
        <f>IF(F220+G220=0,"",F220/(F220+G220))</f>
        <v/>
      </c>
      <c r="K220" s="3" t="n"/>
      <c r="L220" s="3" t="n"/>
      <c r="M220" s="3" t="n"/>
      <c r="N220" s="4" t="n"/>
      <c r="O220" s="3" t="n"/>
      <c r="P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7">
        <f>IF(F221+G221=0,"",F221/(F221+G221))</f>
        <v/>
      </c>
      <c r="K221" s="3" t="n"/>
      <c r="L221" s="3" t="n"/>
      <c r="M221" s="3" t="n"/>
      <c r="N221" s="4" t="n"/>
      <c r="O221" s="3" t="n"/>
      <c r="P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7">
        <f>IF(F222+G222=0,"",F222/(F222+G222))</f>
        <v/>
      </c>
      <c r="K222" s="3" t="n"/>
      <c r="L222" s="3" t="n"/>
      <c r="M222" s="3" t="n"/>
      <c r="N222" s="4" t="n"/>
      <c r="O222" s="3" t="n"/>
      <c r="P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7">
        <f>IF(F223+G223=0,"",F223/(F223+G223))</f>
        <v/>
      </c>
      <c r="K223" s="3" t="n"/>
      <c r="L223" s="3" t="n"/>
      <c r="M223" s="3" t="n"/>
      <c r="N223" s="4" t="n"/>
      <c r="O223" s="3" t="n"/>
      <c r="P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7">
        <f>IF(F224+G224=0,"",F224/(F224+G224))</f>
        <v/>
      </c>
      <c r="K224" s="3" t="n"/>
      <c r="L224" s="3" t="n"/>
      <c r="M224" s="3" t="n"/>
      <c r="N224" s="4" t="n"/>
      <c r="O224" s="3" t="n"/>
      <c r="P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7">
        <f>IF(F225+G225=0,"",F225/(F225+G225))</f>
        <v/>
      </c>
      <c r="K225" s="3" t="n"/>
      <c r="L225" s="3" t="n"/>
      <c r="M225" s="3" t="n"/>
      <c r="N225" s="4" t="n"/>
      <c r="O225" s="3" t="n"/>
      <c r="P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7">
        <f>IF(F226+G226=0,"",F226/(F226+G226))</f>
        <v/>
      </c>
      <c r="K226" s="3" t="n"/>
      <c r="L226" s="3" t="n"/>
      <c r="M226" s="3" t="n"/>
      <c r="N226" s="4" t="n"/>
      <c r="O226" s="3" t="n"/>
      <c r="P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7">
        <f>IF(F227+G227=0,"",F227/(F227+G227))</f>
        <v/>
      </c>
      <c r="K227" s="3" t="n"/>
      <c r="L227" s="3" t="n"/>
      <c r="M227" s="3" t="n"/>
      <c r="N227" s="4" t="n"/>
      <c r="O227" s="3" t="n"/>
      <c r="P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7">
        <f>IF(F228+G228=0,"",F228/(F228+G228))</f>
        <v/>
      </c>
      <c r="K228" s="3" t="n"/>
      <c r="L228" s="3" t="n"/>
      <c r="M228" s="3" t="n"/>
      <c r="N228" s="4" t="n"/>
      <c r="O228" s="3" t="n"/>
      <c r="P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7">
        <f>IF(F229+G229=0,"",F229/(F229+G229))</f>
        <v/>
      </c>
      <c r="K229" s="3" t="n"/>
      <c r="L229" s="3" t="n"/>
      <c r="M229" s="3" t="n"/>
      <c r="N229" s="4" t="n"/>
      <c r="O229" s="3" t="n"/>
      <c r="P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7">
        <f>IF(F230+G230=0,"",F230/(F230+G230))</f>
        <v/>
      </c>
      <c r="K230" s="3" t="n"/>
      <c r="L230" s="3" t="n"/>
      <c r="M230" s="3" t="n"/>
      <c r="N230" s="4" t="n"/>
      <c r="O230" s="3" t="n"/>
      <c r="P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7">
        <f>IF(F231+G231=0,"",F231/(F231+G231))</f>
        <v/>
      </c>
      <c r="K231" s="3" t="n"/>
      <c r="L231" s="3" t="n"/>
      <c r="M231" s="3" t="n"/>
      <c r="N231" s="4" t="n"/>
      <c r="O231" s="3" t="n"/>
      <c r="P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7">
        <f>IF(F232+G232=0,"",F232/(F232+G232))</f>
        <v/>
      </c>
      <c r="K232" s="3" t="n"/>
      <c r="L232" s="3" t="n"/>
      <c r="M232" s="3" t="n"/>
      <c r="N232" s="4" t="n"/>
      <c r="O232" s="3" t="n"/>
      <c r="P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7">
        <f>IF(F233+G233=0,"",F233/(F233+G233))</f>
        <v/>
      </c>
      <c r="K233" s="3" t="n"/>
      <c r="L233" s="3" t="n"/>
      <c r="M233" s="3" t="n"/>
      <c r="N233" s="4" t="n"/>
      <c r="O233" s="3" t="n"/>
      <c r="P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7">
        <f>IF(F234+G234=0,"",F234/(F234+G234))</f>
        <v/>
      </c>
      <c r="K234" s="3" t="n"/>
      <c r="L234" s="3" t="n"/>
      <c r="M234" s="3" t="n"/>
      <c r="N234" s="4" t="n"/>
      <c r="O234" s="3" t="n"/>
      <c r="P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7">
        <f>IF(F235+G235=0,"",F235/(F235+G235))</f>
        <v/>
      </c>
      <c r="K235" s="3" t="n"/>
      <c r="L235" s="3" t="n"/>
      <c r="M235" s="3" t="n"/>
      <c r="N235" s="4" t="n"/>
      <c r="O235" s="3" t="n"/>
      <c r="P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7">
        <f>IF(F236+G236=0,"",F236/(F236+G236))</f>
        <v/>
      </c>
      <c r="K236" s="3" t="n"/>
      <c r="L236" s="3" t="n"/>
      <c r="M236" s="3" t="n"/>
      <c r="N236" s="4" t="n"/>
      <c r="O236" s="3" t="n"/>
      <c r="P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7">
        <f>IF(F237+G237=0,"",F237/(F237+G237))</f>
        <v/>
      </c>
      <c r="K237" s="3" t="n"/>
      <c r="L237" s="3" t="n"/>
      <c r="M237" s="3" t="n"/>
      <c r="N237" s="4" t="n"/>
      <c r="O237" s="3" t="n"/>
      <c r="P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7">
        <f>IF(F238+G238=0,"",F238/(F238+G238))</f>
        <v/>
      </c>
      <c r="K238" s="3" t="n"/>
      <c r="L238" s="3" t="n"/>
      <c r="M238" s="3" t="n"/>
      <c r="N238" s="4" t="n"/>
      <c r="O238" s="3" t="n"/>
      <c r="P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7">
        <f>IF(F239+G239=0,"",F239/(F239+G239))</f>
        <v/>
      </c>
      <c r="K239" s="3" t="n"/>
      <c r="L239" s="3" t="n"/>
      <c r="M239" s="3" t="n"/>
      <c r="N239" s="4" t="n"/>
      <c r="O239" s="3" t="n"/>
      <c r="P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7">
        <f>IF(F240+G240=0,"",F240/(F240+G240))</f>
        <v/>
      </c>
      <c r="K240" s="3" t="n"/>
      <c r="L240" s="3" t="n"/>
      <c r="M240" s="3" t="n"/>
      <c r="N240" s="4" t="n"/>
      <c r="O240" s="3" t="n"/>
      <c r="P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7">
        <f>IF(F241+G241=0,"",F241/(F241+G241))</f>
        <v/>
      </c>
      <c r="K241" s="3" t="n"/>
      <c r="L241" s="3" t="n"/>
      <c r="M241" s="3" t="n"/>
      <c r="N241" s="4" t="n"/>
      <c r="O241" s="3" t="n"/>
      <c r="P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7">
        <f>IF(F242+G242=0,"",F242/(F242+G242))</f>
        <v/>
      </c>
      <c r="K242" s="3" t="n"/>
      <c r="L242" s="3" t="n"/>
      <c r="M242" s="3" t="n"/>
      <c r="N242" s="4" t="n"/>
      <c r="O242" s="3" t="n"/>
      <c r="P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7">
        <f>IF(F243+G243=0,"",F243/(F243+G243))</f>
        <v/>
      </c>
      <c r="K243" s="3" t="n"/>
      <c r="L243" s="3" t="n"/>
      <c r="M243" s="3" t="n"/>
      <c r="N243" s="4" t="n"/>
      <c r="O243" s="3" t="n"/>
      <c r="P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7">
        <f>IF(F244+G244=0,"",F244/(F244+G244))</f>
        <v/>
      </c>
      <c r="K244" s="3" t="n"/>
      <c r="L244" s="3" t="n"/>
      <c r="M244" s="3" t="n"/>
      <c r="N244" s="4" t="n"/>
      <c r="O244" s="3" t="n"/>
      <c r="P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7">
        <f>IF(F245+G245=0,"",F245/(F245+G245))</f>
        <v/>
      </c>
      <c r="K245" s="3" t="n"/>
      <c r="L245" s="3" t="n"/>
      <c r="M245" s="3" t="n"/>
      <c r="N245" s="4" t="n"/>
      <c r="O245" s="3" t="n"/>
      <c r="P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7">
        <f>IF(F246+G246=0,"",F246/(F246+G246))</f>
        <v/>
      </c>
      <c r="K246" s="3" t="n"/>
      <c r="L246" s="3" t="n"/>
      <c r="M246" s="3" t="n"/>
      <c r="N246" s="4" t="n"/>
      <c r="O246" s="3" t="n"/>
      <c r="P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7">
        <f>IF(F247+G247=0,"",F247/(F247+G247))</f>
        <v/>
      </c>
      <c r="K247" s="3" t="n"/>
      <c r="L247" s="3" t="n"/>
      <c r="M247" s="3" t="n"/>
      <c r="N247" s="4" t="n"/>
      <c r="O247" s="3" t="n"/>
      <c r="P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7">
        <f>IF(F248+G248=0,"",F248/(F248+G248))</f>
        <v/>
      </c>
      <c r="K248" s="3" t="n"/>
      <c r="L248" s="3" t="n"/>
      <c r="M248" s="3" t="n"/>
      <c r="N248" s="4" t="n"/>
      <c r="O248" s="3" t="n"/>
      <c r="P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7">
        <f>IF(F249+G249=0,"",F249/(F249+G249))</f>
        <v/>
      </c>
      <c r="K249" s="3" t="n"/>
      <c r="L249" s="3" t="n"/>
      <c r="M249" s="3" t="n"/>
      <c r="N249" s="4" t="n"/>
      <c r="O249" s="3" t="n"/>
      <c r="P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7">
        <f>IF(F250+G250=0,"",F250/(F250+G250))</f>
        <v/>
      </c>
      <c r="K250" s="3" t="n"/>
      <c r="L250" s="3" t="n"/>
      <c r="M250" s="3" t="n"/>
      <c r="N250" s="4" t="n"/>
      <c r="O250" s="3" t="n"/>
      <c r="P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7">
        <f>IF(F251+G251=0,"",F251/(F251+G251))</f>
        <v/>
      </c>
      <c r="K251" s="3" t="n"/>
      <c r="L251" s="3" t="n"/>
      <c r="M251" s="3" t="n"/>
      <c r="N251" s="4" t="n"/>
      <c r="O251" s="3" t="n"/>
      <c r="P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7">
        <f>IF(F252+G252=0,"",F252/(F252+G252))</f>
        <v/>
      </c>
      <c r="K252" s="3" t="n"/>
      <c r="L252" s="3" t="n"/>
      <c r="M252" s="3" t="n"/>
      <c r="N252" s="4" t="n"/>
      <c r="O252" s="3" t="n"/>
      <c r="P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7">
        <f>IF(F253+G253=0,"",F253/(F253+G253))</f>
        <v/>
      </c>
      <c r="K253" s="3" t="n"/>
      <c r="L253" s="3" t="n"/>
      <c r="M253" s="3" t="n"/>
      <c r="N253" s="4" t="n"/>
      <c r="O253" s="3" t="n"/>
      <c r="P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7">
        <f>IF(F254+G254=0,"",F254/(F254+G254))</f>
        <v/>
      </c>
      <c r="K254" s="3" t="n"/>
      <c r="L254" s="3" t="n"/>
      <c r="M254" s="3" t="n"/>
      <c r="N254" s="4" t="n"/>
      <c r="O254" s="3" t="n"/>
      <c r="P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7">
        <f>IF(F255+G255=0,"",F255/(F255+G255))</f>
        <v/>
      </c>
      <c r="K255" s="3" t="n"/>
      <c r="L255" s="3" t="n"/>
      <c r="M255" s="3" t="n"/>
      <c r="N255" s="4" t="n"/>
      <c r="O255" s="3" t="n"/>
      <c r="P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7">
        <f>IF(F256+G256=0,"",F256/(F256+G256))</f>
        <v/>
      </c>
      <c r="K256" s="3" t="n"/>
      <c r="L256" s="3" t="n"/>
      <c r="M256" s="3" t="n"/>
      <c r="N256" s="4" t="n"/>
      <c r="O256" s="3" t="n"/>
      <c r="P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7">
        <f>IF(F257+G257=0,"",F257/(F257+G257))</f>
        <v/>
      </c>
      <c r="K257" s="3" t="n"/>
      <c r="L257" s="3" t="n"/>
      <c r="M257" s="3" t="n"/>
      <c r="N257" s="4" t="n"/>
      <c r="O257" s="3" t="n"/>
      <c r="P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7">
        <f>IF(F258+G258=0,"",F258/(F258+G258))</f>
        <v/>
      </c>
      <c r="K258" s="3" t="n"/>
      <c r="L258" s="3" t="n"/>
      <c r="M258" s="3" t="n"/>
      <c r="N258" s="4" t="n"/>
      <c r="O258" s="3" t="n"/>
      <c r="P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7">
        <f>IF(F259+G259=0,"",F259/(F259+G259))</f>
        <v/>
      </c>
      <c r="K259" s="3" t="n"/>
      <c r="L259" s="3" t="n"/>
      <c r="M259" s="3" t="n"/>
      <c r="N259" s="4" t="n"/>
      <c r="O259" s="3" t="n"/>
      <c r="P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7">
        <f>IF(F260+G260=0,"",F260/(F260+G260))</f>
        <v/>
      </c>
      <c r="K260" s="3" t="n"/>
      <c r="L260" s="3" t="n"/>
      <c r="M260" s="3" t="n"/>
      <c r="N260" s="4" t="n"/>
      <c r="O260" s="3" t="n"/>
      <c r="P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7">
        <f>IF(F261+G261=0,"",F261/(F261+G261))</f>
        <v/>
      </c>
      <c r="K261" s="3" t="n"/>
      <c r="L261" s="3" t="n"/>
      <c r="M261" s="3" t="n"/>
      <c r="N261" s="4" t="n"/>
      <c r="O261" s="3" t="n"/>
      <c r="P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7">
        <f>IF(F262+G262=0,"",F262/(F262+G262))</f>
        <v/>
      </c>
      <c r="K262" s="3" t="n"/>
      <c r="L262" s="3" t="n"/>
      <c r="M262" s="3" t="n"/>
      <c r="N262" s="4" t="n"/>
      <c r="O262" s="3" t="n"/>
      <c r="P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7">
        <f>IF(F263+G263=0,"",F263/(F263+G263))</f>
        <v/>
      </c>
      <c r="K263" s="3" t="n"/>
      <c r="L263" s="3" t="n"/>
      <c r="M263" s="3" t="n"/>
      <c r="N263" s="4" t="n"/>
      <c r="O263" s="3" t="n"/>
      <c r="P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7">
        <f>IF(F264+G264=0,"",F264/(F264+G264))</f>
        <v/>
      </c>
      <c r="K264" s="3" t="n"/>
      <c r="L264" s="3" t="n"/>
      <c r="M264" s="3" t="n"/>
      <c r="N264" s="4" t="n"/>
      <c r="O264" s="3" t="n"/>
      <c r="P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7">
        <f>IF(F265+G265=0,"",F265/(F265+G265))</f>
        <v/>
      </c>
      <c r="K265" s="3" t="n"/>
      <c r="L265" s="3" t="n"/>
      <c r="M265" s="3" t="n"/>
      <c r="N265" s="4" t="n"/>
      <c r="O265" s="3" t="n"/>
      <c r="P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7">
        <f>IF(F266+G266=0,"",F266/(F266+G266))</f>
        <v/>
      </c>
      <c r="K266" s="3" t="n"/>
      <c r="L266" s="3" t="n"/>
      <c r="M266" s="3" t="n"/>
      <c r="N266" s="4" t="n"/>
      <c r="O266" s="3" t="n"/>
      <c r="P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7">
        <f>IF(F267+G267=0,"",F267/(F267+G267))</f>
        <v/>
      </c>
      <c r="K267" s="3" t="n"/>
      <c r="L267" s="3" t="n"/>
      <c r="M267" s="3" t="n"/>
      <c r="N267" s="4" t="n"/>
      <c r="O267" s="3" t="n"/>
      <c r="P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7">
        <f>IF(F268+G268=0,"",F268/(F268+G268))</f>
        <v/>
      </c>
      <c r="K268" s="3" t="n"/>
      <c r="L268" s="3" t="n"/>
      <c r="M268" s="3" t="n"/>
      <c r="N268" s="4" t="n"/>
      <c r="O268" s="3" t="n"/>
      <c r="P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7">
        <f>IF(F269+G269=0,"",F269/(F269+G269))</f>
        <v/>
      </c>
      <c r="K269" s="3" t="n"/>
      <c r="L269" s="3" t="n"/>
      <c r="M269" s="3" t="n"/>
      <c r="N269" s="4" t="n"/>
      <c r="O269" s="3" t="n"/>
      <c r="P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7">
        <f>IF(F270+G270=0,"",F270/(F270+G270))</f>
        <v/>
      </c>
      <c r="K270" s="3" t="n"/>
      <c r="L270" s="3" t="n"/>
      <c r="M270" s="3" t="n"/>
      <c r="N270" s="4" t="n"/>
      <c r="O270" s="3" t="n"/>
      <c r="P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7">
        <f>IF(F271+G271=0,"",F271/(F271+G271))</f>
        <v/>
      </c>
      <c r="K271" s="3" t="n"/>
      <c r="L271" s="3" t="n"/>
      <c r="M271" s="3" t="n"/>
      <c r="N271" s="4" t="n"/>
      <c r="O271" s="3" t="n"/>
      <c r="P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7">
        <f>IF(F272+G272=0,"",F272/(F272+G272))</f>
        <v/>
      </c>
      <c r="K272" s="3" t="n"/>
      <c r="L272" s="3" t="n"/>
      <c r="M272" s="3" t="n"/>
      <c r="N272" s="4" t="n"/>
      <c r="O272" s="3" t="n"/>
      <c r="P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7">
        <f>IF(F273+G273=0,"",F273/(F273+G273))</f>
        <v/>
      </c>
      <c r="K273" s="3" t="n"/>
      <c r="L273" s="3" t="n"/>
      <c r="M273" s="3" t="n"/>
      <c r="N273" s="4" t="n"/>
      <c r="O273" s="3" t="n"/>
      <c r="P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7">
        <f>IF(F274+G274=0,"",F274/(F274+G274))</f>
        <v/>
      </c>
      <c r="K274" s="3" t="n"/>
      <c r="L274" s="3" t="n"/>
      <c r="M274" s="3" t="n"/>
      <c r="N274" s="4" t="n"/>
      <c r="O274" s="3" t="n"/>
      <c r="P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7">
        <f>IF(F275+G275=0,"",F275/(F275+G275))</f>
        <v/>
      </c>
      <c r="K275" s="3" t="n"/>
      <c r="L275" s="3" t="n"/>
      <c r="M275" s="3" t="n"/>
      <c r="N275" s="4" t="n"/>
      <c r="O275" s="3" t="n"/>
      <c r="P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7">
        <f>IF(F276+G276=0,"",F276/(F276+G276))</f>
        <v/>
      </c>
      <c r="K276" s="3" t="n"/>
      <c r="L276" s="3" t="n"/>
      <c r="M276" s="3" t="n"/>
      <c r="N276" s="4" t="n"/>
      <c r="O276" s="3" t="n"/>
      <c r="P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7">
        <f>IF(F277+G277=0,"",F277/(F277+G277))</f>
        <v/>
      </c>
      <c r="K277" s="3" t="n"/>
      <c r="L277" s="3" t="n"/>
      <c r="M277" s="3" t="n"/>
      <c r="N277" s="4" t="n"/>
      <c r="O277" s="3" t="n"/>
      <c r="P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7">
        <f>IF(F278+G278=0,"",F278/(F278+G278))</f>
        <v/>
      </c>
      <c r="K278" s="3" t="n"/>
      <c r="L278" s="3" t="n"/>
      <c r="M278" s="3" t="n"/>
      <c r="N278" s="4" t="n"/>
      <c r="O278" s="3" t="n"/>
      <c r="P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7">
        <f>IF(F279+G279=0,"",F279/(F279+G279))</f>
        <v/>
      </c>
      <c r="K279" s="3" t="n"/>
      <c r="L279" s="3" t="n"/>
      <c r="M279" s="3" t="n"/>
      <c r="N279" s="4" t="n"/>
      <c r="O279" s="3" t="n"/>
      <c r="P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7">
        <f>IF(F280+G280=0,"",F280/(F280+G280))</f>
        <v/>
      </c>
      <c r="K280" s="3" t="n"/>
      <c r="L280" s="3" t="n"/>
      <c r="M280" s="3" t="n"/>
      <c r="N280" s="4" t="n"/>
      <c r="O280" s="3" t="n"/>
      <c r="P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7">
        <f>IF(F281+G281=0,"",F281/(F281+G281))</f>
        <v/>
      </c>
      <c r="K281" s="3" t="n"/>
      <c r="L281" s="3" t="n"/>
      <c r="M281" s="3" t="n"/>
      <c r="N281" s="4" t="n"/>
      <c r="O281" s="3" t="n"/>
      <c r="P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7">
        <f>IF(F282+G282=0,"",F282/(F282+G282))</f>
        <v/>
      </c>
      <c r="K282" s="3" t="n"/>
      <c r="L282" s="3" t="n"/>
      <c r="M282" s="3" t="n"/>
      <c r="N282" s="4" t="n"/>
      <c r="O282" s="3" t="n"/>
      <c r="P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7">
        <f>IF(F283+G283=0,"",F283/(F283+G283))</f>
        <v/>
      </c>
      <c r="K283" s="3" t="n"/>
      <c r="L283" s="3" t="n"/>
      <c r="M283" s="3" t="n"/>
      <c r="N283" s="4" t="n"/>
      <c r="O283" s="3" t="n"/>
      <c r="P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7">
        <f>IF(F284+G284=0,"",F284/(F284+G284))</f>
        <v/>
      </c>
      <c r="K284" s="3" t="n"/>
      <c r="L284" s="3" t="n"/>
      <c r="M284" s="3" t="n"/>
      <c r="N284" s="4" t="n"/>
      <c r="O284" s="3" t="n"/>
      <c r="P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7">
        <f>IF(F285+G285=0,"",F285/(F285+G285))</f>
        <v/>
      </c>
      <c r="K285" s="3" t="n"/>
      <c r="L285" s="3" t="n"/>
      <c r="M285" s="3" t="n"/>
      <c r="N285" s="4" t="n"/>
      <c r="O285" s="3" t="n"/>
      <c r="P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7">
        <f>IF(F286+G286=0,"",F286/(F286+G286))</f>
        <v/>
      </c>
      <c r="K286" s="3" t="n"/>
      <c r="L286" s="3" t="n"/>
      <c r="M286" s="3" t="n"/>
      <c r="N286" s="4" t="n"/>
      <c r="O286" s="3" t="n"/>
      <c r="P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7">
        <f>IF(F287+G287=0,"",F287/(F287+G287))</f>
        <v/>
      </c>
      <c r="K287" s="3" t="n"/>
      <c r="L287" s="3" t="n"/>
      <c r="M287" s="3" t="n"/>
      <c r="N287" s="4" t="n"/>
      <c r="O287" s="3" t="n"/>
      <c r="P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7">
        <f>IF(F288+G288=0,"",F288/(F288+G288))</f>
        <v/>
      </c>
      <c r="K288" s="3" t="n"/>
      <c r="L288" s="3" t="n"/>
      <c r="M288" s="3" t="n"/>
      <c r="N288" s="4" t="n"/>
      <c r="O288" s="3" t="n"/>
      <c r="P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7">
        <f>IF(F289+G289=0,"",F289/(F289+G289))</f>
        <v/>
      </c>
      <c r="K289" s="3" t="n"/>
      <c r="L289" s="3" t="n"/>
      <c r="M289" s="3" t="n"/>
      <c r="N289" s="4" t="n"/>
      <c r="O289" s="3" t="n"/>
      <c r="P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7">
        <f>IF(F290+G290=0,"",F290/(F290+G290))</f>
        <v/>
      </c>
      <c r="K290" s="3" t="n"/>
      <c r="L290" s="3" t="n"/>
      <c r="M290" s="3" t="n"/>
      <c r="N290" s="4" t="n"/>
      <c r="O290" s="3" t="n"/>
      <c r="P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7">
        <f>IF(F291+G291=0,"",F291/(F291+G291))</f>
        <v/>
      </c>
      <c r="K291" s="3" t="n"/>
      <c r="L291" s="3" t="n"/>
      <c r="M291" s="3" t="n"/>
      <c r="N291" s="4" t="n"/>
      <c r="O291" s="3" t="n"/>
      <c r="P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7">
        <f>IF(F292+G292=0,"",F292/(F292+G292))</f>
        <v/>
      </c>
      <c r="K292" s="3" t="n"/>
      <c r="L292" s="3" t="n"/>
      <c r="M292" s="3" t="n"/>
      <c r="N292" s="4" t="n"/>
      <c r="O292" s="3" t="n"/>
      <c r="P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7">
        <f>IF(F293+G293=0,"",F293/(F293+G293))</f>
        <v/>
      </c>
      <c r="K293" s="3" t="n"/>
      <c r="L293" s="3" t="n"/>
      <c r="M293" s="3" t="n"/>
      <c r="N293" s="4" t="n"/>
      <c r="O293" s="3" t="n"/>
      <c r="P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7">
        <f>IF(F294+G294=0,"",F294/(F294+G294))</f>
        <v/>
      </c>
      <c r="K294" s="3" t="n"/>
      <c r="L294" s="3" t="n"/>
      <c r="M294" s="3" t="n"/>
      <c r="N294" s="4" t="n"/>
      <c r="O294" s="3" t="n"/>
      <c r="P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7">
        <f>IF(F295+G295=0,"",F295/(F295+G295))</f>
        <v/>
      </c>
      <c r="K295" s="3" t="n"/>
      <c r="L295" s="3" t="n"/>
      <c r="M295" s="3" t="n"/>
      <c r="N295" s="4" t="n"/>
      <c r="O295" s="3" t="n"/>
      <c r="P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7">
        <f>IF(F296+G296=0,"",F296/(F296+G296))</f>
        <v/>
      </c>
      <c r="K296" s="3" t="n"/>
      <c r="L296" s="3" t="n"/>
      <c r="M296" s="3" t="n"/>
      <c r="N296" s="4" t="n"/>
      <c r="O296" s="3" t="n"/>
      <c r="P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7">
        <f>IF(F297+G297=0,"",F297/(F297+G297))</f>
        <v/>
      </c>
      <c r="K297" s="3" t="n"/>
      <c r="L297" s="3" t="n"/>
      <c r="M297" s="3" t="n"/>
      <c r="N297" s="4" t="n"/>
      <c r="O297" s="3" t="n"/>
      <c r="P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7">
        <f>IF(F298+G298=0,"",F298/(F298+G298))</f>
        <v/>
      </c>
      <c r="K298" s="3" t="n"/>
      <c r="L298" s="3" t="n"/>
      <c r="M298" s="3" t="n"/>
      <c r="N298" s="4" t="n"/>
      <c r="O298" s="3" t="n"/>
      <c r="P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7">
        <f>IF(F299+G299=0,"",F299/(F299+G299))</f>
        <v/>
      </c>
      <c r="K299" s="3" t="n"/>
      <c r="L299" s="3" t="n"/>
      <c r="M299" s="3" t="n"/>
      <c r="N299" s="4" t="n"/>
      <c r="O299" s="3" t="n"/>
      <c r="P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7">
        <f>IF(F300+G300=0,"",F300/(F300+G300))</f>
        <v/>
      </c>
      <c r="K300" s="3" t="n"/>
      <c r="L300" s="3" t="n"/>
      <c r="M300" s="3" t="n"/>
      <c r="N300" s="4" t="n"/>
      <c r="O300" s="3" t="n"/>
      <c r="P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7">
        <f>IF(F301+G301=0,"",F301/(F301+G301))</f>
        <v/>
      </c>
      <c r="K301" s="3" t="n"/>
      <c r="L301" s="3" t="n"/>
      <c r="M301" s="3" t="n"/>
      <c r="N301" s="4" t="n"/>
      <c r="O301" s="3" t="n"/>
      <c r="P301" s="3" t="n"/>
    </row>
  </sheetData>
  <autoFilter ref="A1:P301"/>
  <dataValidations count="1">
    <dataValidation sqref="L2:L301" showDropDown="0" showInputMessage="1" showErrorMessage="1" allowBlank="1" errorTitle="无效值" error="请从下拉列表选择，不要自行创造近义值。" promptTitle="填写提示" prompt="权威范围由专业和法律复核确定。" type="list">
      <formula1>=AuthorityStatuses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674EA7"/>
    <outlinePr summaryBelow="1" summaryRight="1"/>
    <pageSetUpPr/>
  </sheetPr>
  <dimension ref="A1:U6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3" customWidth="1" min="2" max="2"/>
    <col width="12" customWidth="1" min="3" max="3"/>
    <col width="12" customWidth="1" min="4" max="4"/>
    <col width="31" customWidth="1" min="5" max="5"/>
    <col width="12" customWidth="1" min="6" max="6"/>
    <col width="31" customWidth="1" min="7" max="7"/>
    <col width="12" customWidth="1" min="8" max="8"/>
    <col width="12" customWidth="1" min="9" max="9"/>
    <col width="17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38" customWidth="1" min="19" max="19"/>
    <col width="12" customWidth="1" min="20" max="20"/>
    <col width="12" customWidth="1" min="21" max="21"/>
  </cols>
  <sheetData>
    <row r="1" ht="34" customHeight="1">
      <c r="A1" s="1" t="inlineStr">
        <is>
          <t>候选ID</t>
        </is>
      </c>
      <c r="B1" s="1" t="inlineStr">
        <is>
          <t>模型ID</t>
        </is>
      </c>
      <c r="C1" s="1" t="inlineStr">
        <is>
          <t>当前版本</t>
        </is>
      </c>
      <c r="D1" s="1" t="inlineStr">
        <is>
          <t>目标版本</t>
        </is>
      </c>
      <c r="E1" s="1" t="inlineStr">
        <is>
          <t>节点</t>
        </is>
      </c>
      <c r="F1" s="1" t="inlineStr">
        <is>
          <t>参数类型</t>
        </is>
      </c>
      <c r="G1" s="1" t="inlineStr">
        <is>
          <t>父节点/维度</t>
        </is>
      </c>
      <c r="H1" s="1" t="inlineStr">
        <is>
          <t>当前值</t>
        </is>
      </c>
      <c r="I1" s="1" t="inlineStr">
        <is>
          <t>候选值</t>
        </is>
      </c>
      <c r="J1" s="1" t="inlineStr">
        <is>
          <t>估计方法</t>
        </is>
      </c>
      <c r="K1" s="1" t="inlineStr">
        <is>
          <t>训练有效样本</t>
        </is>
      </c>
      <c r="L1" s="1" t="inlineStr">
        <is>
          <t>验证有效样本</t>
        </is>
      </c>
      <c r="M1" s="1" t="inlineStr">
        <is>
          <t>验证指标</t>
        </is>
      </c>
      <c r="N1" s="1" t="inlineStr">
        <is>
          <t>与旧版比较</t>
        </is>
      </c>
      <c r="O1" s="1" t="inlineStr">
        <is>
          <t>参数方向复核</t>
        </is>
      </c>
      <c r="P1" s="1" t="inlineStr">
        <is>
          <t>独立复核状态</t>
        </is>
      </c>
      <c r="Q1" s="1" t="inlineStr">
        <is>
          <t>审批状态</t>
        </is>
      </c>
      <c r="R1" s="1" t="inlineStr">
        <is>
          <t>修改理由</t>
        </is>
      </c>
      <c r="S1" s="1" t="inlineStr">
        <is>
          <t>目标文件/字段</t>
        </is>
      </c>
      <c r="T1" s="1" t="inlineStr">
        <is>
          <t>是否已写入新版本</t>
        </is>
      </c>
      <c r="U1" s="1" t="inlineStr">
        <is>
          <t>备注</t>
        </is>
      </c>
    </row>
    <row r="2">
      <c r="A2" s="2" t="inlineStr">
        <is>
          <t>CAND-001</t>
        </is>
      </c>
      <c r="B2" s="2" t="inlineStr">
        <is>
          <t>conduct_result</t>
        </is>
      </c>
      <c r="C2" s="2" t="inlineStr">
        <is>
          <t>1</t>
        </is>
      </c>
      <c r="D2" s="3" t="inlineStr"/>
      <c r="E2" s="2" t="inlineStr">
        <is>
          <t>conduct</t>
        </is>
      </c>
      <c r="F2" s="2" t="inlineStr">
        <is>
          <t>prior</t>
        </is>
      </c>
      <c r="G2" s="2" t="inlineStr"/>
      <c r="H2" s="2" t="n">
        <v>0.15</v>
      </c>
      <c r="I2" s="3" t="inlineStr"/>
      <c r="J2" s="3" t="inlineStr">
        <is>
          <t>Beta-Binomial后验</t>
        </is>
      </c>
      <c r="K2" s="3" t="inlineStr"/>
      <c r="L2" s="3" t="inlineStr"/>
      <c r="M2" s="3" t="inlineStr"/>
      <c r="N2" s="3" t="inlineStr"/>
      <c r="O2" s="3" t="inlineStr">
        <is>
          <t>待复核</t>
        </is>
      </c>
      <c r="P2" s="3" t="inlineStr">
        <is>
          <t>未开始</t>
        </is>
      </c>
      <c r="Q2" s="3" t="inlineStr">
        <is>
          <t>草稿</t>
        </is>
      </c>
      <c r="R2" s="3" t="inlineStr"/>
      <c r="S2" s="3" t="inlineStr">
        <is>
          <t>config/bayesian_models/conduct_result_v1.json -&gt; nodes[conduct].prior</t>
        </is>
      </c>
      <c r="T2" s="3" t="inlineStr">
        <is>
          <t>否</t>
        </is>
      </c>
      <c r="U2" s="3" t="inlineStr"/>
    </row>
    <row r="3">
      <c r="A3" s="2" t="inlineStr">
        <is>
          <t>CAND-002</t>
        </is>
      </c>
      <c r="B3" s="2" t="inlineStr">
        <is>
          <t>conduct_result</t>
        </is>
      </c>
      <c r="C3" s="2" t="inlineStr">
        <is>
          <t>1</t>
        </is>
      </c>
      <c r="D3" s="3" t="inlineStr"/>
      <c r="E3" s="2" t="inlineStr">
        <is>
          <t>result_exists</t>
        </is>
      </c>
      <c r="F3" s="2" t="inlineStr">
        <is>
          <t>prior</t>
        </is>
      </c>
      <c r="G3" s="2" t="inlineStr"/>
      <c r="H3" s="2" t="n">
        <v>0.15</v>
      </c>
      <c r="I3" s="3" t="inlineStr"/>
      <c r="J3" s="3" t="inlineStr">
        <is>
          <t>Beta-Binomial后验</t>
        </is>
      </c>
      <c r="K3" s="3" t="inlineStr"/>
      <c r="L3" s="3" t="inlineStr"/>
      <c r="M3" s="3" t="inlineStr"/>
      <c r="N3" s="3" t="inlineStr"/>
      <c r="O3" s="3" t="inlineStr">
        <is>
          <t>待复核</t>
        </is>
      </c>
      <c r="P3" s="3" t="inlineStr">
        <is>
          <t>未开始</t>
        </is>
      </c>
      <c r="Q3" s="3" t="inlineStr">
        <is>
          <t>草稿</t>
        </is>
      </c>
      <c r="R3" s="3" t="inlineStr"/>
      <c r="S3" s="3" t="inlineStr">
        <is>
          <t>config/bayesian_models/conduct_result_v1.json -&gt; nodes[result_exists].prior</t>
        </is>
      </c>
      <c r="T3" s="3" t="inlineStr">
        <is>
          <t>否</t>
        </is>
      </c>
      <c r="U3" s="3" t="inlineStr"/>
    </row>
    <row r="4">
      <c r="A4" s="2" t="inlineStr">
        <is>
          <t>CAND-003</t>
        </is>
      </c>
      <c r="B4" s="2" t="inlineStr">
        <is>
          <t>conduct_result</t>
        </is>
      </c>
      <c r="C4" s="2" t="inlineStr">
        <is>
          <t>1</t>
        </is>
      </c>
      <c r="D4" s="3" t="inlineStr"/>
      <c r="E4" s="2" t="inlineStr">
        <is>
          <t>mechanism_consistency</t>
        </is>
      </c>
      <c r="F4" s="2" t="inlineStr">
        <is>
          <t>prior</t>
        </is>
      </c>
      <c r="G4" s="2" t="inlineStr"/>
      <c r="H4" s="2" t="n">
        <v>0.3</v>
      </c>
      <c r="I4" s="3" t="inlineStr"/>
      <c r="J4" s="3" t="inlineStr">
        <is>
          <t>Beta-Binomial后验</t>
        </is>
      </c>
      <c r="K4" s="3" t="inlineStr"/>
      <c r="L4" s="3" t="inlineStr"/>
      <c r="M4" s="3" t="inlineStr"/>
      <c r="N4" s="3" t="inlineStr"/>
      <c r="O4" s="3" t="inlineStr">
        <is>
          <t>待复核</t>
        </is>
      </c>
      <c r="P4" s="3" t="inlineStr">
        <is>
          <t>未开始</t>
        </is>
      </c>
      <c r="Q4" s="3" t="inlineStr">
        <is>
          <t>草稿</t>
        </is>
      </c>
      <c r="R4" s="3" t="inlineStr"/>
      <c r="S4" s="3" t="inlineStr">
        <is>
          <t>config/bayesian_models/conduct_result_v1.json -&gt; nodes[mechanism_consistency].prior</t>
        </is>
      </c>
      <c r="T4" s="3" t="inlineStr">
        <is>
          <t>否</t>
        </is>
      </c>
      <c r="U4" s="3" t="inlineStr"/>
    </row>
    <row r="5">
      <c r="A5" s="2" t="inlineStr">
        <is>
          <t>CAND-004</t>
        </is>
      </c>
      <c r="B5" s="2" t="inlineStr">
        <is>
          <t>conduct_result</t>
        </is>
      </c>
      <c r="C5" s="2" t="inlineStr">
        <is>
          <t>1</t>
        </is>
      </c>
      <c r="D5" s="3" t="inlineStr"/>
      <c r="E5" s="2" t="inlineStr">
        <is>
          <t>temporal_consistency</t>
        </is>
      </c>
      <c r="F5" s="2" t="inlineStr">
        <is>
          <t>prior</t>
        </is>
      </c>
      <c r="G5" s="2" t="inlineStr"/>
      <c r="H5" s="2" t="n">
        <v>0.3</v>
      </c>
      <c r="I5" s="3" t="inlineStr"/>
      <c r="J5" s="3" t="inlineStr">
        <is>
          <t>Beta-Binomial后验</t>
        </is>
      </c>
      <c r="K5" s="3" t="inlineStr"/>
      <c r="L5" s="3" t="inlineStr"/>
      <c r="M5" s="3" t="inlineStr"/>
      <c r="N5" s="3" t="inlineStr"/>
      <c r="O5" s="3" t="inlineStr">
        <is>
          <t>待复核</t>
        </is>
      </c>
      <c r="P5" s="3" t="inlineStr">
        <is>
          <t>未开始</t>
        </is>
      </c>
      <c r="Q5" s="3" t="inlineStr">
        <is>
          <t>草稿</t>
        </is>
      </c>
      <c r="R5" s="3" t="inlineStr"/>
      <c r="S5" s="3" t="inlineStr">
        <is>
          <t>config/bayesian_models/conduct_result_v1.json -&gt; nodes[temporal_consistency].prior</t>
        </is>
      </c>
      <c r="T5" s="3" t="inlineStr">
        <is>
          <t>否</t>
        </is>
      </c>
      <c r="U5" s="3" t="inlineStr"/>
    </row>
    <row r="6">
      <c r="A6" s="2" t="inlineStr">
        <is>
          <t>CAND-005</t>
        </is>
      </c>
      <c r="B6" s="2" t="inlineStr">
        <is>
          <t>conduct_result</t>
        </is>
      </c>
      <c r="C6" s="2" t="inlineStr">
        <is>
          <t>1</t>
        </is>
      </c>
      <c r="D6" s="3" t="inlineStr"/>
      <c r="E6" s="2" t="inlineStr">
        <is>
          <t>alternative_cause</t>
        </is>
      </c>
      <c r="F6" s="2" t="inlineStr">
        <is>
          <t>prior</t>
        </is>
      </c>
      <c r="G6" s="2" t="inlineStr"/>
      <c r="H6" s="2" t="n">
        <v>0.2</v>
      </c>
      <c r="I6" s="3" t="inlineStr"/>
      <c r="J6" s="3" t="inlineStr">
        <is>
          <t>Beta-Binomial后验</t>
        </is>
      </c>
      <c r="K6" s="3" t="inlineStr"/>
      <c r="L6" s="3" t="inlineStr"/>
      <c r="M6" s="3" t="inlineStr"/>
      <c r="N6" s="3" t="inlineStr"/>
      <c r="O6" s="3" t="inlineStr">
        <is>
          <t>待复核</t>
        </is>
      </c>
      <c r="P6" s="3" t="inlineStr">
        <is>
          <t>未开始</t>
        </is>
      </c>
      <c r="Q6" s="3" t="inlineStr">
        <is>
          <t>草稿</t>
        </is>
      </c>
      <c r="R6" s="3" t="inlineStr"/>
      <c r="S6" s="3" t="inlineStr">
        <is>
          <t>config/bayesian_models/conduct_result_v1.json -&gt; nodes[alternative_cause].prior</t>
        </is>
      </c>
      <c r="T6" s="3" t="inlineStr">
        <is>
          <t>否</t>
        </is>
      </c>
      <c r="U6" s="3" t="inlineStr"/>
    </row>
    <row r="7">
      <c r="A7" s="2" t="inlineStr">
        <is>
          <t>CAND-006</t>
        </is>
      </c>
      <c r="B7" s="2" t="inlineStr">
        <is>
          <t>conduct_result</t>
        </is>
      </c>
      <c r="C7" s="2" t="inlineStr">
        <is>
          <t>1</t>
        </is>
      </c>
      <c r="D7" s="3" t="inlineStr"/>
      <c r="E7" s="2" t="inlineStr">
        <is>
          <t>causation</t>
        </is>
      </c>
      <c r="F7" s="2" t="inlineStr">
        <is>
          <t>intercept</t>
        </is>
      </c>
      <c r="G7" s="2" t="inlineStr"/>
      <c r="H7" s="2" t="n">
        <v>-3</v>
      </c>
      <c r="I7" s="3" t="inlineStr"/>
      <c r="J7" s="3" t="inlineStr">
        <is>
          <t>带正则化的加权二项逻辑回归</t>
        </is>
      </c>
      <c r="K7" s="3" t="inlineStr"/>
      <c r="L7" s="3" t="inlineStr"/>
      <c r="M7" s="3" t="inlineStr"/>
      <c r="N7" s="3" t="inlineStr"/>
      <c r="O7" s="3" t="inlineStr">
        <is>
          <t>待复核</t>
        </is>
      </c>
      <c r="P7" s="3" t="inlineStr">
        <is>
          <t>未开始</t>
        </is>
      </c>
      <c r="Q7" s="3" t="inlineStr">
        <is>
          <t>草稿</t>
        </is>
      </c>
      <c r="R7" s="3" t="inlineStr"/>
      <c r="S7" s="3" t="inlineStr">
        <is>
          <t>config/bayesian_models/conduct_result_v1.json -&gt; nodes[causation].intercept</t>
        </is>
      </c>
      <c r="T7" s="3" t="inlineStr">
        <is>
          <t>否</t>
        </is>
      </c>
      <c r="U7" s="3" t="inlineStr"/>
    </row>
    <row r="8">
      <c r="A8" s="2" t="inlineStr">
        <is>
          <t>CAND-007</t>
        </is>
      </c>
      <c r="B8" s="2" t="inlineStr">
        <is>
          <t>conduct_result</t>
        </is>
      </c>
      <c r="C8" s="2" t="inlineStr">
        <is>
          <t>1</t>
        </is>
      </c>
      <c r="D8" s="3" t="inlineStr"/>
      <c r="E8" s="2" t="inlineStr">
        <is>
          <t>causation</t>
        </is>
      </c>
      <c r="F8" s="2" t="inlineStr">
        <is>
          <t>weight</t>
        </is>
      </c>
      <c r="G8" s="2" t="inlineStr">
        <is>
          <t>conduct</t>
        </is>
      </c>
      <c r="H8" s="2" t="n">
        <v>1.8</v>
      </c>
      <c r="I8" s="3" t="inlineStr"/>
      <c r="J8" s="3" t="inlineStr">
        <is>
          <t>带正则化的加权二项逻辑回归</t>
        </is>
      </c>
      <c r="K8" s="3" t="inlineStr"/>
      <c r="L8" s="3" t="inlineStr"/>
      <c r="M8" s="3" t="inlineStr"/>
      <c r="N8" s="3" t="inlineStr"/>
      <c r="O8" s="3" t="inlineStr">
        <is>
          <t>待复核</t>
        </is>
      </c>
      <c r="P8" s="3" t="inlineStr">
        <is>
          <t>未开始</t>
        </is>
      </c>
      <c r="Q8" s="3" t="inlineStr">
        <is>
          <t>草稿</t>
        </is>
      </c>
      <c r="R8" s="3" t="inlineStr"/>
      <c r="S8" s="3" t="inlineStr">
        <is>
          <t>config/bayesian_models/conduct_result_v1.json -&gt; nodes[causation].weights.conduct</t>
        </is>
      </c>
      <c r="T8" s="3" t="inlineStr">
        <is>
          <t>否</t>
        </is>
      </c>
      <c r="U8" s="3" t="inlineStr"/>
    </row>
    <row r="9">
      <c r="A9" s="2" t="inlineStr">
        <is>
          <t>CAND-008</t>
        </is>
      </c>
      <c r="B9" s="2" t="inlineStr">
        <is>
          <t>conduct_result</t>
        </is>
      </c>
      <c r="C9" s="2" t="inlineStr">
        <is>
          <t>1</t>
        </is>
      </c>
      <c r="D9" s="3" t="inlineStr"/>
      <c r="E9" s="2" t="inlineStr">
        <is>
          <t>causation</t>
        </is>
      </c>
      <c r="F9" s="2" t="inlineStr">
        <is>
          <t>weight</t>
        </is>
      </c>
      <c r="G9" s="2" t="inlineStr">
        <is>
          <t>result_exists</t>
        </is>
      </c>
      <c r="H9" s="2" t="n">
        <v>1.2</v>
      </c>
      <c r="I9" s="3" t="inlineStr"/>
      <c r="J9" s="3" t="inlineStr">
        <is>
          <t>带正则化的加权二项逻辑回归</t>
        </is>
      </c>
      <c r="K9" s="3" t="inlineStr"/>
      <c r="L9" s="3" t="inlineStr"/>
      <c r="M9" s="3" t="inlineStr"/>
      <c r="N9" s="3" t="inlineStr"/>
      <c r="O9" s="3" t="inlineStr">
        <is>
          <t>待复核</t>
        </is>
      </c>
      <c r="P9" s="3" t="inlineStr">
        <is>
          <t>未开始</t>
        </is>
      </c>
      <c r="Q9" s="3" t="inlineStr">
        <is>
          <t>草稿</t>
        </is>
      </c>
      <c r="R9" s="3" t="inlineStr"/>
      <c r="S9" s="3" t="inlineStr">
        <is>
          <t>config/bayesian_models/conduct_result_v1.json -&gt; nodes[causation].weights.result_exists</t>
        </is>
      </c>
      <c r="T9" s="3" t="inlineStr">
        <is>
          <t>否</t>
        </is>
      </c>
      <c r="U9" s="3" t="inlineStr"/>
    </row>
    <row r="10">
      <c r="A10" s="2" t="inlineStr">
        <is>
          <t>CAND-009</t>
        </is>
      </c>
      <c r="B10" s="2" t="inlineStr">
        <is>
          <t>conduct_result</t>
        </is>
      </c>
      <c r="C10" s="2" t="inlineStr">
        <is>
          <t>1</t>
        </is>
      </c>
      <c r="D10" s="3" t="inlineStr"/>
      <c r="E10" s="2" t="inlineStr">
        <is>
          <t>causation</t>
        </is>
      </c>
      <c r="F10" s="2" t="inlineStr">
        <is>
          <t>weight</t>
        </is>
      </c>
      <c r="G10" s="2" t="inlineStr">
        <is>
          <t>mechanism_consistency</t>
        </is>
      </c>
      <c r="H10" s="2" t="n">
        <v>1.5</v>
      </c>
      <c r="I10" s="3" t="inlineStr"/>
      <c r="J10" s="3" t="inlineStr">
        <is>
          <t>带正则化的加权二项逻辑回归</t>
        </is>
      </c>
      <c r="K10" s="3" t="inlineStr"/>
      <c r="L10" s="3" t="inlineStr"/>
      <c r="M10" s="3" t="inlineStr"/>
      <c r="N10" s="3" t="inlineStr"/>
      <c r="O10" s="3" t="inlineStr">
        <is>
          <t>待复核</t>
        </is>
      </c>
      <c r="P10" s="3" t="inlineStr">
        <is>
          <t>未开始</t>
        </is>
      </c>
      <c r="Q10" s="3" t="inlineStr">
        <is>
          <t>草稿</t>
        </is>
      </c>
      <c r="R10" s="3" t="inlineStr"/>
      <c r="S10" s="3" t="inlineStr">
        <is>
          <t>config/bayesian_models/conduct_result_v1.json -&gt; nodes[causation].weights.mechanism_consistency</t>
        </is>
      </c>
      <c r="T10" s="3" t="inlineStr">
        <is>
          <t>否</t>
        </is>
      </c>
      <c r="U10" s="3" t="inlineStr"/>
    </row>
    <row r="11">
      <c r="A11" s="2" t="inlineStr">
        <is>
          <t>CAND-010</t>
        </is>
      </c>
      <c r="B11" s="2" t="inlineStr">
        <is>
          <t>conduct_result</t>
        </is>
      </c>
      <c r="C11" s="2" t="inlineStr">
        <is>
          <t>1</t>
        </is>
      </c>
      <c r="D11" s="3" t="inlineStr"/>
      <c r="E11" s="2" t="inlineStr">
        <is>
          <t>causation</t>
        </is>
      </c>
      <c r="F11" s="2" t="inlineStr">
        <is>
          <t>weight</t>
        </is>
      </c>
      <c r="G11" s="2" t="inlineStr">
        <is>
          <t>temporal_consistency</t>
        </is>
      </c>
      <c r="H11" s="2" t="n">
        <v>1.1</v>
      </c>
      <c r="I11" s="3" t="inlineStr"/>
      <c r="J11" s="3" t="inlineStr">
        <is>
          <t>带正则化的加权二项逻辑回归</t>
        </is>
      </c>
      <c r="K11" s="3" t="inlineStr"/>
      <c r="L11" s="3" t="inlineStr"/>
      <c r="M11" s="3" t="inlineStr"/>
      <c r="N11" s="3" t="inlineStr"/>
      <c r="O11" s="3" t="inlineStr">
        <is>
          <t>待复核</t>
        </is>
      </c>
      <c r="P11" s="3" t="inlineStr">
        <is>
          <t>未开始</t>
        </is>
      </c>
      <c r="Q11" s="3" t="inlineStr">
        <is>
          <t>草稿</t>
        </is>
      </c>
      <c r="R11" s="3" t="inlineStr"/>
      <c r="S11" s="3" t="inlineStr">
        <is>
          <t>config/bayesian_models/conduct_result_v1.json -&gt; nodes[causation].weights.temporal_consistency</t>
        </is>
      </c>
      <c r="T11" s="3" t="inlineStr">
        <is>
          <t>否</t>
        </is>
      </c>
      <c r="U11" s="3" t="inlineStr"/>
    </row>
    <row r="12">
      <c r="A12" s="2" t="inlineStr">
        <is>
          <t>CAND-011</t>
        </is>
      </c>
      <c r="B12" s="2" t="inlineStr">
        <is>
          <t>conduct_result</t>
        </is>
      </c>
      <c r="C12" s="2" t="inlineStr">
        <is>
          <t>1</t>
        </is>
      </c>
      <c r="D12" s="3" t="inlineStr"/>
      <c r="E12" s="2" t="inlineStr">
        <is>
          <t>causation</t>
        </is>
      </c>
      <c r="F12" s="2" t="inlineStr">
        <is>
          <t>weight</t>
        </is>
      </c>
      <c r="G12" s="2" t="inlineStr">
        <is>
          <t>alternative_cause</t>
        </is>
      </c>
      <c r="H12" s="2" t="n">
        <v>-2.5</v>
      </c>
      <c r="I12" s="3" t="inlineStr"/>
      <c r="J12" s="3" t="inlineStr">
        <is>
          <t>带正则化的加权二项逻辑回归</t>
        </is>
      </c>
      <c r="K12" s="3" t="inlineStr"/>
      <c r="L12" s="3" t="inlineStr"/>
      <c r="M12" s="3" t="inlineStr"/>
      <c r="N12" s="3" t="inlineStr"/>
      <c r="O12" s="3" t="inlineStr">
        <is>
          <t>待复核</t>
        </is>
      </c>
      <c r="P12" s="3" t="inlineStr">
        <is>
          <t>未开始</t>
        </is>
      </c>
      <c r="Q12" s="3" t="inlineStr">
        <is>
          <t>草稿</t>
        </is>
      </c>
      <c r="R12" s="3" t="inlineStr"/>
      <c r="S12" s="3" t="inlineStr">
        <is>
          <t>config/bayesian_models/conduct_result_v1.json -&gt; nodes[causation].weights.alternative_cause</t>
        </is>
      </c>
      <c r="T12" s="3" t="inlineStr">
        <is>
          <t>否</t>
        </is>
      </c>
      <c r="U12" s="3" t="inlineStr"/>
    </row>
    <row r="13">
      <c r="A13" s="2" t="inlineStr">
        <is>
          <t>CAND-012</t>
        </is>
      </c>
      <c r="B13" s="2" t="inlineStr">
        <is>
          <t>deception_disposition</t>
        </is>
      </c>
      <c r="C13" s="2" t="inlineStr">
        <is>
          <t>1.0.0</t>
        </is>
      </c>
      <c r="D13" s="3" t="inlineStr"/>
      <c r="E13" s="2" t="inlineStr">
        <is>
          <t>deceptive_representation</t>
        </is>
      </c>
      <c r="F13" s="2" t="inlineStr">
        <is>
          <t>prior</t>
        </is>
      </c>
      <c r="G13" s="2" t="inlineStr"/>
      <c r="H13" s="2" t="n">
        <v>0.2</v>
      </c>
      <c r="I13" s="3" t="inlineStr"/>
      <c r="J13" s="3" t="inlineStr">
        <is>
          <t>Beta-Binomial后验</t>
        </is>
      </c>
      <c r="K13" s="3" t="inlineStr"/>
      <c r="L13" s="3" t="inlineStr"/>
      <c r="M13" s="3" t="inlineStr"/>
      <c r="N13" s="3" t="inlineStr"/>
      <c r="O13" s="3" t="inlineStr">
        <is>
          <t>待复核</t>
        </is>
      </c>
      <c r="P13" s="3" t="inlineStr">
        <is>
          <t>未开始</t>
        </is>
      </c>
      <c r="Q13" s="3" t="inlineStr">
        <is>
          <t>草稿</t>
        </is>
      </c>
      <c r="R13" s="3" t="inlineStr"/>
      <c r="S13" s="3" t="inlineStr">
        <is>
          <t>config/bayesian_models/deception_disposition_v1.json -&gt; nodes[deceptive_representation].prior</t>
        </is>
      </c>
      <c r="T13" s="3" t="inlineStr">
        <is>
          <t>否</t>
        </is>
      </c>
      <c r="U13" s="3" t="inlineStr"/>
    </row>
    <row r="14">
      <c r="A14" s="2" t="inlineStr">
        <is>
          <t>CAND-013</t>
        </is>
      </c>
      <c r="B14" s="2" t="inlineStr">
        <is>
          <t>deception_disposition</t>
        </is>
      </c>
      <c r="C14" s="2" t="inlineStr">
        <is>
          <t>1.0.0</t>
        </is>
      </c>
      <c r="D14" s="3" t="inlineStr"/>
      <c r="E14" s="2" t="inlineStr">
        <is>
          <t>mistaken_belief</t>
        </is>
      </c>
      <c r="F14" s="2" t="inlineStr">
        <is>
          <t>prior</t>
        </is>
      </c>
      <c r="G14" s="2" t="inlineStr"/>
      <c r="H14" s="2" t="n">
        <v>0.2</v>
      </c>
      <c r="I14" s="3" t="inlineStr"/>
      <c r="J14" s="3" t="inlineStr">
        <is>
          <t>Beta-Binomial后验</t>
        </is>
      </c>
      <c r="K14" s="3" t="inlineStr"/>
      <c r="L14" s="3" t="inlineStr"/>
      <c r="M14" s="3" t="inlineStr"/>
      <c r="N14" s="3" t="inlineStr"/>
      <c r="O14" s="3" t="inlineStr">
        <is>
          <t>待复核</t>
        </is>
      </c>
      <c r="P14" s="3" t="inlineStr">
        <is>
          <t>未开始</t>
        </is>
      </c>
      <c r="Q14" s="3" t="inlineStr">
        <is>
          <t>草稿</t>
        </is>
      </c>
      <c r="R14" s="3" t="inlineStr"/>
      <c r="S14" s="3" t="inlineStr">
        <is>
          <t>config/bayesian_models/deception_disposition_v1.json -&gt; nodes[mistaken_belief].prior</t>
        </is>
      </c>
      <c r="T14" s="3" t="inlineStr">
        <is>
          <t>否</t>
        </is>
      </c>
      <c r="U14" s="3" t="inlineStr"/>
    </row>
    <row r="15">
      <c r="A15" s="2" t="inlineStr">
        <is>
          <t>CAND-014</t>
        </is>
      </c>
      <c r="B15" s="2" t="inlineStr">
        <is>
          <t>deception_disposition</t>
        </is>
      </c>
      <c r="C15" s="2" t="inlineStr">
        <is>
          <t>1.0.0</t>
        </is>
      </c>
      <c r="D15" s="3" t="inlineStr"/>
      <c r="E15" s="2" t="inlineStr">
        <is>
          <t>property_disposition</t>
        </is>
      </c>
      <c r="F15" s="2" t="inlineStr">
        <is>
          <t>prior</t>
        </is>
      </c>
      <c r="G15" s="2" t="inlineStr"/>
      <c r="H15" s="2" t="n">
        <v>0.2</v>
      </c>
      <c r="I15" s="3" t="inlineStr"/>
      <c r="J15" s="3" t="inlineStr">
        <is>
          <t>Beta-Binomial后验</t>
        </is>
      </c>
      <c r="K15" s="3" t="inlineStr"/>
      <c r="L15" s="3" t="inlineStr"/>
      <c r="M15" s="3" t="inlineStr"/>
      <c r="N15" s="3" t="inlineStr"/>
      <c r="O15" s="3" t="inlineStr">
        <is>
          <t>待复核</t>
        </is>
      </c>
      <c r="P15" s="3" t="inlineStr">
        <is>
          <t>未开始</t>
        </is>
      </c>
      <c r="Q15" s="3" t="inlineStr">
        <is>
          <t>草稿</t>
        </is>
      </c>
      <c r="R15" s="3" t="inlineStr"/>
      <c r="S15" s="3" t="inlineStr">
        <is>
          <t>config/bayesian_models/deception_disposition_v1.json -&gt; nodes[property_disposition].prior</t>
        </is>
      </c>
      <c r="T15" s="3" t="inlineStr">
        <is>
          <t>否</t>
        </is>
      </c>
      <c r="U15" s="3" t="inlineStr"/>
    </row>
    <row r="16">
      <c r="A16" s="2" t="inlineStr">
        <is>
          <t>CAND-015</t>
        </is>
      </c>
      <c r="B16" s="2" t="inlineStr">
        <is>
          <t>deception_disposition</t>
        </is>
      </c>
      <c r="C16" s="2" t="inlineStr">
        <is>
          <t>1.0.0</t>
        </is>
      </c>
      <c r="D16" s="3" t="inlineStr"/>
      <c r="E16" s="2" t="inlineStr">
        <is>
          <t>property_loss</t>
        </is>
      </c>
      <c r="F16" s="2" t="inlineStr">
        <is>
          <t>prior</t>
        </is>
      </c>
      <c r="G16" s="2" t="inlineStr"/>
      <c r="H16" s="2" t="n">
        <v>0.2</v>
      </c>
      <c r="I16" s="3" t="inlineStr"/>
      <c r="J16" s="3" t="inlineStr">
        <is>
          <t>Beta-Binomial后验</t>
        </is>
      </c>
      <c r="K16" s="3" t="inlineStr"/>
      <c r="L16" s="3" t="inlineStr"/>
      <c r="M16" s="3" t="inlineStr"/>
      <c r="N16" s="3" t="inlineStr"/>
      <c r="O16" s="3" t="inlineStr">
        <is>
          <t>待复核</t>
        </is>
      </c>
      <c r="P16" s="3" t="inlineStr">
        <is>
          <t>未开始</t>
        </is>
      </c>
      <c r="Q16" s="3" t="inlineStr">
        <is>
          <t>草稿</t>
        </is>
      </c>
      <c r="R16" s="3" t="inlineStr"/>
      <c r="S16" s="3" t="inlineStr">
        <is>
          <t>config/bayesian_models/deception_disposition_v1.json -&gt; nodes[property_loss].prior</t>
        </is>
      </c>
      <c r="T16" s="3" t="inlineStr">
        <is>
          <t>否</t>
        </is>
      </c>
      <c r="U16" s="3" t="inlineStr"/>
    </row>
    <row r="17">
      <c r="A17" s="2" t="inlineStr">
        <is>
          <t>CAND-016</t>
        </is>
      </c>
      <c r="B17" s="2" t="inlineStr">
        <is>
          <t>deception_disposition</t>
        </is>
      </c>
      <c r="C17" s="2" t="inlineStr">
        <is>
          <t>1.0.0</t>
        </is>
      </c>
      <c r="D17" s="3" t="inlineStr"/>
      <c r="E17" s="2" t="inlineStr">
        <is>
          <t>alternative_explanation</t>
        </is>
      </c>
      <c r="F17" s="2" t="inlineStr">
        <is>
          <t>prior</t>
        </is>
      </c>
      <c r="G17" s="2" t="inlineStr"/>
      <c r="H17" s="2" t="n">
        <v>0.2</v>
      </c>
      <c r="I17" s="3" t="inlineStr"/>
      <c r="J17" s="3" t="inlineStr">
        <is>
          <t>Beta-Binomial后验</t>
        </is>
      </c>
      <c r="K17" s="3" t="inlineStr"/>
      <c r="L17" s="3" t="inlineStr"/>
      <c r="M17" s="3" t="inlineStr"/>
      <c r="N17" s="3" t="inlineStr"/>
      <c r="O17" s="3" t="inlineStr">
        <is>
          <t>待复核</t>
        </is>
      </c>
      <c r="P17" s="3" t="inlineStr">
        <is>
          <t>未开始</t>
        </is>
      </c>
      <c r="Q17" s="3" t="inlineStr">
        <is>
          <t>草稿</t>
        </is>
      </c>
      <c r="R17" s="3" t="inlineStr"/>
      <c r="S17" s="3" t="inlineStr">
        <is>
          <t>config/bayesian_models/deception_disposition_v1.json -&gt; nodes[alternative_explanation].prior</t>
        </is>
      </c>
      <c r="T17" s="3" t="inlineStr">
        <is>
          <t>否</t>
        </is>
      </c>
      <c r="U17" s="3" t="inlineStr"/>
    </row>
    <row r="18">
      <c r="A18" s="2" t="inlineStr">
        <is>
          <t>CAND-017</t>
        </is>
      </c>
      <c r="B18" s="2" t="inlineStr">
        <is>
          <t>deception_disposition</t>
        </is>
      </c>
      <c r="C18" s="2" t="inlineStr">
        <is>
          <t>1.0.0</t>
        </is>
      </c>
      <c r="D18" s="3" t="inlineStr"/>
      <c r="E18" s="2" t="inlineStr">
        <is>
          <t>disposition_link</t>
        </is>
      </c>
      <c r="F18" s="2" t="inlineStr">
        <is>
          <t>intercept</t>
        </is>
      </c>
      <c r="G18" s="2" t="inlineStr"/>
      <c r="H18" s="2" t="n">
        <v>-2.4</v>
      </c>
      <c r="I18" s="3" t="inlineStr"/>
      <c r="J18" s="3" t="inlineStr">
        <is>
          <t>带正则化的加权二项逻辑回归</t>
        </is>
      </c>
      <c r="K18" s="3" t="inlineStr"/>
      <c r="L18" s="3" t="inlineStr"/>
      <c r="M18" s="3" t="inlineStr"/>
      <c r="N18" s="3" t="inlineStr"/>
      <c r="O18" s="3" t="inlineStr">
        <is>
          <t>待复核</t>
        </is>
      </c>
      <c r="P18" s="3" t="inlineStr">
        <is>
          <t>未开始</t>
        </is>
      </c>
      <c r="Q18" s="3" t="inlineStr">
        <is>
          <t>草稿</t>
        </is>
      </c>
      <c r="R18" s="3" t="inlineStr"/>
      <c r="S18" s="3" t="inlineStr">
        <is>
          <t>config/bayesian_models/deception_disposition_v1.json -&gt; nodes[disposition_link].intercept</t>
        </is>
      </c>
      <c r="T18" s="3" t="inlineStr">
        <is>
          <t>否</t>
        </is>
      </c>
      <c r="U18" s="3" t="inlineStr"/>
    </row>
    <row r="19">
      <c r="A19" s="2" t="inlineStr">
        <is>
          <t>CAND-018</t>
        </is>
      </c>
      <c r="B19" s="2" t="inlineStr">
        <is>
          <t>deception_disposition</t>
        </is>
      </c>
      <c r="C19" s="2" t="inlineStr">
        <is>
          <t>1.0.0</t>
        </is>
      </c>
      <c r="D19" s="3" t="inlineStr"/>
      <c r="E19" s="2" t="inlineStr">
        <is>
          <t>disposition_link</t>
        </is>
      </c>
      <c r="F19" s="2" t="inlineStr">
        <is>
          <t>weight</t>
        </is>
      </c>
      <c r="G19" s="2" t="inlineStr">
        <is>
          <t>deceptive_representation</t>
        </is>
      </c>
      <c r="H19" s="2" t="n">
        <v>1.4</v>
      </c>
      <c r="I19" s="3" t="inlineStr"/>
      <c r="J19" s="3" t="inlineStr">
        <is>
          <t>带正则化的加权二项逻辑回归</t>
        </is>
      </c>
      <c r="K19" s="3" t="inlineStr"/>
      <c r="L19" s="3" t="inlineStr"/>
      <c r="M19" s="3" t="inlineStr"/>
      <c r="N19" s="3" t="inlineStr"/>
      <c r="O19" s="3" t="inlineStr">
        <is>
          <t>待复核</t>
        </is>
      </c>
      <c r="P19" s="3" t="inlineStr">
        <is>
          <t>未开始</t>
        </is>
      </c>
      <c r="Q19" s="3" t="inlineStr">
        <is>
          <t>草稿</t>
        </is>
      </c>
      <c r="R19" s="3" t="inlineStr"/>
      <c r="S19" s="3" t="inlineStr">
        <is>
          <t>config/bayesian_models/deception_disposition_v1.json -&gt; nodes[disposition_link].weights.deceptive_representation</t>
        </is>
      </c>
      <c r="T19" s="3" t="inlineStr">
        <is>
          <t>否</t>
        </is>
      </c>
      <c r="U19" s="3" t="inlineStr"/>
    </row>
    <row r="20">
      <c r="A20" s="2" t="inlineStr">
        <is>
          <t>CAND-019</t>
        </is>
      </c>
      <c r="B20" s="2" t="inlineStr">
        <is>
          <t>deception_disposition</t>
        </is>
      </c>
      <c r="C20" s="2" t="inlineStr">
        <is>
          <t>1.0.0</t>
        </is>
      </c>
      <c r="D20" s="3" t="inlineStr"/>
      <c r="E20" s="2" t="inlineStr">
        <is>
          <t>disposition_link</t>
        </is>
      </c>
      <c r="F20" s="2" t="inlineStr">
        <is>
          <t>weight</t>
        </is>
      </c>
      <c r="G20" s="2" t="inlineStr">
        <is>
          <t>mistaken_belief</t>
        </is>
      </c>
      <c r="H20" s="2" t="n">
        <v>1.2</v>
      </c>
      <c r="I20" s="3" t="inlineStr"/>
      <c r="J20" s="3" t="inlineStr">
        <is>
          <t>带正则化的加权二项逻辑回归</t>
        </is>
      </c>
      <c r="K20" s="3" t="inlineStr"/>
      <c r="L20" s="3" t="inlineStr"/>
      <c r="M20" s="3" t="inlineStr"/>
      <c r="N20" s="3" t="inlineStr"/>
      <c r="O20" s="3" t="inlineStr">
        <is>
          <t>待复核</t>
        </is>
      </c>
      <c r="P20" s="3" t="inlineStr">
        <is>
          <t>未开始</t>
        </is>
      </c>
      <c r="Q20" s="3" t="inlineStr">
        <is>
          <t>草稿</t>
        </is>
      </c>
      <c r="R20" s="3" t="inlineStr"/>
      <c r="S20" s="3" t="inlineStr">
        <is>
          <t>config/bayesian_models/deception_disposition_v1.json -&gt; nodes[disposition_link].weights.mistaken_belief</t>
        </is>
      </c>
      <c r="T20" s="3" t="inlineStr">
        <is>
          <t>否</t>
        </is>
      </c>
      <c r="U20" s="3" t="inlineStr"/>
    </row>
    <row r="21">
      <c r="A21" s="2" t="inlineStr">
        <is>
          <t>CAND-020</t>
        </is>
      </c>
      <c r="B21" s="2" t="inlineStr">
        <is>
          <t>deception_disposition</t>
        </is>
      </c>
      <c r="C21" s="2" t="inlineStr">
        <is>
          <t>1.0.0</t>
        </is>
      </c>
      <c r="D21" s="3" t="inlineStr"/>
      <c r="E21" s="2" t="inlineStr">
        <is>
          <t>disposition_link</t>
        </is>
      </c>
      <c r="F21" s="2" t="inlineStr">
        <is>
          <t>weight</t>
        </is>
      </c>
      <c r="G21" s="2" t="inlineStr">
        <is>
          <t>property_disposition</t>
        </is>
      </c>
      <c r="H21" s="2" t="n">
        <v>1.4</v>
      </c>
      <c r="I21" s="3" t="inlineStr"/>
      <c r="J21" s="3" t="inlineStr">
        <is>
          <t>带正则化的加权二项逻辑回归</t>
        </is>
      </c>
      <c r="K21" s="3" t="inlineStr"/>
      <c r="L21" s="3" t="inlineStr"/>
      <c r="M21" s="3" t="inlineStr"/>
      <c r="N21" s="3" t="inlineStr"/>
      <c r="O21" s="3" t="inlineStr">
        <is>
          <t>待复核</t>
        </is>
      </c>
      <c r="P21" s="3" t="inlineStr">
        <is>
          <t>未开始</t>
        </is>
      </c>
      <c r="Q21" s="3" t="inlineStr">
        <is>
          <t>草稿</t>
        </is>
      </c>
      <c r="R21" s="3" t="inlineStr"/>
      <c r="S21" s="3" t="inlineStr">
        <is>
          <t>config/bayesian_models/deception_disposition_v1.json -&gt; nodes[disposition_link].weights.property_disposition</t>
        </is>
      </c>
      <c r="T21" s="3" t="inlineStr">
        <is>
          <t>否</t>
        </is>
      </c>
      <c r="U21" s="3" t="inlineStr"/>
    </row>
    <row r="22">
      <c r="A22" s="2" t="inlineStr">
        <is>
          <t>CAND-021</t>
        </is>
      </c>
      <c r="B22" s="2" t="inlineStr">
        <is>
          <t>deception_disposition</t>
        </is>
      </c>
      <c r="C22" s="2" t="inlineStr">
        <is>
          <t>1.0.0</t>
        </is>
      </c>
      <c r="D22" s="3" t="inlineStr"/>
      <c r="E22" s="2" t="inlineStr">
        <is>
          <t>disposition_link</t>
        </is>
      </c>
      <c r="F22" s="2" t="inlineStr">
        <is>
          <t>weight</t>
        </is>
      </c>
      <c r="G22" s="2" t="inlineStr">
        <is>
          <t>property_loss</t>
        </is>
      </c>
      <c r="H22" s="2" t="n">
        <v>0.8</v>
      </c>
      <c r="I22" s="3" t="inlineStr"/>
      <c r="J22" s="3" t="inlineStr">
        <is>
          <t>带正则化的加权二项逻辑回归</t>
        </is>
      </c>
      <c r="K22" s="3" t="inlineStr"/>
      <c r="L22" s="3" t="inlineStr"/>
      <c r="M22" s="3" t="inlineStr"/>
      <c r="N22" s="3" t="inlineStr"/>
      <c r="O22" s="3" t="inlineStr">
        <is>
          <t>待复核</t>
        </is>
      </c>
      <c r="P22" s="3" t="inlineStr">
        <is>
          <t>未开始</t>
        </is>
      </c>
      <c r="Q22" s="3" t="inlineStr">
        <is>
          <t>草稿</t>
        </is>
      </c>
      <c r="R22" s="3" t="inlineStr"/>
      <c r="S22" s="3" t="inlineStr">
        <is>
          <t>config/bayesian_models/deception_disposition_v1.json -&gt; nodes[disposition_link].weights.property_loss</t>
        </is>
      </c>
      <c r="T22" s="3" t="inlineStr">
        <is>
          <t>否</t>
        </is>
      </c>
      <c r="U22" s="3" t="inlineStr"/>
    </row>
    <row r="23">
      <c r="A23" s="2" t="inlineStr">
        <is>
          <t>CAND-022</t>
        </is>
      </c>
      <c r="B23" s="2" t="inlineStr">
        <is>
          <t>deception_disposition</t>
        </is>
      </c>
      <c r="C23" s="2" t="inlineStr">
        <is>
          <t>1.0.0</t>
        </is>
      </c>
      <c r="D23" s="3" t="inlineStr"/>
      <c r="E23" s="2" t="inlineStr">
        <is>
          <t>disposition_link</t>
        </is>
      </c>
      <c r="F23" s="2" t="inlineStr">
        <is>
          <t>weight</t>
        </is>
      </c>
      <c r="G23" s="2" t="inlineStr">
        <is>
          <t>alternative_explanation</t>
        </is>
      </c>
      <c r="H23" s="2" t="n">
        <v>-1.6</v>
      </c>
      <c r="I23" s="3" t="inlineStr"/>
      <c r="J23" s="3" t="inlineStr">
        <is>
          <t>带正则化的加权二项逻辑回归</t>
        </is>
      </c>
      <c r="K23" s="3" t="inlineStr"/>
      <c r="L23" s="3" t="inlineStr"/>
      <c r="M23" s="3" t="inlineStr"/>
      <c r="N23" s="3" t="inlineStr"/>
      <c r="O23" s="3" t="inlineStr">
        <is>
          <t>待复核</t>
        </is>
      </c>
      <c r="P23" s="3" t="inlineStr">
        <is>
          <t>未开始</t>
        </is>
      </c>
      <c r="Q23" s="3" t="inlineStr">
        <is>
          <t>草稿</t>
        </is>
      </c>
      <c r="R23" s="3" t="inlineStr"/>
      <c r="S23" s="3" t="inlineStr">
        <is>
          <t>config/bayesian_models/deception_disposition_v1.json -&gt; nodes[disposition_link].weights.alternative_explanation</t>
        </is>
      </c>
      <c r="T23" s="3" t="inlineStr">
        <is>
          <t>否</t>
        </is>
      </c>
      <c r="U23" s="3" t="inlineStr"/>
    </row>
    <row r="24">
      <c r="A24" s="2" t="inlineStr">
        <is>
          <t>CAND-023</t>
        </is>
      </c>
      <c r="B24" s="2" t="inlineStr">
        <is>
          <t>property_taking</t>
        </is>
      </c>
      <c r="C24" s="2" t="inlineStr">
        <is>
          <t>1</t>
        </is>
      </c>
      <c r="D24" s="3" t="inlineStr"/>
      <c r="E24" s="2" t="inlineStr">
        <is>
          <t>prior_possession</t>
        </is>
      </c>
      <c r="F24" s="2" t="inlineStr">
        <is>
          <t>prior</t>
        </is>
      </c>
      <c r="G24" s="2" t="inlineStr"/>
      <c r="H24" s="2" t="n">
        <v>0.2</v>
      </c>
      <c r="I24" s="3" t="inlineStr"/>
      <c r="J24" s="3" t="inlineStr">
        <is>
          <t>Beta-Binomial后验</t>
        </is>
      </c>
      <c r="K24" s="3" t="inlineStr"/>
      <c r="L24" s="3" t="inlineStr"/>
      <c r="M24" s="3" t="inlineStr"/>
      <c r="N24" s="3" t="inlineStr"/>
      <c r="O24" s="3" t="inlineStr">
        <is>
          <t>待复核</t>
        </is>
      </c>
      <c r="P24" s="3" t="inlineStr">
        <is>
          <t>未开始</t>
        </is>
      </c>
      <c r="Q24" s="3" t="inlineStr">
        <is>
          <t>草稿</t>
        </is>
      </c>
      <c r="R24" s="3" t="inlineStr"/>
      <c r="S24" s="3" t="inlineStr">
        <is>
          <t>config/bayesian_models/property_taking_v1.json -&gt; nodes[prior_possession].prior</t>
        </is>
      </c>
      <c r="T24" s="3" t="inlineStr">
        <is>
          <t>否</t>
        </is>
      </c>
      <c r="U24" s="3" t="inlineStr"/>
    </row>
    <row r="25">
      <c r="A25" s="2" t="inlineStr">
        <is>
          <t>CAND-024</t>
        </is>
      </c>
      <c r="B25" s="2" t="inlineStr">
        <is>
          <t>property_taking</t>
        </is>
      </c>
      <c r="C25" s="2" t="inlineStr">
        <is>
          <t>1</t>
        </is>
      </c>
      <c r="D25" s="3" t="inlineStr"/>
      <c r="E25" s="2" t="inlineStr">
        <is>
          <t>taking_action</t>
        </is>
      </c>
      <c r="F25" s="2" t="inlineStr">
        <is>
          <t>prior</t>
        </is>
      </c>
      <c r="G25" s="2" t="inlineStr"/>
      <c r="H25" s="2" t="n">
        <v>0.1</v>
      </c>
      <c r="I25" s="3" t="inlineStr"/>
      <c r="J25" s="3" t="inlineStr">
        <is>
          <t>Beta-Binomial后验</t>
        </is>
      </c>
      <c r="K25" s="3" t="inlineStr"/>
      <c r="L25" s="3" t="inlineStr"/>
      <c r="M25" s="3" t="inlineStr"/>
      <c r="N25" s="3" t="inlineStr"/>
      <c r="O25" s="3" t="inlineStr">
        <is>
          <t>待复核</t>
        </is>
      </c>
      <c r="P25" s="3" t="inlineStr">
        <is>
          <t>未开始</t>
        </is>
      </c>
      <c r="Q25" s="3" t="inlineStr">
        <is>
          <t>草稿</t>
        </is>
      </c>
      <c r="R25" s="3" t="inlineStr"/>
      <c r="S25" s="3" t="inlineStr">
        <is>
          <t>config/bayesian_models/property_taking_v1.json -&gt; nodes[taking_action].prior</t>
        </is>
      </c>
      <c r="T25" s="3" t="inlineStr">
        <is>
          <t>否</t>
        </is>
      </c>
      <c r="U25" s="3" t="inlineStr"/>
    </row>
    <row r="26">
      <c r="A26" s="2" t="inlineStr">
        <is>
          <t>CAND-025</t>
        </is>
      </c>
      <c r="B26" s="2" t="inlineStr">
        <is>
          <t>property_taking</t>
        </is>
      </c>
      <c r="C26" s="2" t="inlineStr">
        <is>
          <t>1</t>
        </is>
      </c>
      <c r="D26" s="3" t="inlineStr"/>
      <c r="E26" s="2" t="inlineStr">
        <is>
          <t>possession_transfer</t>
        </is>
      </c>
      <c r="F26" s="2" t="inlineStr">
        <is>
          <t>prior</t>
        </is>
      </c>
      <c r="G26" s="2" t="inlineStr"/>
      <c r="H26" s="2" t="n">
        <v>0.1</v>
      </c>
      <c r="I26" s="3" t="inlineStr"/>
      <c r="J26" s="3" t="inlineStr">
        <is>
          <t>Beta-Binomial后验</t>
        </is>
      </c>
      <c r="K26" s="3" t="inlineStr"/>
      <c r="L26" s="3" t="inlineStr"/>
      <c r="M26" s="3" t="inlineStr"/>
      <c r="N26" s="3" t="inlineStr"/>
      <c r="O26" s="3" t="inlineStr">
        <is>
          <t>待复核</t>
        </is>
      </c>
      <c r="P26" s="3" t="inlineStr">
        <is>
          <t>未开始</t>
        </is>
      </c>
      <c r="Q26" s="3" t="inlineStr">
        <is>
          <t>草稿</t>
        </is>
      </c>
      <c r="R26" s="3" t="inlineStr"/>
      <c r="S26" s="3" t="inlineStr">
        <is>
          <t>config/bayesian_models/property_taking_v1.json -&gt; nodes[possession_transfer].prior</t>
        </is>
      </c>
      <c r="T26" s="3" t="inlineStr">
        <is>
          <t>否</t>
        </is>
      </c>
      <c r="U26" s="3" t="inlineStr"/>
    </row>
    <row r="27">
      <c r="A27" s="2" t="inlineStr">
        <is>
          <t>CAND-026</t>
        </is>
      </c>
      <c r="B27" s="2" t="inlineStr">
        <is>
          <t>property_taking</t>
        </is>
      </c>
      <c r="C27" s="2" t="inlineStr">
        <is>
          <t>1</t>
        </is>
      </c>
      <c r="D27" s="3" t="inlineStr"/>
      <c r="E27" s="2" t="inlineStr">
        <is>
          <t>property_trace</t>
        </is>
      </c>
      <c r="F27" s="2" t="inlineStr">
        <is>
          <t>prior</t>
        </is>
      </c>
      <c r="G27" s="2" t="inlineStr"/>
      <c r="H27" s="2" t="n">
        <v>0.2</v>
      </c>
      <c r="I27" s="3" t="inlineStr"/>
      <c r="J27" s="3" t="inlineStr">
        <is>
          <t>Beta-Binomial后验</t>
        </is>
      </c>
      <c r="K27" s="3" t="inlineStr"/>
      <c r="L27" s="3" t="inlineStr"/>
      <c r="M27" s="3" t="inlineStr"/>
      <c r="N27" s="3" t="inlineStr"/>
      <c r="O27" s="3" t="inlineStr">
        <is>
          <t>待复核</t>
        </is>
      </c>
      <c r="P27" s="3" t="inlineStr">
        <is>
          <t>未开始</t>
        </is>
      </c>
      <c r="Q27" s="3" t="inlineStr">
        <is>
          <t>草稿</t>
        </is>
      </c>
      <c r="R27" s="3" t="inlineStr"/>
      <c r="S27" s="3" t="inlineStr">
        <is>
          <t>config/bayesian_models/property_taking_v1.json -&gt; nodes[property_trace].prior</t>
        </is>
      </c>
      <c r="T27" s="3" t="inlineStr">
        <is>
          <t>否</t>
        </is>
      </c>
      <c r="U27" s="3" t="inlineStr"/>
    </row>
    <row r="28">
      <c r="A28" s="2" t="inlineStr">
        <is>
          <t>CAND-027</t>
        </is>
      </c>
      <c r="B28" s="2" t="inlineStr">
        <is>
          <t>property_taking</t>
        </is>
      </c>
      <c r="C28" s="2" t="inlineStr">
        <is>
          <t>1</t>
        </is>
      </c>
      <c r="D28" s="3" t="inlineStr"/>
      <c r="E28" s="2" t="inlineStr">
        <is>
          <t>alternative_explanation</t>
        </is>
      </c>
      <c r="F28" s="2" t="inlineStr">
        <is>
          <t>prior</t>
        </is>
      </c>
      <c r="G28" s="2" t="inlineStr"/>
      <c r="H28" s="2" t="n">
        <v>0.2</v>
      </c>
      <c r="I28" s="3" t="inlineStr"/>
      <c r="J28" s="3" t="inlineStr">
        <is>
          <t>Beta-Binomial后验</t>
        </is>
      </c>
      <c r="K28" s="3" t="inlineStr"/>
      <c r="L28" s="3" t="inlineStr"/>
      <c r="M28" s="3" t="inlineStr"/>
      <c r="N28" s="3" t="inlineStr"/>
      <c r="O28" s="3" t="inlineStr">
        <is>
          <t>待复核</t>
        </is>
      </c>
      <c r="P28" s="3" t="inlineStr">
        <is>
          <t>未开始</t>
        </is>
      </c>
      <c r="Q28" s="3" t="inlineStr">
        <is>
          <t>草稿</t>
        </is>
      </c>
      <c r="R28" s="3" t="inlineStr"/>
      <c r="S28" s="3" t="inlineStr">
        <is>
          <t>config/bayesian_models/property_taking_v1.json -&gt; nodes[alternative_explanation].prior</t>
        </is>
      </c>
      <c r="T28" s="3" t="inlineStr">
        <is>
          <t>否</t>
        </is>
      </c>
      <c r="U28" s="3" t="inlineStr"/>
    </row>
    <row r="29">
      <c r="A29" s="2" t="inlineStr">
        <is>
          <t>CAND-028</t>
        </is>
      </c>
      <c r="B29" s="2" t="inlineStr">
        <is>
          <t>property_taking</t>
        </is>
      </c>
      <c r="C29" s="2" t="inlineStr">
        <is>
          <t>1</t>
        </is>
      </c>
      <c r="D29" s="3" t="inlineStr"/>
      <c r="E29" s="2" t="inlineStr">
        <is>
          <t>taking_supported</t>
        </is>
      </c>
      <c r="F29" s="2" t="inlineStr">
        <is>
          <t>intercept</t>
        </is>
      </c>
      <c r="G29" s="2" t="inlineStr"/>
      <c r="H29" s="2" t="n">
        <v>-3</v>
      </c>
      <c r="I29" s="3" t="inlineStr"/>
      <c r="J29" s="3" t="inlineStr">
        <is>
          <t>带正则化的加权二项逻辑回归</t>
        </is>
      </c>
      <c r="K29" s="3" t="inlineStr"/>
      <c r="L29" s="3" t="inlineStr"/>
      <c r="M29" s="3" t="inlineStr"/>
      <c r="N29" s="3" t="inlineStr"/>
      <c r="O29" s="3" t="inlineStr">
        <is>
          <t>待复核</t>
        </is>
      </c>
      <c r="P29" s="3" t="inlineStr">
        <is>
          <t>未开始</t>
        </is>
      </c>
      <c r="Q29" s="3" t="inlineStr">
        <is>
          <t>草稿</t>
        </is>
      </c>
      <c r="R29" s="3" t="inlineStr"/>
      <c r="S29" s="3" t="inlineStr">
        <is>
          <t>config/bayesian_models/property_taking_v1.json -&gt; nodes[taking_supported].intercept</t>
        </is>
      </c>
      <c r="T29" s="3" t="inlineStr">
        <is>
          <t>否</t>
        </is>
      </c>
      <c r="U29" s="3" t="inlineStr"/>
    </row>
    <row r="30">
      <c r="A30" s="2" t="inlineStr">
        <is>
          <t>CAND-029</t>
        </is>
      </c>
      <c r="B30" s="2" t="inlineStr">
        <is>
          <t>property_taking</t>
        </is>
      </c>
      <c r="C30" s="2" t="inlineStr">
        <is>
          <t>1</t>
        </is>
      </c>
      <c r="D30" s="3" t="inlineStr"/>
      <c r="E30" s="2" t="inlineStr">
        <is>
          <t>taking_supported</t>
        </is>
      </c>
      <c r="F30" s="2" t="inlineStr">
        <is>
          <t>weight</t>
        </is>
      </c>
      <c r="G30" s="2" t="inlineStr">
        <is>
          <t>prior_possession</t>
        </is>
      </c>
      <c r="H30" s="2" t="n">
        <v>0.7</v>
      </c>
      <c r="I30" s="3" t="inlineStr"/>
      <c r="J30" s="3" t="inlineStr">
        <is>
          <t>带正则化的加权二项逻辑回归</t>
        </is>
      </c>
      <c r="K30" s="3" t="inlineStr"/>
      <c r="L30" s="3" t="inlineStr"/>
      <c r="M30" s="3" t="inlineStr"/>
      <c r="N30" s="3" t="inlineStr"/>
      <c r="O30" s="3" t="inlineStr">
        <is>
          <t>待复核</t>
        </is>
      </c>
      <c r="P30" s="3" t="inlineStr">
        <is>
          <t>未开始</t>
        </is>
      </c>
      <c r="Q30" s="3" t="inlineStr">
        <is>
          <t>草稿</t>
        </is>
      </c>
      <c r="R30" s="3" t="inlineStr"/>
      <c r="S30" s="3" t="inlineStr">
        <is>
          <t>config/bayesian_models/property_taking_v1.json -&gt; nodes[taking_supported].weights.prior_possession</t>
        </is>
      </c>
      <c r="T30" s="3" t="inlineStr">
        <is>
          <t>否</t>
        </is>
      </c>
      <c r="U30" s="3" t="inlineStr"/>
    </row>
    <row r="31">
      <c r="A31" s="2" t="inlineStr">
        <is>
          <t>CAND-030</t>
        </is>
      </c>
      <c r="B31" s="2" t="inlineStr">
        <is>
          <t>property_taking</t>
        </is>
      </c>
      <c r="C31" s="2" t="inlineStr">
        <is>
          <t>1</t>
        </is>
      </c>
      <c r="D31" s="3" t="inlineStr"/>
      <c r="E31" s="2" t="inlineStr">
        <is>
          <t>taking_supported</t>
        </is>
      </c>
      <c r="F31" s="2" t="inlineStr">
        <is>
          <t>weight</t>
        </is>
      </c>
      <c r="G31" s="2" t="inlineStr">
        <is>
          <t>taking_action</t>
        </is>
      </c>
      <c r="H31" s="2" t="n">
        <v>2</v>
      </c>
      <c r="I31" s="3" t="inlineStr"/>
      <c r="J31" s="3" t="inlineStr">
        <is>
          <t>带正则化的加权二项逻辑回归</t>
        </is>
      </c>
      <c r="K31" s="3" t="inlineStr"/>
      <c r="L31" s="3" t="inlineStr"/>
      <c r="M31" s="3" t="inlineStr"/>
      <c r="N31" s="3" t="inlineStr"/>
      <c r="O31" s="3" t="inlineStr">
        <is>
          <t>待复核</t>
        </is>
      </c>
      <c r="P31" s="3" t="inlineStr">
        <is>
          <t>未开始</t>
        </is>
      </c>
      <c r="Q31" s="3" t="inlineStr">
        <is>
          <t>草稿</t>
        </is>
      </c>
      <c r="R31" s="3" t="inlineStr"/>
      <c r="S31" s="3" t="inlineStr">
        <is>
          <t>config/bayesian_models/property_taking_v1.json -&gt; nodes[taking_supported].weights.taking_action</t>
        </is>
      </c>
      <c r="T31" s="3" t="inlineStr">
        <is>
          <t>否</t>
        </is>
      </c>
      <c r="U31" s="3" t="inlineStr"/>
    </row>
    <row r="32">
      <c r="A32" s="2" t="inlineStr">
        <is>
          <t>CAND-031</t>
        </is>
      </c>
      <c r="B32" s="2" t="inlineStr">
        <is>
          <t>property_taking</t>
        </is>
      </c>
      <c r="C32" s="2" t="inlineStr">
        <is>
          <t>1</t>
        </is>
      </c>
      <c r="D32" s="3" t="inlineStr"/>
      <c r="E32" s="2" t="inlineStr">
        <is>
          <t>taking_supported</t>
        </is>
      </c>
      <c r="F32" s="2" t="inlineStr">
        <is>
          <t>weight</t>
        </is>
      </c>
      <c r="G32" s="2" t="inlineStr">
        <is>
          <t>possession_transfer</t>
        </is>
      </c>
      <c r="H32" s="2" t="n">
        <v>1.5</v>
      </c>
      <c r="I32" s="3" t="inlineStr"/>
      <c r="J32" s="3" t="inlineStr">
        <is>
          <t>带正则化的加权二项逻辑回归</t>
        </is>
      </c>
      <c r="K32" s="3" t="inlineStr"/>
      <c r="L32" s="3" t="inlineStr"/>
      <c r="M32" s="3" t="inlineStr"/>
      <c r="N32" s="3" t="inlineStr"/>
      <c r="O32" s="3" t="inlineStr">
        <is>
          <t>待复核</t>
        </is>
      </c>
      <c r="P32" s="3" t="inlineStr">
        <is>
          <t>未开始</t>
        </is>
      </c>
      <c r="Q32" s="3" t="inlineStr">
        <is>
          <t>草稿</t>
        </is>
      </c>
      <c r="R32" s="3" t="inlineStr"/>
      <c r="S32" s="3" t="inlineStr">
        <is>
          <t>config/bayesian_models/property_taking_v1.json -&gt; nodes[taking_supported].weights.possession_transfer</t>
        </is>
      </c>
      <c r="T32" s="3" t="inlineStr">
        <is>
          <t>否</t>
        </is>
      </c>
      <c r="U32" s="3" t="inlineStr"/>
    </row>
    <row r="33">
      <c r="A33" s="2" t="inlineStr">
        <is>
          <t>CAND-032</t>
        </is>
      </c>
      <c r="B33" s="2" t="inlineStr">
        <is>
          <t>property_taking</t>
        </is>
      </c>
      <c r="C33" s="2" t="inlineStr">
        <is>
          <t>1</t>
        </is>
      </c>
      <c r="D33" s="3" t="inlineStr"/>
      <c r="E33" s="2" t="inlineStr">
        <is>
          <t>taking_supported</t>
        </is>
      </c>
      <c r="F33" s="2" t="inlineStr">
        <is>
          <t>weight</t>
        </is>
      </c>
      <c r="G33" s="2" t="inlineStr">
        <is>
          <t>property_trace</t>
        </is>
      </c>
      <c r="H33" s="2" t="n">
        <v>1</v>
      </c>
      <c r="I33" s="3" t="inlineStr"/>
      <c r="J33" s="3" t="inlineStr">
        <is>
          <t>带正则化的加权二项逻辑回归</t>
        </is>
      </c>
      <c r="K33" s="3" t="inlineStr"/>
      <c r="L33" s="3" t="inlineStr"/>
      <c r="M33" s="3" t="inlineStr"/>
      <c r="N33" s="3" t="inlineStr"/>
      <c r="O33" s="3" t="inlineStr">
        <is>
          <t>待复核</t>
        </is>
      </c>
      <c r="P33" s="3" t="inlineStr">
        <is>
          <t>未开始</t>
        </is>
      </c>
      <c r="Q33" s="3" t="inlineStr">
        <is>
          <t>草稿</t>
        </is>
      </c>
      <c r="R33" s="3" t="inlineStr"/>
      <c r="S33" s="3" t="inlineStr">
        <is>
          <t>config/bayesian_models/property_taking_v1.json -&gt; nodes[taking_supported].weights.property_trace</t>
        </is>
      </c>
      <c r="T33" s="3" t="inlineStr">
        <is>
          <t>否</t>
        </is>
      </c>
      <c r="U33" s="3" t="inlineStr"/>
    </row>
    <row r="34">
      <c r="A34" s="2" t="inlineStr">
        <is>
          <t>CAND-033</t>
        </is>
      </c>
      <c r="B34" s="2" t="inlineStr">
        <is>
          <t>property_taking</t>
        </is>
      </c>
      <c r="C34" s="2" t="inlineStr">
        <is>
          <t>1</t>
        </is>
      </c>
      <c r="D34" s="3" t="inlineStr"/>
      <c r="E34" s="2" t="inlineStr">
        <is>
          <t>taking_supported</t>
        </is>
      </c>
      <c r="F34" s="2" t="inlineStr">
        <is>
          <t>weight</t>
        </is>
      </c>
      <c r="G34" s="2" t="inlineStr">
        <is>
          <t>alternative_explanation</t>
        </is>
      </c>
      <c r="H34" s="2" t="n">
        <v>-2</v>
      </c>
      <c r="I34" s="3" t="inlineStr"/>
      <c r="J34" s="3" t="inlineStr">
        <is>
          <t>带正则化的加权二项逻辑回归</t>
        </is>
      </c>
      <c r="K34" s="3" t="inlineStr"/>
      <c r="L34" s="3" t="inlineStr"/>
      <c r="M34" s="3" t="inlineStr"/>
      <c r="N34" s="3" t="inlineStr"/>
      <c r="O34" s="3" t="inlineStr">
        <is>
          <t>待复核</t>
        </is>
      </c>
      <c r="P34" s="3" t="inlineStr">
        <is>
          <t>未开始</t>
        </is>
      </c>
      <c r="Q34" s="3" t="inlineStr">
        <is>
          <t>草稿</t>
        </is>
      </c>
      <c r="R34" s="3" t="inlineStr"/>
      <c r="S34" s="3" t="inlineStr">
        <is>
          <t>config/bayesian_models/property_taking_v1.json -&gt; nodes[taking_supported].weights.alternative_explanation</t>
        </is>
      </c>
      <c r="T34" s="3" t="inlineStr">
        <is>
          <t>否</t>
        </is>
      </c>
      <c r="U34" s="3" t="inlineStr"/>
    </row>
    <row r="35">
      <c r="A35" s="2" t="inlineStr">
        <is>
          <t>CAND-034</t>
        </is>
      </c>
      <c r="B35" s="2" t="inlineStr">
        <is>
          <t>public_order</t>
        </is>
      </c>
      <c r="C35" s="2" t="inlineStr">
        <is>
          <t>1</t>
        </is>
      </c>
      <c r="D35" s="3" t="inlineStr"/>
      <c r="E35" s="2" t="inlineStr">
        <is>
          <t>conduct</t>
        </is>
      </c>
      <c r="F35" s="2" t="inlineStr">
        <is>
          <t>prior</t>
        </is>
      </c>
      <c r="G35" s="2" t="inlineStr"/>
      <c r="H35" s="2" t="n">
        <v>0.2</v>
      </c>
      <c r="I35" s="3" t="inlineStr"/>
      <c r="J35" s="3" t="inlineStr">
        <is>
          <t>Beta-Binomial后验</t>
        </is>
      </c>
      <c r="K35" s="3" t="inlineStr"/>
      <c r="L35" s="3" t="inlineStr"/>
      <c r="M35" s="3" t="inlineStr"/>
      <c r="N35" s="3" t="inlineStr"/>
      <c r="O35" s="3" t="inlineStr">
        <is>
          <t>待复核</t>
        </is>
      </c>
      <c r="P35" s="3" t="inlineStr">
        <is>
          <t>未开始</t>
        </is>
      </c>
      <c r="Q35" s="3" t="inlineStr">
        <is>
          <t>草稿</t>
        </is>
      </c>
      <c r="R35" s="3" t="inlineStr"/>
      <c r="S35" s="3" t="inlineStr">
        <is>
          <t>config/bayesian_models/public_order_v1.json -&gt; nodes[conduct].prior</t>
        </is>
      </c>
      <c r="T35" s="3" t="inlineStr">
        <is>
          <t>否</t>
        </is>
      </c>
      <c r="U35" s="3" t="inlineStr"/>
    </row>
    <row r="36">
      <c r="A36" s="2" t="inlineStr">
        <is>
          <t>CAND-035</t>
        </is>
      </c>
      <c r="B36" s="2" t="inlineStr">
        <is>
          <t>public_order</t>
        </is>
      </c>
      <c r="C36" s="2" t="inlineStr">
        <is>
          <t>1</t>
        </is>
      </c>
      <c r="D36" s="3" t="inlineStr"/>
      <c r="E36" s="2" t="inlineStr">
        <is>
          <t>public_context</t>
        </is>
      </c>
      <c r="F36" s="2" t="inlineStr">
        <is>
          <t>prior</t>
        </is>
      </c>
      <c r="G36" s="2" t="inlineStr"/>
      <c r="H36" s="2" t="n">
        <v>0.3</v>
      </c>
      <c r="I36" s="3" t="inlineStr"/>
      <c r="J36" s="3" t="inlineStr">
        <is>
          <t>Beta-Binomial后验</t>
        </is>
      </c>
      <c r="K36" s="3" t="inlineStr"/>
      <c r="L36" s="3" t="inlineStr"/>
      <c r="M36" s="3" t="inlineStr"/>
      <c r="N36" s="3" t="inlineStr"/>
      <c r="O36" s="3" t="inlineStr">
        <is>
          <t>待复核</t>
        </is>
      </c>
      <c r="P36" s="3" t="inlineStr">
        <is>
          <t>未开始</t>
        </is>
      </c>
      <c r="Q36" s="3" t="inlineStr">
        <is>
          <t>草稿</t>
        </is>
      </c>
      <c r="R36" s="3" t="inlineStr"/>
      <c r="S36" s="3" t="inlineStr">
        <is>
          <t>config/bayesian_models/public_order_v1.json -&gt; nodes[public_context].prior</t>
        </is>
      </c>
      <c r="T36" s="3" t="inlineStr">
        <is>
          <t>否</t>
        </is>
      </c>
      <c r="U36" s="3" t="inlineStr"/>
    </row>
    <row r="37">
      <c r="A37" s="2" t="inlineStr">
        <is>
          <t>CAND-036</t>
        </is>
      </c>
      <c r="B37" s="2" t="inlineStr">
        <is>
          <t>public_order</t>
        </is>
      </c>
      <c r="C37" s="2" t="inlineStr">
        <is>
          <t>1</t>
        </is>
      </c>
      <c r="D37" s="3" t="inlineStr"/>
      <c r="E37" s="2" t="inlineStr">
        <is>
          <t>operational_impact</t>
        </is>
      </c>
      <c r="F37" s="2" t="inlineStr">
        <is>
          <t>prior</t>
        </is>
      </c>
      <c r="G37" s="2" t="inlineStr"/>
      <c r="H37" s="2" t="n">
        <v>0.15</v>
      </c>
      <c r="I37" s="3" t="inlineStr"/>
      <c r="J37" s="3" t="inlineStr">
        <is>
          <t>Beta-Binomial后验</t>
        </is>
      </c>
      <c r="K37" s="3" t="inlineStr"/>
      <c r="L37" s="3" t="inlineStr"/>
      <c r="M37" s="3" t="inlineStr"/>
      <c r="N37" s="3" t="inlineStr"/>
      <c r="O37" s="3" t="inlineStr">
        <is>
          <t>待复核</t>
        </is>
      </c>
      <c r="P37" s="3" t="inlineStr">
        <is>
          <t>未开始</t>
        </is>
      </c>
      <c r="Q37" s="3" t="inlineStr">
        <is>
          <t>草稿</t>
        </is>
      </c>
      <c r="R37" s="3" t="inlineStr"/>
      <c r="S37" s="3" t="inlineStr">
        <is>
          <t>config/bayesian_models/public_order_v1.json -&gt; nodes[operational_impact].prior</t>
        </is>
      </c>
      <c r="T37" s="3" t="inlineStr">
        <is>
          <t>否</t>
        </is>
      </c>
      <c r="U37" s="3" t="inlineStr"/>
    </row>
    <row r="38">
      <c r="A38" s="2" t="inlineStr">
        <is>
          <t>CAND-037</t>
        </is>
      </c>
      <c r="B38" s="2" t="inlineStr">
        <is>
          <t>public_order</t>
        </is>
      </c>
      <c r="C38" s="2" t="inlineStr">
        <is>
          <t>1</t>
        </is>
      </c>
      <c r="D38" s="3" t="inlineStr"/>
      <c r="E38" s="2" t="inlineStr">
        <is>
          <t>persistence_or_group</t>
        </is>
      </c>
      <c r="F38" s="2" t="inlineStr">
        <is>
          <t>prior</t>
        </is>
      </c>
      <c r="G38" s="2" t="inlineStr"/>
      <c r="H38" s="2" t="n">
        <v>0.15</v>
      </c>
      <c r="I38" s="3" t="inlineStr"/>
      <c r="J38" s="3" t="inlineStr">
        <is>
          <t>Beta-Binomial后验</t>
        </is>
      </c>
      <c r="K38" s="3" t="inlineStr"/>
      <c r="L38" s="3" t="inlineStr"/>
      <c r="M38" s="3" t="inlineStr"/>
      <c r="N38" s="3" t="inlineStr"/>
      <c r="O38" s="3" t="inlineStr">
        <is>
          <t>待复核</t>
        </is>
      </c>
      <c r="P38" s="3" t="inlineStr">
        <is>
          <t>未开始</t>
        </is>
      </c>
      <c r="Q38" s="3" t="inlineStr">
        <is>
          <t>草稿</t>
        </is>
      </c>
      <c r="R38" s="3" t="inlineStr"/>
      <c r="S38" s="3" t="inlineStr">
        <is>
          <t>config/bayesian_models/public_order_v1.json -&gt; nodes[persistence_or_group].prior</t>
        </is>
      </c>
      <c r="T38" s="3" t="inlineStr">
        <is>
          <t>否</t>
        </is>
      </c>
      <c r="U38" s="3" t="inlineStr"/>
    </row>
    <row r="39">
      <c r="A39" s="2" t="inlineStr">
        <is>
          <t>CAND-038</t>
        </is>
      </c>
      <c r="B39" s="2" t="inlineStr">
        <is>
          <t>public_order</t>
        </is>
      </c>
      <c r="C39" s="2" t="inlineStr">
        <is>
          <t>1</t>
        </is>
      </c>
      <c r="D39" s="3" t="inlineStr"/>
      <c r="E39" s="2" t="inlineStr">
        <is>
          <t>order_disruption</t>
        </is>
      </c>
      <c r="F39" s="2" t="inlineStr">
        <is>
          <t>intercept</t>
        </is>
      </c>
      <c r="G39" s="2" t="inlineStr"/>
      <c r="H39" s="2" t="n">
        <v>-3</v>
      </c>
      <c r="I39" s="3" t="inlineStr"/>
      <c r="J39" s="3" t="inlineStr">
        <is>
          <t>带正则化的加权二项逻辑回归</t>
        </is>
      </c>
      <c r="K39" s="3" t="inlineStr"/>
      <c r="L39" s="3" t="inlineStr"/>
      <c r="M39" s="3" t="inlineStr"/>
      <c r="N39" s="3" t="inlineStr"/>
      <c r="O39" s="3" t="inlineStr">
        <is>
          <t>待复核</t>
        </is>
      </c>
      <c r="P39" s="3" t="inlineStr">
        <is>
          <t>未开始</t>
        </is>
      </c>
      <c r="Q39" s="3" t="inlineStr">
        <is>
          <t>草稿</t>
        </is>
      </c>
      <c r="R39" s="3" t="inlineStr"/>
      <c r="S39" s="3" t="inlineStr">
        <is>
          <t>config/bayesian_models/public_order_v1.json -&gt; nodes[order_disruption].intercept</t>
        </is>
      </c>
      <c r="T39" s="3" t="inlineStr">
        <is>
          <t>否</t>
        </is>
      </c>
      <c r="U39" s="3" t="inlineStr"/>
    </row>
    <row r="40">
      <c r="A40" s="2" t="inlineStr">
        <is>
          <t>CAND-039</t>
        </is>
      </c>
      <c r="B40" s="2" t="inlineStr">
        <is>
          <t>public_order</t>
        </is>
      </c>
      <c r="C40" s="2" t="inlineStr">
        <is>
          <t>1</t>
        </is>
      </c>
      <c r="D40" s="3" t="inlineStr"/>
      <c r="E40" s="2" t="inlineStr">
        <is>
          <t>order_disruption</t>
        </is>
      </c>
      <c r="F40" s="2" t="inlineStr">
        <is>
          <t>weight</t>
        </is>
      </c>
      <c r="G40" s="2" t="inlineStr">
        <is>
          <t>conduct</t>
        </is>
      </c>
      <c r="H40" s="2" t="n">
        <v>1.8</v>
      </c>
      <c r="I40" s="3" t="inlineStr"/>
      <c r="J40" s="3" t="inlineStr">
        <is>
          <t>带正则化的加权二项逻辑回归</t>
        </is>
      </c>
      <c r="K40" s="3" t="inlineStr"/>
      <c r="L40" s="3" t="inlineStr"/>
      <c r="M40" s="3" t="inlineStr"/>
      <c r="N40" s="3" t="inlineStr"/>
      <c r="O40" s="3" t="inlineStr">
        <is>
          <t>待复核</t>
        </is>
      </c>
      <c r="P40" s="3" t="inlineStr">
        <is>
          <t>未开始</t>
        </is>
      </c>
      <c r="Q40" s="3" t="inlineStr">
        <is>
          <t>草稿</t>
        </is>
      </c>
      <c r="R40" s="3" t="inlineStr"/>
      <c r="S40" s="3" t="inlineStr">
        <is>
          <t>config/bayesian_models/public_order_v1.json -&gt; nodes[order_disruption].weights.conduct</t>
        </is>
      </c>
      <c r="T40" s="3" t="inlineStr">
        <is>
          <t>否</t>
        </is>
      </c>
      <c r="U40" s="3" t="inlineStr"/>
    </row>
    <row r="41">
      <c r="A41" s="2" t="inlineStr">
        <is>
          <t>CAND-040</t>
        </is>
      </c>
      <c r="B41" s="2" t="inlineStr">
        <is>
          <t>public_order</t>
        </is>
      </c>
      <c r="C41" s="2" t="inlineStr">
        <is>
          <t>1</t>
        </is>
      </c>
      <c r="D41" s="3" t="inlineStr"/>
      <c r="E41" s="2" t="inlineStr">
        <is>
          <t>order_disruption</t>
        </is>
      </c>
      <c r="F41" s="2" t="inlineStr">
        <is>
          <t>weight</t>
        </is>
      </c>
      <c r="G41" s="2" t="inlineStr">
        <is>
          <t>public_context</t>
        </is>
      </c>
      <c r="H41" s="2" t="n">
        <v>0.8</v>
      </c>
      <c r="I41" s="3" t="inlineStr"/>
      <c r="J41" s="3" t="inlineStr">
        <is>
          <t>带正则化的加权二项逻辑回归</t>
        </is>
      </c>
      <c r="K41" s="3" t="inlineStr"/>
      <c r="L41" s="3" t="inlineStr"/>
      <c r="M41" s="3" t="inlineStr"/>
      <c r="N41" s="3" t="inlineStr"/>
      <c r="O41" s="3" t="inlineStr">
        <is>
          <t>待复核</t>
        </is>
      </c>
      <c r="P41" s="3" t="inlineStr">
        <is>
          <t>未开始</t>
        </is>
      </c>
      <c r="Q41" s="3" t="inlineStr">
        <is>
          <t>草稿</t>
        </is>
      </c>
      <c r="R41" s="3" t="inlineStr"/>
      <c r="S41" s="3" t="inlineStr">
        <is>
          <t>config/bayesian_models/public_order_v1.json -&gt; nodes[order_disruption].weights.public_context</t>
        </is>
      </c>
      <c r="T41" s="3" t="inlineStr">
        <is>
          <t>否</t>
        </is>
      </c>
      <c r="U41" s="3" t="inlineStr"/>
    </row>
    <row r="42">
      <c r="A42" s="2" t="inlineStr">
        <is>
          <t>CAND-041</t>
        </is>
      </c>
      <c r="B42" s="2" t="inlineStr">
        <is>
          <t>public_order</t>
        </is>
      </c>
      <c r="C42" s="2" t="inlineStr">
        <is>
          <t>1</t>
        </is>
      </c>
      <c r="D42" s="3" t="inlineStr"/>
      <c r="E42" s="2" t="inlineStr">
        <is>
          <t>order_disruption</t>
        </is>
      </c>
      <c r="F42" s="2" t="inlineStr">
        <is>
          <t>weight</t>
        </is>
      </c>
      <c r="G42" s="2" t="inlineStr">
        <is>
          <t>operational_impact</t>
        </is>
      </c>
      <c r="H42" s="2" t="n">
        <v>1.5</v>
      </c>
      <c r="I42" s="3" t="inlineStr"/>
      <c r="J42" s="3" t="inlineStr">
        <is>
          <t>带正则化的加权二项逻辑回归</t>
        </is>
      </c>
      <c r="K42" s="3" t="inlineStr"/>
      <c r="L42" s="3" t="inlineStr"/>
      <c r="M42" s="3" t="inlineStr"/>
      <c r="N42" s="3" t="inlineStr"/>
      <c r="O42" s="3" t="inlineStr">
        <is>
          <t>待复核</t>
        </is>
      </c>
      <c r="P42" s="3" t="inlineStr">
        <is>
          <t>未开始</t>
        </is>
      </c>
      <c r="Q42" s="3" t="inlineStr">
        <is>
          <t>草稿</t>
        </is>
      </c>
      <c r="R42" s="3" t="inlineStr"/>
      <c r="S42" s="3" t="inlineStr">
        <is>
          <t>config/bayesian_models/public_order_v1.json -&gt; nodes[order_disruption].weights.operational_impact</t>
        </is>
      </c>
      <c r="T42" s="3" t="inlineStr">
        <is>
          <t>否</t>
        </is>
      </c>
      <c r="U42" s="3" t="inlineStr"/>
    </row>
    <row r="43">
      <c r="A43" s="2" t="inlineStr">
        <is>
          <t>CAND-042</t>
        </is>
      </c>
      <c r="B43" s="2" t="inlineStr">
        <is>
          <t>public_order</t>
        </is>
      </c>
      <c r="C43" s="2" t="inlineStr">
        <is>
          <t>1</t>
        </is>
      </c>
      <c r="D43" s="3" t="inlineStr"/>
      <c r="E43" s="2" t="inlineStr">
        <is>
          <t>order_disruption</t>
        </is>
      </c>
      <c r="F43" s="2" t="inlineStr">
        <is>
          <t>weight</t>
        </is>
      </c>
      <c r="G43" s="2" t="inlineStr">
        <is>
          <t>persistence_or_group</t>
        </is>
      </c>
      <c r="H43" s="2" t="n">
        <v>1</v>
      </c>
      <c r="I43" s="3" t="inlineStr"/>
      <c r="J43" s="3" t="inlineStr">
        <is>
          <t>带正则化的加权二项逻辑回归</t>
        </is>
      </c>
      <c r="K43" s="3" t="inlineStr"/>
      <c r="L43" s="3" t="inlineStr"/>
      <c r="M43" s="3" t="inlineStr"/>
      <c r="N43" s="3" t="inlineStr"/>
      <c r="O43" s="3" t="inlineStr">
        <is>
          <t>待复核</t>
        </is>
      </c>
      <c r="P43" s="3" t="inlineStr">
        <is>
          <t>未开始</t>
        </is>
      </c>
      <c r="Q43" s="3" t="inlineStr">
        <is>
          <t>草稿</t>
        </is>
      </c>
      <c r="R43" s="3" t="inlineStr"/>
      <c r="S43" s="3" t="inlineStr">
        <is>
          <t>config/bayesian_models/public_order_v1.json -&gt; nodes[order_disruption].weights.persistence_or_group</t>
        </is>
      </c>
      <c r="T43" s="3" t="inlineStr">
        <is>
          <t>否</t>
        </is>
      </c>
      <c r="U43" s="3" t="inlineStr"/>
    </row>
    <row r="44">
      <c r="A44" s="2" t="inlineStr">
        <is>
          <t>CAND-043</t>
        </is>
      </c>
      <c r="B44" s="2" t="inlineStr">
        <is>
          <t>public_safety</t>
        </is>
      </c>
      <c r="C44" s="2" t="inlineStr">
        <is>
          <t>1</t>
        </is>
      </c>
      <c r="D44" s="3" t="inlineStr"/>
      <c r="E44" s="2" t="inlineStr">
        <is>
          <t>hazardous_conduct</t>
        </is>
      </c>
      <c r="F44" s="2" t="inlineStr">
        <is>
          <t>prior</t>
        </is>
      </c>
      <c r="G44" s="2" t="inlineStr"/>
      <c r="H44" s="2" t="n">
        <v>0.15</v>
      </c>
      <c r="I44" s="3" t="inlineStr"/>
      <c r="J44" s="3" t="inlineStr">
        <is>
          <t>Beta-Binomial后验</t>
        </is>
      </c>
      <c r="K44" s="3" t="inlineStr"/>
      <c r="L44" s="3" t="inlineStr"/>
      <c r="M44" s="3" t="inlineStr"/>
      <c r="N44" s="3" t="inlineStr"/>
      <c r="O44" s="3" t="inlineStr">
        <is>
          <t>待复核</t>
        </is>
      </c>
      <c r="P44" s="3" t="inlineStr">
        <is>
          <t>未开始</t>
        </is>
      </c>
      <c r="Q44" s="3" t="inlineStr">
        <is>
          <t>草稿</t>
        </is>
      </c>
      <c r="R44" s="3" t="inlineStr"/>
      <c r="S44" s="3" t="inlineStr">
        <is>
          <t>config/bayesian_models/public_safety_v1.json -&gt; nodes[hazardous_conduct].prior</t>
        </is>
      </c>
      <c r="T44" s="3" t="inlineStr">
        <is>
          <t>否</t>
        </is>
      </c>
      <c r="U44" s="3" t="inlineStr"/>
    </row>
    <row r="45">
      <c r="A45" s="2" t="inlineStr">
        <is>
          <t>CAND-044</t>
        </is>
      </c>
      <c r="B45" s="2" t="inlineStr">
        <is>
          <t>public_safety</t>
        </is>
      </c>
      <c r="C45" s="2" t="inlineStr">
        <is>
          <t>1</t>
        </is>
      </c>
      <c r="D45" s="3" t="inlineStr"/>
      <c r="E45" s="2" t="inlineStr">
        <is>
          <t>dangerous_object_or_condition</t>
        </is>
      </c>
      <c r="F45" s="2" t="inlineStr">
        <is>
          <t>prior</t>
        </is>
      </c>
      <c r="G45" s="2" t="inlineStr"/>
      <c r="H45" s="2" t="n">
        <v>0.15</v>
      </c>
      <c r="I45" s="3" t="inlineStr"/>
      <c r="J45" s="3" t="inlineStr">
        <is>
          <t>Beta-Binomial后验</t>
        </is>
      </c>
      <c r="K45" s="3" t="inlineStr"/>
      <c r="L45" s="3" t="inlineStr"/>
      <c r="M45" s="3" t="inlineStr"/>
      <c r="N45" s="3" t="inlineStr"/>
      <c r="O45" s="3" t="inlineStr">
        <is>
          <t>待复核</t>
        </is>
      </c>
      <c r="P45" s="3" t="inlineStr">
        <is>
          <t>未开始</t>
        </is>
      </c>
      <c r="Q45" s="3" t="inlineStr">
        <is>
          <t>草稿</t>
        </is>
      </c>
      <c r="R45" s="3" t="inlineStr"/>
      <c r="S45" s="3" t="inlineStr">
        <is>
          <t>config/bayesian_models/public_safety_v1.json -&gt; nodes[dangerous_object_or_condition].prior</t>
        </is>
      </c>
      <c r="T45" s="3" t="inlineStr">
        <is>
          <t>否</t>
        </is>
      </c>
      <c r="U45" s="3" t="inlineStr"/>
    </row>
    <row r="46">
      <c r="A46" s="2" t="inlineStr">
        <is>
          <t>CAND-045</t>
        </is>
      </c>
      <c r="B46" s="2" t="inlineStr">
        <is>
          <t>public_safety</t>
        </is>
      </c>
      <c r="C46" s="2" t="inlineStr">
        <is>
          <t>1</t>
        </is>
      </c>
      <c r="D46" s="3" t="inlineStr"/>
      <c r="E46" s="2" t="inlineStr">
        <is>
          <t>exposure</t>
        </is>
      </c>
      <c r="F46" s="2" t="inlineStr">
        <is>
          <t>prior</t>
        </is>
      </c>
      <c r="G46" s="2" t="inlineStr"/>
      <c r="H46" s="2" t="n">
        <v>0.1</v>
      </c>
      <c r="I46" s="3" t="inlineStr"/>
      <c r="J46" s="3" t="inlineStr">
        <is>
          <t>Beta-Binomial后验</t>
        </is>
      </c>
      <c r="K46" s="3" t="inlineStr"/>
      <c r="L46" s="3" t="inlineStr"/>
      <c r="M46" s="3" t="inlineStr"/>
      <c r="N46" s="3" t="inlineStr"/>
      <c r="O46" s="3" t="inlineStr">
        <is>
          <t>待复核</t>
        </is>
      </c>
      <c r="P46" s="3" t="inlineStr">
        <is>
          <t>未开始</t>
        </is>
      </c>
      <c r="Q46" s="3" t="inlineStr">
        <is>
          <t>草稿</t>
        </is>
      </c>
      <c r="R46" s="3" t="inlineStr"/>
      <c r="S46" s="3" t="inlineStr">
        <is>
          <t>config/bayesian_models/public_safety_v1.json -&gt; nodes[exposure].prior</t>
        </is>
      </c>
      <c r="T46" s="3" t="inlineStr">
        <is>
          <t>否</t>
        </is>
      </c>
      <c r="U46" s="3" t="inlineStr"/>
    </row>
    <row r="47">
      <c r="A47" s="2" t="inlineStr">
        <is>
          <t>CAND-046</t>
        </is>
      </c>
      <c r="B47" s="2" t="inlineStr">
        <is>
          <t>public_safety</t>
        </is>
      </c>
      <c r="C47" s="2" t="inlineStr">
        <is>
          <t>1</t>
        </is>
      </c>
      <c r="D47" s="3" t="inlineStr"/>
      <c r="E47" s="2" t="inlineStr">
        <is>
          <t>control_failure</t>
        </is>
      </c>
      <c r="F47" s="2" t="inlineStr">
        <is>
          <t>prior</t>
        </is>
      </c>
      <c r="G47" s="2" t="inlineStr"/>
      <c r="H47" s="2" t="n">
        <v>0.1</v>
      </c>
      <c r="I47" s="3" t="inlineStr"/>
      <c r="J47" s="3" t="inlineStr">
        <is>
          <t>Beta-Binomial后验</t>
        </is>
      </c>
      <c r="K47" s="3" t="inlineStr"/>
      <c r="L47" s="3" t="inlineStr"/>
      <c r="M47" s="3" t="inlineStr"/>
      <c r="N47" s="3" t="inlineStr"/>
      <c r="O47" s="3" t="inlineStr">
        <is>
          <t>待复核</t>
        </is>
      </c>
      <c r="P47" s="3" t="inlineStr">
        <is>
          <t>未开始</t>
        </is>
      </c>
      <c r="Q47" s="3" t="inlineStr">
        <is>
          <t>草稿</t>
        </is>
      </c>
      <c r="R47" s="3" t="inlineStr"/>
      <c r="S47" s="3" t="inlineStr">
        <is>
          <t>config/bayesian_models/public_safety_v1.json -&gt; nodes[control_failure].prior</t>
        </is>
      </c>
      <c r="T47" s="3" t="inlineStr">
        <is>
          <t>否</t>
        </is>
      </c>
      <c r="U47" s="3" t="inlineStr"/>
    </row>
    <row r="48">
      <c r="A48" s="2" t="inlineStr">
        <is>
          <t>CAND-047</t>
        </is>
      </c>
      <c r="B48" s="2" t="inlineStr">
        <is>
          <t>public_safety</t>
        </is>
      </c>
      <c r="C48" s="2" t="inlineStr">
        <is>
          <t>1</t>
        </is>
      </c>
      <c r="D48" s="3" t="inlineStr"/>
      <c r="E48" s="2" t="inlineStr">
        <is>
          <t>public_danger</t>
        </is>
      </c>
      <c r="F48" s="2" t="inlineStr">
        <is>
          <t>intercept</t>
        </is>
      </c>
      <c r="G48" s="2" t="inlineStr"/>
      <c r="H48" s="2" t="n">
        <v>-3.2</v>
      </c>
      <c r="I48" s="3" t="inlineStr"/>
      <c r="J48" s="3" t="inlineStr">
        <is>
          <t>带正则化的加权二项逻辑回归</t>
        </is>
      </c>
      <c r="K48" s="3" t="inlineStr"/>
      <c r="L48" s="3" t="inlineStr"/>
      <c r="M48" s="3" t="inlineStr"/>
      <c r="N48" s="3" t="inlineStr"/>
      <c r="O48" s="3" t="inlineStr">
        <is>
          <t>待复核</t>
        </is>
      </c>
      <c r="P48" s="3" t="inlineStr">
        <is>
          <t>未开始</t>
        </is>
      </c>
      <c r="Q48" s="3" t="inlineStr">
        <is>
          <t>草稿</t>
        </is>
      </c>
      <c r="R48" s="3" t="inlineStr"/>
      <c r="S48" s="3" t="inlineStr">
        <is>
          <t>config/bayesian_models/public_safety_v1.json -&gt; nodes[public_danger].intercept</t>
        </is>
      </c>
      <c r="T48" s="3" t="inlineStr">
        <is>
          <t>否</t>
        </is>
      </c>
      <c r="U48" s="3" t="inlineStr"/>
    </row>
    <row r="49">
      <c r="A49" s="2" t="inlineStr">
        <is>
          <t>CAND-048</t>
        </is>
      </c>
      <c r="B49" s="2" t="inlineStr">
        <is>
          <t>public_safety</t>
        </is>
      </c>
      <c r="C49" s="2" t="inlineStr">
        <is>
          <t>1</t>
        </is>
      </c>
      <c r="D49" s="3" t="inlineStr"/>
      <c r="E49" s="2" t="inlineStr">
        <is>
          <t>public_danger</t>
        </is>
      </c>
      <c r="F49" s="2" t="inlineStr">
        <is>
          <t>weight</t>
        </is>
      </c>
      <c r="G49" s="2" t="inlineStr">
        <is>
          <t>hazardous_conduct</t>
        </is>
      </c>
      <c r="H49" s="2" t="n">
        <v>1.8</v>
      </c>
      <c r="I49" s="3" t="inlineStr"/>
      <c r="J49" s="3" t="inlineStr">
        <is>
          <t>带正则化的加权二项逻辑回归</t>
        </is>
      </c>
      <c r="K49" s="3" t="inlineStr"/>
      <c r="L49" s="3" t="inlineStr"/>
      <c r="M49" s="3" t="inlineStr"/>
      <c r="N49" s="3" t="inlineStr"/>
      <c r="O49" s="3" t="inlineStr">
        <is>
          <t>待复核</t>
        </is>
      </c>
      <c r="P49" s="3" t="inlineStr">
        <is>
          <t>未开始</t>
        </is>
      </c>
      <c r="Q49" s="3" t="inlineStr">
        <is>
          <t>草稿</t>
        </is>
      </c>
      <c r="R49" s="3" t="inlineStr"/>
      <c r="S49" s="3" t="inlineStr">
        <is>
          <t>config/bayesian_models/public_safety_v1.json -&gt; nodes[public_danger].weights.hazardous_conduct</t>
        </is>
      </c>
      <c r="T49" s="3" t="inlineStr">
        <is>
          <t>否</t>
        </is>
      </c>
      <c r="U49" s="3" t="inlineStr"/>
    </row>
    <row r="50">
      <c r="A50" s="2" t="inlineStr">
        <is>
          <t>CAND-049</t>
        </is>
      </c>
      <c r="B50" s="2" t="inlineStr">
        <is>
          <t>public_safety</t>
        </is>
      </c>
      <c r="C50" s="2" t="inlineStr">
        <is>
          <t>1</t>
        </is>
      </c>
      <c r="D50" s="3" t="inlineStr"/>
      <c r="E50" s="2" t="inlineStr">
        <is>
          <t>public_danger</t>
        </is>
      </c>
      <c r="F50" s="2" t="inlineStr">
        <is>
          <t>weight</t>
        </is>
      </c>
      <c r="G50" s="2" t="inlineStr">
        <is>
          <t>dangerous_object_or_condition</t>
        </is>
      </c>
      <c r="H50" s="2" t="n">
        <v>1.4</v>
      </c>
      <c r="I50" s="3" t="inlineStr"/>
      <c r="J50" s="3" t="inlineStr">
        <is>
          <t>带正则化的加权二项逻辑回归</t>
        </is>
      </c>
      <c r="K50" s="3" t="inlineStr"/>
      <c r="L50" s="3" t="inlineStr"/>
      <c r="M50" s="3" t="inlineStr"/>
      <c r="N50" s="3" t="inlineStr"/>
      <c r="O50" s="3" t="inlineStr">
        <is>
          <t>待复核</t>
        </is>
      </c>
      <c r="P50" s="3" t="inlineStr">
        <is>
          <t>未开始</t>
        </is>
      </c>
      <c r="Q50" s="3" t="inlineStr">
        <is>
          <t>草稿</t>
        </is>
      </c>
      <c r="R50" s="3" t="inlineStr"/>
      <c r="S50" s="3" t="inlineStr">
        <is>
          <t>config/bayesian_models/public_safety_v1.json -&gt; nodes[public_danger].weights.dangerous_object_or_condition</t>
        </is>
      </c>
      <c r="T50" s="3" t="inlineStr">
        <is>
          <t>否</t>
        </is>
      </c>
      <c r="U50" s="3" t="inlineStr"/>
    </row>
    <row r="51">
      <c r="A51" s="2" t="inlineStr">
        <is>
          <t>CAND-050</t>
        </is>
      </c>
      <c r="B51" s="2" t="inlineStr">
        <is>
          <t>public_safety</t>
        </is>
      </c>
      <c r="C51" s="2" t="inlineStr">
        <is>
          <t>1</t>
        </is>
      </c>
      <c r="D51" s="3" t="inlineStr"/>
      <c r="E51" s="2" t="inlineStr">
        <is>
          <t>public_danger</t>
        </is>
      </c>
      <c r="F51" s="2" t="inlineStr">
        <is>
          <t>weight</t>
        </is>
      </c>
      <c r="G51" s="2" t="inlineStr">
        <is>
          <t>exposure</t>
        </is>
      </c>
      <c r="H51" s="2" t="n">
        <v>1.5</v>
      </c>
      <c r="I51" s="3" t="inlineStr"/>
      <c r="J51" s="3" t="inlineStr">
        <is>
          <t>带正则化的加权二项逻辑回归</t>
        </is>
      </c>
      <c r="K51" s="3" t="inlineStr"/>
      <c r="L51" s="3" t="inlineStr"/>
      <c r="M51" s="3" t="inlineStr"/>
      <c r="N51" s="3" t="inlineStr"/>
      <c r="O51" s="3" t="inlineStr">
        <is>
          <t>待复核</t>
        </is>
      </c>
      <c r="P51" s="3" t="inlineStr">
        <is>
          <t>未开始</t>
        </is>
      </c>
      <c r="Q51" s="3" t="inlineStr">
        <is>
          <t>草稿</t>
        </is>
      </c>
      <c r="R51" s="3" t="inlineStr"/>
      <c r="S51" s="3" t="inlineStr">
        <is>
          <t>config/bayesian_models/public_safety_v1.json -&gt; nodes[public_danger].weights.exposure</t>
        </is>
      </c>
      <c r="T51" s="3" t="inlineStr">
        <is>
          <t>否</t>
        </is>
      </c>
      <c r="U51" s="3" t="inlineStr"/>
    </row>
    <row r="52">
      <c r="A52" s="2" t="inlineStr">
        <is>
          <t>CAND-051</t>
        </is>
      </c>
      <c r="B52" s="2" t="inlineStr">
        <is>
          <t>public_safety</t>
        </is>
      </c>
      <c r="C52" s="2" t="inlineStr">
        <is>
          <t>1</t>
        </is>
      </c>
      <c r="D52" s="3" t="inlineStr"/>
      <c r="E52" s="2" t="inlineStr">
        <is>
          <t>public_danger</t>
        </is>
      </c>
      <c r="F52" s="2" t="inlineStr">
        <is>
          <t>weight</t>
        </is>
      </c>
      <c r="G52" s="2" t="inlineStr">
        <is>
          <t>control_failure</t>
        </is>
      </c>
      <c r="H52" s="2" t="n">
        <v>1</v>
      </c>
      <c r="I52" s="3" t="inlineStr"/>
      <c r="J52" s="3" t="inlineStr">
        <is>
          <t>带正则化的加权二项逻辑回归</t>
        </is>
      </c>
      <c r="K52" s="3" t="inlineStr"/>
      <c r="L52" s="3" t="inlineStr"/>
      <c r="M52" s="3" t="inlineStr"/>
      <c r="N52" s="3" t="inlineStr"/>
      <c r="O52" s="3" t="inlineStr">
        <is>
          <t>待复核</t>
        </is>
      </c>
      <c r="P52" s="3" t="inlineStr">
        <is>
          <t>未开始</t>
        </is>
      </c>
      <c r="Q52" s="3" t="inlineStr">
        <is>
          <t>草稿</t>
        </is>
      </c>
      <c r="R52" s="3" t="inlineStr"/>
      <c r="S52" s="3" t="inlineStr">
        <is>
          <t>config/bayesian_models/public_safety_v1.json -&gt; nodes[public_danger].weights.control_failure</t>
        </is>
      </c>
      <c r="T52" s="3" t="inlineStr">
        <is>
          <t>否</t>
        </is>
      </c>
      <c r="U52" s="3" t="inlineStr"/>
    </row>
    <row r="53">
      <c r="A53" s="2" t="inlineStr">
        <is>
          <t>CAND-052</t>
        </is>
      </c>
      <c r="B53" s="2" t="inlineStr">
        <is>
          <t>status_duty</t>
        </is>
      </c>
      <c r="C53" s="2" t="inlineStr">
        <is>
          <t>1</t>
        </is>
      </c>
      <c r="D53" s="3" t="inlineStr"/>
      <c r="E53" s="2" t="inlineStr">
        <is>
          <t>qualification_record_present</t>
        </is>
      </c>
      <c r="F53" s="2" t="inlineStr">
        <is>
          <t>prior</t>
        </is>
      </c>
      <c r="G53" s="2" t="inlineStr"/>
      <c r="H53" s="2" t="n">
        <v>0.2</v>
      </c>
      <c r="I53" s="3" t="inlineStr"/>
      <c r="J53" s="3" t="inlineStr">
        <is>
          <t>Beta-Binomial后验</t>
        </is>
      </c>
      <c r="K53" s="3" t="inlineStr"/>
      <c r="L53" s="3" t="inlineStr"/>
      <c r="M53" s="3" t="inlineStr"/>
      <c r="N53" s="3" t="inlineStr"/>
      <c r="O53" s="3" t="inlineStr">
        <is>
          <t>待复核</t>
        </is>
      </c>
      <c r="P53" s="3" t="inlineStr">
        <is>
          <t>未开始</t>
        </is>
      </c>
      <c r="Q53" s="3" t="inlineStr">
        <is>
          <t>草稿</t>
        </is>
      </c>
      <c r="R53" s="3" t="inlineStr"/>
      <c r="S53" s="3" t="inlineStr">
        <is>
          <t>config/bayesian_models/status_duty_v1.json -&gt; nodes[qualification_record_present].prior</t>
        </is>
      </c>
      <c r="T53" s="3" t="inlineStr">
        <is>
          <t>否</t>
        </is>
      </c>
      <c r="U53" s="3" t="inlineStr"/>
    </row>
    <row r="54">
      <c r="A54" s="2" t="inlineStr">
        <is>
          <t>CAND-053</t>
        </is>
      </c>
      <c r="B54" s="2" t="inlineStr">
        <is>
          <t>status_duty</t>
        </is>
      </c>
      <c r="C54" s="2" t="inlineStr">
        <is>
          <t>1</t>
        </is>
      </c>
      <c r="D54" s="3" t="inlineStr"/>
      <c r="E54" s="2" t="inlineStr">
        <is>
          <t>duty_record_present</t>
        </is>
      </c>
      <c r="F54" s="2" t="inlineStr">
        <is>
          <t>prior</t>
        </is>
      </c>
      <c r="G54" s="2" t="inlineStr"/>
      <c r="H54" s="2" t="n">
        <v>0.2</v>
      </c>
      <c r="I54" s="3" t="inlineStr"/>
      <c r="J54" s="3" t="inlineStr">
        <is>
          <t>Beta-Binomial后验</t>
        </is>
      </c>
      <c r="K54" s="3" t="inlineStr"/>
      <c r="L54" s="3" t="inlineStr"/>
      <c r="M54" s="3" t="inlineStr"/>
      <c r="N54" s="3" t="inlineStr"/>
      <c r="O54" s="3" t="inlineStr">
        <is>
          <t>待复核</t>
        </is>
      </c>
      <c r="P54" s="3" t="inlineStr">
        <is>
          <t>未开始</t>
        </is>
      </c>
      <c r="Q54" s="3" t="inlineStr">
        <is>
          <t>草稿</t>
        </is>
      </c>
      <c r="R54" s="3" t="inlineStr"/>
      <c r="S54" s="3" t="inlineStr">
        <is>
          <t>config/bayesian_models/status_duty_v1.json -&gt; nodes[duty_record_present].prior</t>
        </is>
      </c>
      <c r="T54" s="3" t="inlineStr">
        <is>
          <t>否</t>
        </is>
      </c>
      <c r="U54" s="3" t="inlineStr"/>
    </row>
    <row r="55">
      <c r="A55" s="2" t="inlineStr">
        <is>
          <t>CAND-054</t>
        </is>
      </c>
      <c r="B55" s="2" t="inlineStr">
        <is>
          <t>status_duty</t>
        </is>
      </c>
      <c r="C55" s="2" t="inlineStr">
        <is>
          <t>1</t>
        </is>
      </c>
      <c r="D55" s="3" t="inlineStr"/>
      <c r="E55" s="2" t="inlineStr">
        <is>
          <t>conduct_recorded</t>
        </is>
      </c>
      <c r="F55" s="2" t="inlineStr">
        <is>
          <t>prior</t>
        </is>
      </c>
      <c r="G55" s="2" t="inlineStr"/>
      <c r="H55" s="2" t="n">
        <v>0.1</v>
      </c>
      <c r="I55" s="3" t="inlineStr"/>
      <c r="J55" s="3" t="inlineStr">
        <is>
          <t>Beta-Binomial后验</t>
        </is>
      </c>
      <c r="K55" s="3" t="inlineStr"/>
      <c r="L55" s="3" t="inlineStr"/>
      <c r="M55" s="3" t="inlineStr"/>
      <c r="N55" s="3" t="inlineStr"/>
      <c r="O55" s="3" t="inlineStr">
        <is>
          <t>待复核</t>
        </is>
      </c>
      <c r="P55" s="3" t="inlineStr">
        <is>
          <t>未开始</t>
        </is>
      </c>
      <c r="Q55" s="3" t="inlineStr">
        <is>
          <t>草稿</t>
        </is>
      </c>
      <c r="R55" s="3" t="inlineStr"/>
      <c r="S55" s="3" t="inlineStr">
        <is>
          <t>config/bayesian_models/status_duty_v1.json -&gt; nodes[conduct_recorded].prior</t>
        </is>
      </c>
      <c r="T55" s="3" t="inlineStr">
        <is>
          <t>否</t>
        </is>
      </c>
      <c r="U55" s="3" t="inlineStr"/>
    </row>
    <row r="56">
      <c r="A56" s="2" t="inlineStr">
        <is>
          <t>CAND-055</t>
        </is>
      </c>
      <c r="B56" s="2" t="inlineStr">
        <is>
          <t>status_duty</t>
        </is>
      </c>
      <c r="C56" s="2" t="inlineStr">
        <is>
          <t>1</t>
        </is>
      </c>
      <c r="D56" s="3" t="inlineStr"/>
      <c r="E56" s="2" t="inlineStr">
        <is>
          <t>authorization_record_absent</t>
        </is>
      </c>
      <c r="F56" s="2" t="inlineStr">
        <is>
          <t>prior</t>
        </is>
      </c>
      <c r="G56" s="2" t="inlineStr"/>
      <c r="H56" s="2" t="n">
        <v>0.2</v>
      </c>
      <c r="I56" s="3" t="inlineStr"/>
      <c r="J56" s="3" t="inlineStr">
        <is>
          <t>Beta-Binomial后验</t>
        </is>
      </c>
      <c r="K56" s="3" t="inlineStr"/>
      <c r="L56" s="3" t="inlineStr"/>
      <c r="M56" s="3" t="inlineStr"/>
      <c r="N56" s="3" t="inlineStr"/>
      <c r="O56" s="3" t="inlineStr">
        <is>
          <t>待复核</t>
        </is>
      </c>
      <c r="P56" s="3" t="inlineStr">
        <is>
          <t>未开始</t>
        </is>
      </c>
      <c r="Q56" s="3" t="inlineStr">
        <is>
          <t>草稿</t>
        </is>
      </c>
      <c r="R56" s="3" t="inlineStr"/>
      <c r="S56" s="3" t="inlineStr">
        <is>
          <t>config/bayesian_models/status_duty_v1.json -&gt; nodes[authorization_record_absent].prior</t>
        </is>
      </c>
      <c r="T56" s="3" t="inlineStr">
        <is>
          <t>否</t>
        </is>
      </c>
      <c r="U56" s="3" t="inlineStr"/>
    </row>
    <row r="57">
      <c r="A57" s="2" t="inlineStr">
        <is>
          <t>CAND-056</t>
        </is>
      </c>
      <c r="B57" s="2" t="inlineStr">
        <is>
          <t>status_duty</t>
        </is>
      </c>
      <c r="C57" s="2" t="inlineStr">
        <is>
          <t>1</t>
        </is>
      </c>
      <c r="D57" s="3" t="inlineStr"/>
      <c r="E57" s="2" t="inlineStr">
        <is>
          <t>status_duty_facts_supported</t>
        </is>
      </c>
      <c r="F57" s="2" t="inlineStr">
        <is>
          <t>intercept</t>
        </is>
      </c>
      <c r="G57" s="2" t="inlineStr"/>
      <c r="H57" s="2" t="n">
        <v>-3.2</v>
      </c>
      <c r="I57" s="3" t="inlineStr"/>
      <c r="J57" s="3" t="inlineStr">
        <is>
          <t>带正则化的加权二项逻辑回归</t>
        </is>
      </c>
      <c r="K57" s="3" t="inlineStr"/>
      <c r="L57" s="3" t="inlineStr"/>
      <c r="M57" s="3" t="inlineStr"/>
      <c r="N57" s="3" t="inlineStr"/>
      <c r="O57" s="3" t="inlineStr">
        <is>
          <t>待复核</t>
        </is>
      </c>
      <c r="P57" s="3" t="inlineStr">
        <is>
          <t>未开始</t>
        </is>
      </c>
      <c r="Q57" s="3" t="inlineStr">
        <is>
          <t>草稿</t>
        </is>
      </c>
      <c r="R57" s="3" t="inlineStr"/>
      <c r="S57" s="3" t="inlineStr">
        <is>
          <t>config/bayesian_models/status_duty_v1.json -&gt; nodes[status_duty_facts_supported].intercept</t>
        </is>
      </c>
      <c r="T57" s="3" t="inlineStr">
        <is>
          <t>否</t>
        </is>
      </c>
      <c r="U57" s="3" t="inlineStr"/>
    </row>
    <row r="58">
      <c r="A58" s="2" t="inlineStr">
        <is>
          <t>CAND-057</t>
        </is>
      </c>
      <c r="B58" s="2" t="inlineStr">
        <is>
          <t>status_duty</t>
        </is>
      </c>
      <c r="C58" s="2" t="inlineStr">
        <is>
          <t>1</t>
        </is>
      </c>
      <c r="D58" s="3" t="inlineStr"/>
      <c r="E58" s="2" t="inlineStr">
        <is>
          <t>status_duty_facts_supported</t>
        </is>
      </c>
      <c r="F58" s="2" t="inlineStr">
        <is>
          <t>weight</t>
        </is>
      </c>
      <c r="G58" s="2" t="inlineStr">
        <is>
          <t>qualification_record_present</t>
        </is>
      </c>
      <c r="H58" s="2" t="n">
        <v>1</v>
      </c>
      <c r="I58" s="3" t="inlineStr"/>
      <c r="J58" s="3" t="inlineStr">
        <is>
          <t>带正则化的加权二项逻辑回归</t>
        </is>
      </c>
      <c r="K58" s="3" t="inlineStr"/>
      <c r="L58" s="3" t="inlineStr"/>
      <c r="M58" s="3" t="inlineStr"/>
      <c r="N58" s="3" t="inlineStr"/>
      <c r="O58" s="3" t="inlineStr">
        <is>
          <t>待复核</t>
        </is>
      </c>
      <c r="P58" s="3" t="inlineStr">
        <is>
          <t>未开始</t>
        </is>
      </c>
      <c r="Q58" s="3" t="inlineStr">
        <is>
          <t>草稿</t>
        </is>
      </c>
      <c r="R58" s="3" t="inlineStr"/>
      <c r="S58" s="3" t="inlineStr">
        <is>
          <t>config/bayesian_models/status_duty_v1.json -&gt; nodes[status_duty_facts_supported].weights.qualification_record_present</t>
        </is>
      </c>
      <c r="T58" s="3" t="inlineStr">
        <is>
          <t>否</t>
        </is>
      </c>
      <c r="U58" s="3" t="inlineStr"/>
    </row>
    <row r="59">
      <c r="A59" s="2" t="inlineStr">
        <is>
          <t>CAND-058</t>
        </is>
      </c>
      <c r="B59" s="2" t="inlineStr">
        <is>
          <t>status_duty</t>
        </is>
      </c>
      <c r="C59" s="2" t="inlineStr">
        <is>
          <t>1</t>
        </is>
      </c>
      <c r="D59" s="3" t="inlineStr"/>
      <c r="E59" s="2" t="inlineStr">
        <is>
          <t>status_duty_facts_supported</t>
        </is>
      </c>
      <c r="F59" s="2" t="inlineStr">
        <is>
          <t>weight</t>
        </is>
      </c>
      <c r="G59" s="2" t="inlineStr">
        <is>
          <t>duty_record_present</t>
        </is>
      </c>
      <c r="H59" s="2" t="n">
        <v>1.2</v>
      </c>
      <c r="I59" s="3" t="inlineStr"/>
      <c r="J59" s="3" t="inlineStr">
        <is>
          <t>带正则化的加权二项逻辑回归</t>
        </is>
      </c>
      <c r="K59" s="3" t="inlineStr"/>
      <c r="L59" s="3" t="inlineStr"/>
      <c r="M59" s="3" t="inlineStr"/>
      <c r="N59" s="3" t="inlineStr"/>
      <c r="O59" s="3" t="inlineStr">
        <is>
          <t>待复核</t>
        </is>
      </c>
      <c r="P59" s="3" t="inlineStr">
        <is>
          <t>未开始</t>
        </is>
      </c>
      <c r="Q59" s="3" t="inlineStr">
        <is>
          <t>草稿</t>
        </is>
      </c>
      <c r="R59" s="3" t="inlineStr"/>
      <c r="S59" s="3" t="inlineStr">
        <is>
          <t>config/bayesian_models/status_duty_v1.json -&gt; nodes[status_duty_facts_supported].weights.duty_record_present</t>
        </is>
      </c>
      <c r="T59" s="3" t="inlineStr">
        <is>
          <t>否</t>
        </is>
      </c>
      <c r="U59" s="3" t="inlineStr"/>
    </row>
    <row r="60">
      <c r="A60" s="2" t="inlineStr">
        <is>
          <t>CAND-059</t>
        </is>
      </c>
      <c r="B60" s="2" t="inlineStr">
        <is>
          <t>status_duty</t>
        </is>
      </c>
      <c r="C60" s="2" t="inlineStr">
        <is>
          <t>1</t>
        </is>
      </c>
      <c r="D60" s="3" t="inlineStr"/>
      <c r="E60" s="2" t="inlineStr">
        <is>
          <t>status_duty_facts_supported</t>
        </is>
      </c>
      <c r="F60" s="2" t="inlineStr">
        <is>
          <t>weight</t>
        </is>
      </c>
      <c r="G60" s="2" t="inlineStr">
        <is>
          <t>conduct_recorded</t>
        </is>
      </c>
      <c r="H60" s="2" t="n">
        <v>1.8</v>
      </c>
      <c r="I60" s="3" t="inlineStr"/>
      <c r="J60" s="3" t="inlineStr">
        <is>
          <t>带正则化的加权二项逻辑回归</t>
        </is>
      </c>
      <c r="K60" s="3" t="inlineStr"/>
      <c r="L60" s="3" t="inlineStr"/>
      <c r="M60" s="3" t="inlineStr"/>
      <c r="N60" s="3" t="inlineStr"/>
      <c r="O60" s="3" t="inlineStr">
        <is>
          <t>待复核</t>
        </is>
      </c>
      <c r="P60" s="3" t="inlineStr">
        <is>
          <t>未开始</t>
        </is>
      </c>
      <c r="Q60" s="3" t="inlineStr">
        <is>
          <t>草稿</t>
        </is>
      </c>
      <c r="R60" s="3" t="inlineStr"/>
      <c r="S60" s="3" t="inlineStr">
        <is>
          <t>config/bayesian_models/status_duty_v1.json -&gt; nodes[status_duty_facts_supported].weights.conduct_recorded</t>
        </is>
      </c>
      <c r="T60" s="3" t="inlineStr">
        <is>
          <t>否</t>
        </is>
      </c>
      <c r="U60" s="3" t="inlineStr"/>
    </row>
    <row r="61">
      <c r="A61" s="2" t="inlineStr">
        <is>
          <t>CAND-060</t>
        </is>
      </c>
      <c r="B61" s="2" t="inlineStr">
        <is>
          <t>status_duty</t>
        </is>
      </c>
      <c r="C61" s="2" t="inlineStr">
        <is>
          <t>1</t>
        </is>
      </c>
      <c r="D61" s="3" t="inlineStr"/>
      <c r="E61" s="2" t="inlineStr">
        <is>
          <t>status_duty_facts_supported</t>
        </is>
      </c>
      <c r="F61" s="2" t="inlineStr">
        <is>
          <t>weight</t>
        </is>
      </c>
      <c r="G61" s="2" t="inlineStr">
        <is>
          <t>authorization_record_absent</t>
        </is>
      </c>
      <c r="H61" s="2" t="n">
        <v>1.2</v>
      </c>
      <c r="I61" s="3" t="inlineStr"/>
      <c r="J61" s="3" t="inlineStr">
        <is>
          <t>带正则化的加权二项逻辑回归</t>
        </is>
      </c>
      <c r="K61" s="3" t="inlineStr"/>
      <c r="L61" s="3" t="inlineStr"/>
      <c r="M61" s="3" t="inlineStr"/>
      <c r="N61" s="3" t="inlineStr"/>
      <c r="O61" s="3" t="inlineStr">
        <is>
          <t>待复核</t>
        </is>
      </c>
      <c r="P61" s="3" t="inlineStr">
        <is>
          <t>未开始</t>
        </is>
      </c>
      <c r="Q61" s="3" t="inlineStr">
        <is>
          <t>草稿</t>
        </is>
      </c>
      <c r="R61" s="3" t="inlineStr"/>
      <c r="S61" s="3" t="inlineStr">
        <is>
          <t>config/bayesian_models/status_duty_v1.json -&gt; nodes[status_duty_facts_supported].weights.authorization_record_absent</t>
        </is>
      </c>
      <c r="T61" s="3" t="inlineStr">
        <is>
          <t>否</t>
        </is>
      </c>
      <c r="U61" s="3" t="inlineStr"/>
    </row>
  </sheetData>
  <autoFilter ref="A1:U61"/>
  <dataValidations count="3">
    <dataValidation sqref="P2:P61" showDropDown="0" showInputMessage="1" showErrorMessage="1" allowBlank="1" errorTitle="无效值" error="请从下拉列表选择，不要自行创造近义值。" promptTitle="填写提示" prompt="候选参数必须独立复核。" type="list">
      <formula1>=ReviewStatuses</formula1>
    </dataValidation>
    <dataValidation sqref="Q2:Q61" showDropDown="0" showInputMessage="1" showErrorMessage="1" allowBlank="1" errorTitle="无效值" error="请从下拉列表选择，不要自行创造近义值。" promptTitle="填写提示" prompt="只有已批准的候选可写入新版本。" type="list">
      <formula1>=ApprovalStatuses</formula1>
    </dataValidation>
    <dataValidation sqref="T2:T61" showDropDown="0" showInputMessage="1" showErrorMessage="1" allowBlank="1" errorTitle="无效值" error="请从下拉列表选择，不要自行创造近义值。" promptTitle="填写提示" prompt="只能写入新版本文件。" type="list">
      <formula1>=YesNoValues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674EA7"/>
    <outlinePr summaryBelow="1" summaryRight="1"/>
    <pageSetUpPr/>
  </sheetPr>
  <dimension ref="A1:S30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 ht="34" customHeight="1">
      <c r="A1" s="1" t="inlineStr">
        <is>
          <t>模型ID</t>
        </is>
      </c>
      <c r="B1" s="1" t="inlineStr">
        <is>
          <t>模型版本</t>
        </is>
      </c>
      <c r="C1" s="1" t="inlineStr">
        <is>
          <t>参数哈希</t>
        </is>
      </c>
      <c r="D1" s="1" t="inlineStr">
        <is>
          <t>校准状态</t>
        </is>
      </c>
      <c r="E1" s="1" t="inlineStr">
        <is>
          <t>数据截止日期</t>
        </is>
      </c>
      <c r="F1" s="1" t="inlineStr">
        <is>
          <t>数据批次</t>
        </is>
      </c>
      <c r="G1" s="1" t="inlineStr">
        <is>
          <t>训练样本数</t>
        </is>
      </c>
      <c r="H1" s="1" t="inlineStr">
        <is>
          <t>验证样本数</t>
        </is>
      </c>
      <c r="I1" s="1" t="inlineStr">
        <is>
          <t>独立复核状态</t>
        </is>
      </c>
      <c r="J1" s="1" t="inlineStr">
        <is>
          <t>离线审批状态</t>
        </is>
      </c>
      <c r="K1" s="1" t="inlineStr">
        <is>
          <t>审批角色代号</t>
        </is>
      </c>
      <c r="L1" s="1" t="inlineStr">
        <is>
          <t>审批日期</t>
        </is>
      </c>
      <c r="M1" s="1" t="inlineStr">
        <is>
          <t>隐私检查</t>
        </is>
      </c>
      <c r="N1" s="1" t="inlineStr">
        <is>
          <t>法律边界检查</t>
        </is>
      </c>
      <c r="O1" s="1" t="inlineStr">
        <is>
          <t>回放结果</t>
        </is>
      </c>
      <c r="P1" s="1" t="inlineStr">
        <is>
          <t>发布包相对路径</t>
        </is>
      </c>
      <c r="Q1" s="1" t="inlineStr">
        <is>
          <t>替代版本</t>
        </is>
      </c>
      <c r="R1" s="1" t="inlineStr">
        <is>
          <t>回滚包路径</t>
        </is>
      </c>
      <c r="S1" s="1" t="inlineStr">
        <is>
          <t>备注</t>
        </is>
      </c>
    </row>
    <row r="2">
      <c r="A2" s="3" t="n"/>
      <c r="B2" s="3" t="n"/>
      <c r="C2" s="3" t="n"/>
      <c r="D2" s="3" t="n"/>
      <c r="E2" s="4" t="n"/>
      <c r="F2" s="3" t="n"/>
      <c r="G2" s="3" t="n"/>
      <c r="H2" s="3" t="n"/>
      <c r="I2" s="3" t="n"/>
      <c r="J2" s="3" t="n"/>
      <c r="K2" s="3" t="n"/>
      <c r="L2" s="4" t="n"/>
      <c r="M2" s="3" t="n"/>
      <c r="N2" s="3" t="n"/>
      <c r="O2" s="3" t="n"/>
      <c r="P2" s="3" t="n"/>
      <c r="Q2" s="3" t="n"/>
      <c r="R2" s="3" t="n"/>
      <c r="S2" s="3" t="n"/>
    </row>
    <row r="3">
      <c r="A3" s="3" t="n"/>
      <c r="B3" s="3" t="n"/>
      <c r="C3" s="3" t="n"/>
      <c r="D3" s="3" t="n"/>
      <c r="E3" s="4" t="n"/>
      <c r="F3" s="3" t="n"/>
      <c r="G3" s="3" t="n"/>
      <c r="H3" s="3" t="n"/>
      <c r="I3" s="3" t="n"/>
      <c r="J3" s="3" t="n"/>
      <c r="K3" s="3" t="n"/>
      <c r="L3" s="4" t="n"/>
      <c r="M3" s="3" t="n"/>
      <c r="N3" s="3" t="n"/>
      <c r="O3" s="3" t="n"/>
      <c r="P3" s="3" t="n"/>
      <c r="Q3" s="3" t="n"/>
      <c r="R3" s="3" t="n"/>
      <c r="S3" s="3" t="n"/>
    </row>
    <row r="4">
      <c r="A4" s="3" t="n"/>
      <c r="B4" s="3" t="n"/>
      <c r="C4" s="3" t="n"/>
      <c r="D4" s="3" t="n"/>
      <c r="E4" s="4" t="n"/>
      <c r="F4" s="3" t="n"/>
      <c r="G4" s="3" t="n"/>
      <c r="H4" s="3" t="n"/>
      <c r="I4" s="3" t="n"/>
      <c r="J4" s="3" t="n"/>
      <c r="K4" s="3" t="n"/>
      <c r="L4" s="4" t="n"/>
      <c r="M4" s="3" t="n"/>
      <c r="N4" s="3" t="n"/>
      <c r="O4" s="3" t="n"/>
      <c r="P4" s="3" t="n"/>
      <c r="Q4" s="3" t="n"/>
      <c r="R4" s="3" t="n"/>
      <c r="S4" s="3" t="n"/>
    </row>
    <row r="5">
      <c r="A5" s="3" t="n"/>
      <c r="B5" s="3" t="n"/>
      <c r="C5" s="3" t="n"/>
      <c r="D5" s="3" t="n"/>
      <c r="E5" s="4" t="n"/>
      <c r="F5" s="3" t="n"/>
      <c r="G5" s="3" t="n"/>
      <c r="H5" s="3" t="n"/>
      <c r="I5" s="3" t="n"/>
      <c r="J5" s="3" t="n"/>
      <c r="K5" s="3" t="n"/>
      <c r="L5" s="4" t="n"/>
      <c r="M5" s="3" t="n"/>
      <c r="N5" s="3" t="n"/>
      <c r="O5" s="3" t="n"/>
      <c r="P5" s="3" t="n"/>
      <c r="Q5" s="3" t="n"/>
      <c r="R5" s="3" t="n"/>
      <c r="S5" s="3" t="n"/>
    </row>
    <row r="6">
      <c r="A6" s="3" t="n"/>
      <c r="B6" s="3" t="n"/>
      <c r="C6" s="3" t="n"/>
      <c r="D6" s="3" t="n"/>
      <c r="E6" s="4" t="n"/>
      <c r="F6" s="3" t="n"/>
      <c r="G6" s="3" t="n"/>
      <c r="H6" s="3" t="n"/>
      <c r="I6" s="3" t="n"/>
      <c r="J6" s="3" t="n"/>
      <c r="K6" s="3" t="n"/>
      <c r="L6" s="4" t="n"/>
      <c r="M6" s="3" t="n"/>
      <c r="N6" s="3" t="n"/>
      <c r="O6" s="3" t="n"/>
      <c r="P6" s="3" t="n"/>
      <c r="Q6" s="3" t="n"/>
      <c r="R6" s="3" t="n"/>
      <c r="S6" s="3" t="n"/>
    </row>
    <row r="7">
      <c r="A7" s="3" t="n"/>
      <c r="B7" s="3" t="n"/>
      <c r="C7" s="3" t="n"/>
      <c r="D7" s="3" t="n"/>
      <c r="E7" s="4" t="n"/>
      <c r="F7" s="3" t="n"/>
      <c r="G7" s="3" t="n"/>
      <c r="H7" s="3" t="n"/>
      <c r="I7" s="3" t="n"/>
      <c r="J7" s="3" t="n"/>
      <c r="K7" s="3" t="n"/>
      <c r="L7" s="4" t="n"/>
      <c r="M7" s="3" t="n"/>
      <c r="N7" s="3" t="n"/>
      <c r="O7" s="3" t="n"/>
      <c r="P7" s="3" t="n"/>
      <c r="Q7" s="3" t="n"/>
      <c r="R7" s="3" t="n"/>
      <c r="S7" s="3" t="n"/>
    </row>
    <row r="8">
      <c r="A8" s="3" t="n"/>
      <c r="B8" s="3" t="n"/>
      <c r="C8" s="3" t="n"/>
      <c r="D8" s="3" t="n"/>
      <c r="E8" s="4" t="n"/>
      <c r="F8" s="3" t="n"/>
      <c r="G8" s="3" t="n"/>
      <c r="H8" s="3" t="n"/>
      <c r="I8" s="3" t="n"/>
      <c r="J8" s="3" t="n"/>
      <c r="K8" s="3" t="n"/>
      <c r="L8" s="4" t="n"/>
      <c r="M8" s="3" t="n"/>
      <c r="N8" s="3" t="n"/>
      <c r="O8" s="3" t="n"/>
      <c r="P8" s="3" t="n"/>
      <c r="Q8" s="3" t="n"/>
      <c r="R8" s="3" t="n"/>
      <c r="S8" s="3" t="n"/>
    </row>
    <row r="9">
      <c r="A9" s="3" t="n"/>
      <c r="B9" s="3" t="n"/>
      <c r="C9" s="3" t="n"/>
      <c r="D9" s="3" t="n"/>
      <c r="E9" s="4" t="n"/>
      <c r="F9" s="3" t="n"/>
      <c r="G9" s="3" t="n"/>
      <c r="H9" s="3" t="n"/>
      <c r="I9" s="3" t="n"/>
      <c r="J9" s="3" t="n"/>
      <c r="K9" s="3" t="n"/>
      <c r="L9" s="4" t="n"/>
      <c r="M9" s="3" t="n"/>
      <c r="N9" s="3" t="n"/>
      <c r="O9" s="3" t="n"/>
      <c r="P9" s="3" t="n"/>
      <c r="Q9" s="3" t="n"/>
      <c r="R9" s="3" t="n"/>
      <c r="S9" s="3" t="n"/>
    </row>
    <row r="10">
      <c r="A10" s="3" t="n"/>
      <c r="B10" s="3" t="n"/>
      <c r="C10" s="3" t="n"/>
      <c r="D10" s="3" t="n"/>
      <c r="E10" s="4" t="n"/>
      <c r="F10" s="3" t="n"/>
      <c r="G10" s="3" t="n"/>
      <c r="H10" s="3" t="n"/>
      <c r="I10" s="3" t="n"/>
      <c r="J10" s="3" t="n"/>
      <c r="K10" s="3" t="n"/>
      <c r="L10" s="4" t="n"/>
      <c r="M10" s="3" t="n"/>
      <c r="N10" s="3" t="n"/>
      <c r="O10" s="3" t="n"/>
      <c r="P10" s="3" t="n"/>
      <c r="Q10" s="3" t="n"/>
      <c r="R10" s="3" t="n"/>
      <c r="S10" s="3" t="n"/>
    </row>
    <row r="11">
      <c r="A11" s="3" t="n"/>
      <c r="B11" s="3" t="n"/>
      <c r="C11" s="3" t="n"/>
      <c r="D11" s="3" t="n"/>
      <c r="E11" s="4" t="n"/>
      <c r="F11" s="3" t="n"/>
      <c r="G11" s="3" t="n"/>
      <c r="H11" s="3" t="n"/>
      <c r="I11" s="3" t="n"/>
      <c r="J11" s="3" t="n"/>
      <c r="K11" s="3" t="n"/>
      <c r="L11" s="4" t="n"/>
      <c r="M11" s="3" t="n"/>
      <c r="N11" s="3" t="n"/>
      <c r="O11" s="3" t="n"/>
      <c r="P11" s="3" t="n"/>
      <c r="Q11" s="3" t="n"/>
      <c r="R11" s="3" t="n"/>
      <c r="S11" s="3" t="n"/>
    </row>
    <row r="12">
      <c r="A12" s="3" t="n"/>
      <c r="B12" s="3" t="n"/>
      <c r="C12" s="3" t="n"/>
      <c r="D12" s="3" t="n"/>
      <c r="E12" s="4" t="n"/>
      <c r="F12" s="3" t="n"/>
      <c r="G12" s="3" t="n"/>
      <c r="H12" s="3" t="n"/>
      <c r="I12" s="3" t="n"/>
      <c r="J12" s="3" t="n"/>
      <c r="K12" s="3" t="n"/>
      <c r="L12" s="4" t="n"/>
      <c r="M12" s="3" t="n"/>
      <c r="N12" s="3" t="n"/>
      <c r="O12" s="3" t="n"/>
      <c r="P12" s="3" t="n"/>
      <c r="Q12" s="3" t="n"/>
      <c r="R12" s="3" t="n"/>
      <c r="S12" s="3" t="n"/>
    </row>
    <row r="13">
      <c r="A13" s="3" t="n"/>
      <c r="B13" s="3" t="n"/>
      <c r="C13" s="3" t="n"/>
      <c r="D13" s="3" t="n"/>
      <c r="E13" s="4" t="n"/>
      <c r="F13" s="3" t="n"/>
      <c r="G13" s="3" t="n"/>
      <c r="H13" s="3" t="n"/>
      <c r="I13" s="3" t="n"/>
      <c r="J13" s="3" t="n"/>
      <c r="K13" s="3" t="n"/>
      <c r="L13" s="4" t="n"/>
      <c r="M13" s="3" t="n"/>
      <c r="N13" s="3" t="n"/>
      <c r="O13" s="3" t="n"/>
      <c r="P13" s="3" t="n"/>
      <c r="Q13" s="3" t="n"/>
      <c r="R13" s="3" t="n"/>
      <c r="S13" s="3" t="n"/>
    </row>
    <row r="14">
      <c r="A14" s="3" t="n"/>
      <c r="B14" s="3" t="n"/>
      <c r="C14" s="3" t="n"/>
      <c r="D14" s="3" t="n"/>
      <c r="E14" s="4" t="n"/>
      <c r="F14" s="3" t="n"/>
      <c r="G14" s="3" t="n"/>
      <c r="H14" s="3" t="n"/>
      <c r="I14" s="3" t="n"/>
      <c r="J14" s="3" t="n"/>
      <c r="K14" s="3" t="n"/>
      <c r="L14" s="4" t="n"/>
      <c r="M14" s="3" t="n"/>
      <c r="N14" s="3" t="n"/>
      <c r="O14" s="3" t="n"/>
      <c r="P14" s="3" t="n"/>
      <c r="Q14" s="3" t="n"/>
      <c r="R14" s="3" t="n"/>
      <c r="S14" s="3" t="n"/>
    </row>
    <row r="15">
      <c r="A15" s="3" t="n"/>
      <c r="B15" s="3" t="n"/>
      <c r="C15" s="3" t="n"/>
      <c r="D15" s="3" t="n"/>
      <c r="E15" s="4" t="n"/>
      <c r="F15" s="3" t="n"/>
      <c r="G15" s="3" t="n"/>
      <c r="H15" s="3" t="n"/>
      <c r="I15" s="3" t="n"/>
      <c r="J15" s="3" t="n"/>
      <c r="K15" s="3" t="n"/>
      <c r="L15" s="4" t="n"/>
      <c r="M15" s="3" t="n"/>
      <c r="N15" s="3" t="n"/>
      <c r="O15" s="3" t="n"/>
      <c r="P15" s="3" t="n"/>
      <c r="Q15" s="3" t="n"/>
      <c r="R15" s="3" t="n"/>
      <c r="S15" s="3" t="n"/>
    </row>
    <row r="16">
      <c r="A16" s="3" t="n"/>
      <c r="B16" s="3" t="n"/>
      <c r="C16" s="3" t="n"/>
      <c r="D16" s="3" t="n"/>
      <c r="E16" s="4" t="n"/>
      <c r="F16" s="3" t="n"/>
      <c r="G16" s="3" t="n"/>
      <c r="H16" s="3" t="n"/>
      <c r="I16" s="3" t="n"/>
      <c r="J16" s="3" t="n"/>
      <c r="K16" s="3" t="n"/>
      <c r="L16" s="4" t="n"/>
      <c r="M16" s="3" t="n"/>
      <c r="N16" s="3" t="n"/>
      <c r="O16" s="3" t="n"/>
      <c r="P16" s="3" t="n"/>
      <c r="Q16" s="3" t="n"/>
      <c r="R16" s="3" t="n"/>
      <c r="S16" s="3" t="n"/>
    </row>
    <row r="17">
      <c r="A17" s="3" t="n"/>
      <c r="B17" s="3" t="n"/>
      <c r="C17" s="3" t="n"/>
      <c r="D17" s="3" t="n"/>
      <c r="E17" s="4" t="n"/>
      <c r="F17" s="3" t="n"/>
      <c r="G17" s="3" t="n"/>
      <c r="H17" s="3" t="n"/>
      <c r="I17" s="3" t="n"/>
      <c r="J17" s="3" t="n"/>
      <c r="K17" s="3" t="n"/>
      <c r="L17" s="4" t="n"/>
      <c r="M17" s="3" t="n"/>
      <c r="N17" s="3" t="n"/>
      <c r="O17" s="3" t="n"/>
      <c r="P17" s="3" t="n"/>
      <c r="Q17" s="3" t="n"/>
      <c r="R17" s="3" t="n"/>
      <c r="S17" s="3" t="n"/>
    </row>
    <row r="18">
      <c r="A18" s="3" t="n"/>
      <c r="B18" s="3" t="n"/>
      <c r="C18" s="3" t="n"/>
      <c r="D18" s="3" t="n"/>
      <c r="E18" s="4" t="n"/>
      <c r="F18" s="3" t="n"/>
      <c r="G18" s="3" t="n"/>
      <c r="H18" s="3" t="n"/>
      <c r="I18" s="3" t="n"/>
      <c r="J18" s="3" t="n"/>
      <c r="K18" s="3" t="n"/>
      <c r="L18" s="4" t="n"/>
      <c r="M18" s="3" t="n"/>
      <c r="N18" s="3" t="n"/>
      <c r="O18" s="3" t="n"/>
      <c r="P18" s="3" t="n"/>
      <c r="Q18" s="3" t="n"/>
      <c r="R18" s="3" t="n"/>
      <c r="S18" s="3" t="n"/>
    </row>
    <row r="19">
      <c r="A19" s="3" t="n"/>
      <c r="B19" s="3" t="n"/>
      <c r="C19" s="3" t="n"/>
      <c r="D19" s="3" t="n"/>
      <c r="E19" s="4" t="n"/>
      <c r="F19" s="3" t="n"/>
      <c r="G19" s="3" t="n"/>
      <c r="H19" s="3" t="n"/>
      <c r="I19" s="3" t="n"/>
      <c r="J19" s="3" t="n"/>
      <c r="K19" s="3" t="n"/>
      <c r="L19" s="4" t="n"/>
      <c r="M19" s="3" t="n"/>
      <c r="N19" s="3" t="n"/>
      <c r="O19" s="3" t="n"/>
      <c r="P19" s="3" t="n"/>
      <c r="Q19" s="3" t="n"/>
      <c r="R19" s="3" t="n"/>
      <c r="S19" s="3" t="n"/>
    </row>
    <row r="20">
      <c r="A20" s="3" t="n"/>
      <c r="B20" s="3" t="n"/>
      <c r="C20" s="3" t="n"/>
      <c r="D20" s="3" t="n"/>
      <c r="E20" s="4" t="n"/>
      <c r="F20" s="3" t="n"/>
      <c r="G20" s="3" t="n"/>
      <c r="H20" s="3" t="n"/>
      <c r="I20" s="3" t="n"/>
      <c r="J20" s="3" t="n"/>
      <c r="K20" s="3" t="n"/>
      <c r="L20" s="4" t="n"/>
      <c r="M20" s="3" t="n"/>
      <c r="N20" s="3" t="n"/>
      <c r="O20" s="3" t="n"/>
      <c r="P20" s="3" t="n"/>
      <c r="Q20" s="3" t="n"/>
      <c r="R20" s="3" t="n"/>
      <c r="S20" s="3" t="n"/>
    </row>
    <row r="21">
      <c r="A21" s="3" t="n"/>
      <c r="B21" s="3" t="n"/>
      <c r="C21" s="3" t="n"/>
      <c r="D21" s="3" t="n"/>
      <c r="E21" s="4" t="n"/>
      <c r="F21" s="3" t="n"/>
      <c r="G21" s="3" t="n"/>
      <c r="H21" s="3" t="n"/>
      <c r="I21" s="3" t="n"/>
      <c r="J21" s="3" t="n"/>
      <c r="K21" s="3" t="n"/>
      <c r="L21" s="4" t="n"/>
      <c r="M21" s="3" t="n"/>
      <c r="N21" s="3" t="n"/>
      <c r="O21" s="3" t="n"/>
      <c r="P21" s="3" t="n"/>
      <c r="Q21" s="3" t="n"/>
      <c r="R21" s="3" t="n"/>
      <c r="S21" s="3" t="n"/>
    </row>
    <row r="22">
      <c r="A22" s="3" t="n"/>
      <c r="B22" s="3" t="n"/>
      <c r="C22" s="3" t="n"/>
      <c r="D22" s="3" t="n"/>
      <c r="E22" s="4" t="n"/>
      <c r="F22" s="3" t="n"/>
      <c r="G22" s="3" t="n"/>
      <c r="H22" s="3" t="n"/>
      <c r="I22" s="3" t="n"/>
      <c r="J22" s="3" t="n"/>
      <c r="K22" s="3" t="n"/>
      <c r="L22" s="4" t="n"/>
      <c r="M22" s="3" t="n"/>
      <c r="N22" s="3" t="n"/>
      <c r="O22" s="3" t="n"/>
      <c r="P22" s="3" t="n"/>
      <c r="Q22" s="3" t="n"/>
      <c r="R22" s="3" t="n"/>
      <c r="S22" s="3" t="n"/>
    </row>
    <row r="23">
      <c r="A23" s="3" t="n"/>
      <c r="B23" s="3" t="n"/>
      <c r="C23" s="3" t="n"/>
      <c r="D23" s="3" t="n"/>
      <c r="E23" s="4" t="n"/>
      <c r="F23" s="3" t="n"/>
      <c r="G23" s="3" t="n"/>
      <c r="H23" s="3" t="n"/>
      <c r="I23" s="3" t="n"/>
      <c r="J23" s="3" t="n"/>
      <c r="K23" s="3" t="n"/>
      <c r="L23" s="4" t="n"/>
      <c r="M23" s="3" t="n"/>
      <c r="N23" s="3" t="n"/>
      <c r="O23" s="3" t="n"/>
      <c r="P23" s="3" t="n"/>
      <c r="Q23" s="3" t="n"/>
      <c r="R23" s="3" t="n"/>
      <c r="S23" s="3" t="n"/>
    </row>
    <row r="24">
      <c r="A24" s="3" t="n"/>
      <c r="B24" s="3" t="n"/>
      <c r="C24" s="3" t="n"/>
      <c r="D24" s="3" t="n"/>
      <c r="E24" s="4" t="n"/>
      <c r="F24" s="3" t="n"/>
      <c r="G24" s="3" t="n"/>
      <c r="H24" s="3" t="n"/>
      <c r="I24" s="3" t="n"/>
      <c r="J24" s="3" t="n"/>
      <c r="K24" s="3" t="n"/>
      <c r="L24" s="4" t="n"/>
      <c r="M24" s="3" t="n"/>
      <c r="N24" s="3" t="n"/>
      <c r="O24" s="3" t="n"/>
      <c r="P24" s="3" t="n"/>
      <c r="Q24" s="3" t="n"/>
      <c r="R24" s="3" t="n"/>
      <c r="S24" s="3" t="n"/>
    </row>
    <row r="25">
      <c r="A25" s="3" t="n"/>
      <c r="B25" s="3" t="n"/>
      <c r="C25" s="3" t="n"/>
      <c r="D25" s="3" t="n"/>
      <c r="E25" s="4" t="n"/>
      <c r="F25" s="3" t="n"/>
      <c r="G25" s="3" t="n"/>
      <c r="H25" s="3" t="n"/>
      <c r="I25" s="3" t="n"/>
      <c r="J25" s="3" t="n"/>
      <c r="K25" s="3" t="n"/>
      <c r="L25" s="4" t="n"/>
      <c r="M25" s="3" t="n"/>
      <c r="N25" s="3" t="n"/>
      <c r="O25" s="3" t="n"/>
      <c r="P25" s="3" t="n"/>
      <c r="Q25" s="3" t="n"/>
      <c r="R25" s="3" t="n"/>
      <c r="S25" s="3" t="n"/>
    </row>
    <row r="26">
      <c r="A26" s="3" t="n"/>
      <c r="B26" s="3" t="n"/>
      <c r="C26" s="3" t="n"/>
      <c r="D26" s="3" t="n"/>
      <c r="E26" s="4" t="n"/>
      <c r="F26" s="3" t="n"/>
      <c r="G26" s="3" t="n"/>
      <c r="H26" s="3" t="n"/>
      <c r="I26" s="3" t="n"/>
      <c r="J26" s="3" t="n"/>
      <c r="K26" s="3" t="n"/>
      <c r="L26" s="4" t="n"/>
      <c r="M26" s="3" t="n"/>
      <c r="N26" s="3" t="n"/>
      <c r="O26" s="3" t="n"/>
      <c r="P26" s="3" t="n"/>
      <c r="Q26" s="3" t="n"/>
      <c r="R26" s="3" t="n"/>
      <c r="S26" s="3" t="n"/>
    </row>
    <row r="27">
      <c r="A27" s="3" t="n"/>
      <c r="B27" s="3" t="n"/>
      <c r="C27" s="3" t="n"/>
      <c r="D27" s="3" t="n"/>
      <c r="E27" s="4" t="n"/>
      <c r="F27" s="3" t="n"/>
      <c r="G27" s="3" t="n"/>
      <c r="H27" s="3" t="n"/>
      <c r="I27" s="3" t="n"/>
      <c r="J27" s="3" t="n"/>
      <c r="K27" s="3" t="n"/>
      <c r="L27" s="4" t="n"/>
      <c r="M27" s="3" t="n"/>
      <c r="N27" s="3" t="n"/>
      <c r="O27" s="3" t="n"/>
      <c r="P27" s="3" t="n"/>
      <c r="Q27" s="3" t="n"/>
      <c r="R27" s="3" t="n"/>
      <c r="S27" s="3" t="n"/>
    </row>
    <row r="28">
      <c r="A28" s="3" t="n"/>
      <c r="B28" s="3" t="n"/>
      <c r="C28" s="3" t="n"/>
      <c r="D28" s="3" t="n"/>
      <c r="E28" s="4" t="n"/>
      <c r="F28" s="3" t="n"/>
      <c r="G28" s="3" t="n"/>
      <c r="H28" s="3" t="n"/>
      <c r="I28" s="3" t="n"/>
      <c r="J28" s="3" t="n"/>
      <c r="K28" s="3" t="n"/>
      <c r="L28" s="4" t="n"/>
      <c r="M28" s="3" t="n"/>
      <c r="N28" s="3" t="n"/>
      <c r="O28" s="3" t="n"/>
      <c r="P28" s="3" t="n"/>
      <c r="Q28" s="3" t="n"/>
      <c r="R28" s="3" t="n"/>
      <c r="S28" s="3" t="n"/>
    </row>
    <row r="29">
      <c r="A29" s="3" t="n"/>
      <c r="B29" s="3" t="n"/>
      <c r="C29" s="3" t="n"/>
      <c r="D29" s="3" t="n"/>
      <c r="E29" s="4" t="n"/>
      <c r="F29" s="3" t="n"/>
      <c r="G29" s="3" t="n"/>
      <c r="H29" s="3" t="n"/>
      <c r="I29" s="3" t="n"/>
      <c r="J29" s="3" t="n"/>
      <c r="K29" s="3" t="n"/>
      <c r="L29" s="4" t="n"/>
      <c r="M29" s="3" t="n"/>
      <c r="N29" s="3" t="n"/>
      <c r="O29" s="3" t="n"/>
      <c r="P29" s="3" t="n"/>
      <c r="Q29" s="3" t="n"/>
      <c r="R29" s="3" t="n"/>
      <c r="S29" s="3" t="n"/>
    </row>
    <row r="30">
      <c r="A30" s="3" t="n"/>
      <c r="B30" s="3" t="n"/>
      <c r="C30" s="3" t="n"/>
      <c r="D30" s="3" t="n"/>
      <c r="E30" s="4" t="n"/>
      <c r="F30" s="3" t="n"/>
      <c r="G30" s="3" t="n"/>
      <c r="H30" s="3" t="n"/>
      <c r="I30" s="3" t="n"/>
      <c r="J30" s="3" t="n"/>
      <c r="K30" s="3" t="n"/>
      <c r="L30" s="4" t="n"/>
      <c r="M30" s="3" t="n"/>
      <c r="N30" s="3" t="n"/>
      <c r="O30" s="3" t="n"/>
      <c r="P30" s="3" t="n"/>
      <c r="Q30" s="3" t="n"/>
      <c r="R30" s="3" t="n"/>
      <c r="S30" s="3" t="n"/>
    </row>
    <row r="31">
      <c r="A31" s="3" t="n"/>
      <c r="B31" s="3" t="n"/>
      <c r="C31" s="3" t="n"/>
      <c r="D31" s="3" t="n"/>
      <c r="E31" s="4" t="n"/>
      <c r="F31" s="3" t="n"/>
      <c r="G31" s="3" t="n"/>
      <c r="H31" s="3" t="n"/>
      <c r="I31" s="3" t="n"/>
      <c r="J31" s="3" t="n"/>
      <c r="K31" s="3" t="n"/>
      <c r="L31" s="4" t="n"/>
      <c r="M31" s="3" t="n"/>
      <c r="N31" s="3" t="n"/>
      <c r="O31" s="3" t="n"/>
      <c r="P31" s="3" t="n"/>
      <c r="Q31" s="3" t="n"/>
      <c r="R31" s="3" t="n"/>
      <c r="S31" s="3" t="n"/>
    </row>
    <row r="32">
      <c r="A32" s="3" t="n"/>
      <c r="B32" s="3" t="n"/>
      <c r="C32" s="3" t="n"/>
      <c r="D32" s="3" t="n"/>
      <c r="E32" s="4" t="n"/>
      <c r="F32" s="3" t="n"/>
      <c r="G32" s="3" t="n"/>
      <c r="H32" s="3" t="n"/>
      <c r="I32" s="3" t="n"/>
      <c r="J32" s="3" t="n"/>
      <c r="K32" s="3" t="n"/>
      <c r="L32" s="4" t="n"/>
      <c r="M32" s="3" t="n"/>
      <c r="N32" s="3" t="n"/>
      <c r="O32" s="3" t="n"/>
      <c r="P32" s="3" t="n"/>
      <c r="Q32" s="3" t="n"/>
      <c r="R32" s="3" t="n"/>
      <c r="S32" s="3" t="n"/>
    </row>
    <row r="33">
      <c r="A33" s="3" t="n"/>
      <c r="B33" s="3" t="n"/>
      <c r="C33" s="3" t="n"/>
      <c r="D33" s="3" t="n"/>
      <c r="E33" s="4" t="n"/>
      <c r="F33" s="3" t="n"/>
      <c r="G33" s="3" t="n"/>
      <c r="H33" s="3" t="n"/>
      <c r="I33" s="3" t="n"/>
      <c r="J33" s="3" t="n"/>
      <c r="K33" s="3" t="n"/>
      <c r="L33" s="4" t="n"/>
      <c r="M33" s="3" t="n"/>
      <c r="N33" s="3" t="n"/>
      <c r="O33" s="3" t="n"/>
      <c r="P33" s="3" t="n"/>
      <c r="Q33" s="3" t="n"/>
      <c r="R33" s="3" t="n"/>
      <c r="S33" s="3" t="n"/>
    </row>
    <row r="34">
      <c r="A34" s="3" t="n"/>
      <c r="B34" s="3" t="n"/>
      <c r="C34" s="3" t="n"/>
      <c r="D34" s="3" t="n"/>
      <c r="E34" s="4" t="n"/>
      <c r="F34" s="3" t="n"/>
      <c r="G34" s="3" t="n"/>
      <c r="H34" s="3" t="n"/>
      <c r="I34" s="3" t="n"/>
      <c r="J34" s="3" t="n"/>
      <c r="K34" s="3" t="n"/>
      <c r="L34" s="4" t="n"/>
      <c r="M34" s="3" t="n"/>
      <c r="N34" s="3" t="n"/>
      <c r="O34" s="3" t="n"/>
      <c r="P34" s="3" t="n"/>
      <c r="Q34" s="3" t="n"/>
      <c r="R34" s="3" t="n"/>
      <c r="S34" s="3" t="n"/>
    </row>
    <row r="35">
      <c r="A35" s="3" t="n"/>
      <c r="B35" s="3" t="n"/>
      <c r="C35" s="3" t="n"/>
      <c r="D35" s="3" t="n"/>
      <c r="E35" s="4" t="n"/>
      <c r="F35" s="3" t="n"/>
      <c r="G35" s="3" t="n"/>
      <c r="H35" s="3" t="n"/>
      <c r="I35" s="3" t="n"/>
      <c r="J35" s="3" t="n"/>
      <c r="K35" s="3" t="n"/>
      <c r="L35" s="4" t="n"/>
      <c r="M35" s="3" t="n"/>
      <c r="N35" s="3" t="n"/>
      <c r="O35" s="3" t="n"/>
      <c r="P35" s="3" t="n"/>
      <c r="Q35" s="3" t="n"/>
      <c r="R35" s="3" t="n"/>
      <c r="S35" s="3" t="n"/>
    </row>
    <row r="36">
      <c r="A36" s="3" t="n"/>
      <c r="B36" s="3" t="n"/>
      <c r="C36" s="3" t="n"/>
      <c r="D36" s="3" t="n"/>
      <c r="E36" s="4" t="n"/>
      <c r="F36" s="3" t="n"/>
      <c r="G36" s="3" t="n"/>
      <c r="H36" s="3" t="n"/>
      <c r="I36" s="3" t="n"/>
      <c r="J36" s="3" t="n"/>
      <c r="K36" s="3" t="n"/>
      <c r="L36" s="4" t="n"/>
      <c r="M36" s="3" t="n"/>
      <c r="N36" s="3" t="n"/>
      <c r="O36" s="3" t="n"/>
      <c r="P36" s="3" t="n"/>
      <c r="Q36" s="3" t="n"/>
      <c r="R36" s="3" t="n"/>
      <c r="S36" s="3" t="n"/>
    </row>
    <row r="37">
      <c r="A37" s="3" t="n"/>
      <c r="B37" s="3" t="n"/>
      <c r="C37" s="3" t="n"/>
      <c r="D37" s="3" t="n"/>
      <c r="E37" s="4" t="n"/>
      <c r="F37" s="3" t="n"/>
      <c r="G37" s="3" t="n"/>
      <c r="H37" s="3" t="n"/>
      <c r="I37" s="3" t="n"/>
      <c r="J37" s="3" t="n"/>
      <c r="K37" s="3" t="n"/>
      <c r="L37" s="4" t="n"/>
      <c r="M37" s="3" t="n"/>
      <c r="N37" s="3" t="n"/>
      <c r="O37" s="3" t="n"/>
      <c r="P37" s="3" t="n"/>
      <c r="Q37" s="3" t="n"/>
      <c r="R37" s="3" t="n"/>
      <c r="S37" s="3" t="n"/>
    </row>
    <row r="38">
      <c r="A38" s="3" t="n"/>
      <c r="B38" s="3" t="n"/>
      <c r="C38" s="3" t="n"/>
      <c r="D38" s="3" t="n"/>
      <c r="E38" s="4" t="n"/>
      <c r="F38" s="3" t="n"/>
      <c r="G38" s="3" t="n"/>
      <c r="H38" s="3" t="n"/>
      <c r="I38" s="3" t="n"/>
      <c r="J38" s="3" t="n"/>
      <c r="K38" s="3" t="n"/>
      <c r="L38" s="4" t="n"/>
      <c r="M38" s="3" t="n"/>
      <c r="N38" s="3" t="n"/>
      <c r="O38" s="3" t="n"/>
      <c r="P38" s="3" t="n"/>
      <c r="Q38" s="3" t="n"/>
      <c r="R38" s="3" t="n"/>
      <c r="S38" s="3" t="n"/>
    </row>
    <row r="39">
      <c r="A39" s="3" t="n"/>
      <c r="B39" s="3" t="n"/>
      <c r="C39" s="3" t="n"/>
      <c r="D39" s="3" t="n"/>
      <c r="E39" s="4" t="n"/>
      <c r="F39" s="3" t="n"/>
      <c r="G39" s="3" t="n"/>
      <c r="H39" s="3" t="n"/>
      <c r="I39" s="3" t="n"/>
      <c r="J39" s="3" t="n"/>
      <c r="K39" s="3" t="n"/>
      <c r="L39" s="4" t="n"/>
      <c r="M39" s="3" t="n"/>
      <c r="N39" s="3" t="n"/>
      <c r="O39" s="3" t="n"/>
      <c r="P39" s="3" t="n"/>
      <c r="Q39" s="3" t="n"/>
      <c r="R39" s="3" t="n"/>
      <c r="S39" s="3" t="n"/>
    </row>
    <row r="40">
      <c r="A40" s="3" t="n"/>
      <c r="B40" s="3" t="n"/>
      <c r="C40" s="3" t="n"/>
      <c r="D40" s="3" t="n"/>
      <c r="E40" s="4" t="n"/>
      <c r="F40" s="3" t="n"/>
      <c r="G40" s="3" t="n"/>
      <c r="H40" s="3" t="n"/>
      <c r="I40" s="3" t="n"/>
      <c r="J40" s="3" t="n"/>
      <c r="K40" s="3" t="n"/>
      <c r="L40" s="4" t="n"/>
      <c r="M40" s="3" t="n"/>
      <c r="N40" s="3" t="n"/>
      <c r="O40" s="3" t="n"/>
      <c r="P40" s="3" t="n"/>
      <c r="Q40" s="3" t="n"/>
      <c r="R40" s="3" t="n"/>
      <c r="S40" s="3" t="n"/>
    </row>
    <row r="41">
      <c r="A41" s="3" t="n"/>
      <c r="B41" s="3" t="n"/>
      <c r="C41" s="3" t="n"/>
      <c r="D41" s="3" t="n"/>
      <c r="E41" s="4" t="n"/>
      <c r="F41" s="3" t="n"/>
      <c r="G41" s="3" t="n"/>
      <c r="H41" s="3" t="n"/>
      <c r="I41" s="3" t="n"/>
      <c r="J41" s="3" t="n"/>
      <c r="K41" s="3" t="n"/>
      <c r="L41" s="4" t="n"/>
      <c r="M41" s="3" t="n"/>
      <c r="N41" s="3" t="n"/>
      <c r="O41" s="3" t="n"/>
      <c r="P41" s="3" t="n"/>
      <c r="Q41" s="3" t="n"/>
      <c r="R41" s="3" t="n"/>
      <c r="S41" s="3" t="n"/>
    </row>
    <row r="42">
      <c r="A42" s="3" t="n"/>
      <c r="B42" s="3" t="n"/>
      <c r="C42" s="3" t="n"/>
      <c r="D42" s="3" t="n"/>
      <c r="E42" s="4" t="n"/>
      <c r="F42" s="3" t="n"/>
      <c r="G42" s="3" t="n"/>
      <c r="H42" s="3" t="n"/>
      <c r="I42" s="3" t="n"/>
      <c r="J42" s="3" t="n"/>
      <c r="K42" s="3" t="n"/>
      <c r="L42" s="4" t="n"/>
      <c r="M42" s="3" t="n"/>
      <c r="N42" s="3" t="n"/>
      <c r="O42" s="3" t="n"/>
      <c r="P42" s="3" t="n"/>
      <c r="Q42" s="3" t="n"/>
      <c r="R42" s="3" t="n"/>
      <c r="S42" s="3" t="n"/>
    </row>
    <row r="43">
      <c r="A43" s="3" t="n"/>
      <c r="B43" s="3" t="n"/>
      <c r="C43" s="3" t="n"/>
      <c r="D43" s="3" t="n"/>
      <c r="E43" s="4" t="n"/>
      <c r="F43" s="3" t="n"/>
      <c r="G43" s="3" t="n"/>
      <c r="H43" s="3" t="n"/>
      <c r="I43" s="3" t="n"/>
      <c r="J43" s="3" t="n"/>
      <c r="K43" s="3" t="n"/>
      <c r="L43" s="4" t="n"/>
      <c r="M43" s="3" t="n"/>
      <c r="N43" s="3" t="n"/>
      <c r="O43" s="3" t="n"/>
      <c r="P43" s="3" t="n"/>
      <c r="Q43" s="3" t="n"/>
      <c r="R43" s="3" t="n"/>
      <c r="S43" s="3" t="n"/>
    </row>
    <row r="44">
      <c r="A44" s="3" t="n"/>
      <c r="B44" s="3" t="n"/>
      <c r="C44" s="3" t="n"/>
      <c r="D44" s="3" t="n"/>
      <c r="E44" s="4" t="n"/>
      <c r="F44" s="3" t="n"/>
      <c r="G44" s="3" t="n"/>
      <c r="H44" s="3" t="n"/>
      <c r="I44" s="3" t="n"/>
      <c r="J44" s="3" t="n"/>
      <c r="K44" s="3" t="n"/>
      <c r="L44" s="4" t="n"/>
      <c r="M44" s="3" t="n"/>
      <c r="N44" s="3" t="n"/>
      <c r="O44" s="3" t="n"/>
      <c r="P44" s="3" t="n"/>
      <c r="Q44" s="3" t="n"/>
      <c r="R44" s="3" t="n"/>
      <c r="S44" s="3" t="n"/>
    </row>
    <row r="45">
      <c r="A45" s="3" t="n"/>
      <c r="B45" s="3" t="n"/>
      <c r="C45" s="3" t="n"/>
      <c r="D45" s="3" t="n"/>
      <c r="E45" s="4" t="n"/>
      <c r="F45" s="3" t="n"/>
      <c r="G45" s="3" t="n"/>
      <c r="H45" s="3" t="n"/>
      <c r="I45" s="3" t="n"/>
      <c r="J45" s="3" t="n"/>
      <c r="K45" s="3" t="n"/>
      <c r="L45" s="4" t="n"/>
      <c r="M45" s="3" t="n"/>
      <c r="N45" s="3" t="n"/>
      <c r="O45" s="3" t="n"/>
      <c r="P45" s="3" t="n"/>
      <c r="Q45" s="3" t="n"/>
      <c r="R45" s="3" t="n"/>
      <c r="S45" s="3" t="n"/>
    </row>
    <row r="46">
      <c r="A46" s="3" t="n"/>
      <c r="B46" s="3" t="n"/>
      <c r="C46" s="3" t="n"/>
      <c r="D46" s="3" t="n"/>
      <c r="E46" s="4" t="n"/>
      <c r="F46" s="3" t="n"/>
      <c r="G46" s="3" t="n"/>
      <c r="H46" s="3" t="n"/>
      <c r="I46" s="3" t="n"/>
      <c r="J46" s="3" t="n"/>
      <c r="K46" s="3" t="n"/>
      <c r="L46" s="4" t="n"/>
      <c r="M46" s="3" t="n"/>
      <c r="N46" s="3" t="n"/>
      <c r="O46" s="3" t="n"/>
      <c r="P46" s="3" t="n"/>
      <c r="Q46" s="3" t="n"/>
      <c r="R46" s="3" t="n"/>
      <c r="S46" s="3" t="n"/>
    </row>
    <row r="47">
      <c r="A47" s="3" t="n"/>
      <c r="B47" s="3" t="n"/>
      <c r="C47" s="3" t="n"/>
      <c r="D47" s="3" t="n"/>
      <c r="E47" s="4" t="n"/>
      <c r="F47" s="3" t="n"/>
      <c r="G47" s="3" t="n"/>
      <c r="H47" s="3" t="n"/>
      <c r="I47" s="3" t="n"/>
      <c r="J47" s="3" t="n"/>
      <c r="K47" s="3" t="n"/>
      <c r="L47" s="4" t="n"/>
      <c r="M47" s="3" t="n"/>
      <c r="N47" s="3" t="n"/>
      <c r="O47" s="3" t="n"/>
      <c r="P47" s="3" t="n"/>
      <c r="Q47" s="3" t="n"/>
      <c r="R47" s="3" t="n"/>
      <c r="S47" s="3" t="n"/>
    </row>
    <row r="48">
      <c r="A48" s="3" t="n"/>
      <c r="B48" s="3" t="n"/>
      <c r="C48" s="3" t="n"/>
      <c r="D48" s="3" t="n"/>
      <c r="E48" s="4" t="n"/>
      <c r="F48" s="3" t="n"/>
      <c r="G48" s="3" t="n"/>
      <c r="H48" s="3" t="n"/>
      <c r="I48" s="3" t="n"/>
      <c r="J48" s="3" t="n"/>
      <c r="K48" s="3" t="n"/>
      <c r="L48" s="4" t="n"/>
      <c r="M48" s="3" t="n"/>
      <c r="N48" s="3" t="n"/>
      <c r="O48" s="3" t="n"/>
      <c r="P48" s="3" t="n"/>
      <c r="Q48" s="3" t="n"/>
      <c r="R48" s="3" t="n"/>
      <c r="S48" s="3" t="n"/>
    </row>
    <row r="49">
      <c r="A49" s="3" t="n"/>
      <c r="B49" s="3" t="n"/>
      <c r="C49" s="3" t="n"/>
      <c r="D49" s="3" t="n"/>
      <c r="E49" s="4" t="n"/>
      <c r="F49" s="3" t="n"/>
      <c r="G49" s="3" t="n"/>
      <c r="H49" s="3" t="n"/>
      <c r="I49" s="3" t="n"/>
      <c r="J49" s="3" t="n"/>
      <c r="K49" s="3" t="n"/>
      <c r="L49" s="4" t="n"/>
      <c r="M49" s="3" t="n"/>
      <c r="N49" s="3" t="n"/>
      <c r="O49" s="3" t="n"/>
      <c r="P49" s="3" t="n"/>
      <c r="Q49" s="3" t="n"/>
      <c r="R49" s="3" t="n"/>
      <c r="S49" s="3" t="n"/>
    </row>
    <row r="50">
      <c r="A50" s="3" t="n"/>
      <c r="B50" s="3" t="n"/>
      <c r="C50" s="3" t="n"/>
      <c r="D50" s="3" t="n"/>
      <c r="E50" s="4" t="n"/>
      <c r="F50" s="3" t="n"/>
      <c r="G50" s="3" t="n"/>
      <c r="H50" s="3" t="n"/>
      <c r="I50" s="3" t="n"/>
      <c r="J50" s="3" t="n"/>
      <c r="K50" s="3" t="n"/>
      <c r="L50" s="4" t="n"/>
      <c r="M50" s="3" t="n"/>
      <c r="N50" s="3" t="n"/>
      <c r="O50" s="3" t="n"/>
      <c r="P50" s="3" t="n"/>
      <c r="Q50" s="3" t="n"/>
      <c r="R50" s="3" t="n"/>
      <c r="S50" s="3" t="n"/>
    </row>
    <row r="51">
      <c r="A51" s="3" t="n"/>
      <c r="B51" s="3" t="n"/>
      <c r="C51" s="3" t="n"/>
      <c r="D51" s="3" t="n"/>
      <c r="E51" s="4" t="n"/>
      <c r="F51" s="3" t="n"/>
      <c r="G51" s="3" t="n"/>
      <c r="H51" s="3" t="n"/>
      <c r="I51" s="3" t="n"/>
      <c r="J51" s="3" t="n"/>
      <c r="K51" s="3" t="n"/>
      <c r="L51" s="4" t="n"/>
      <c r="M51" s="3" t="n"/>
      <c r="N51" s="3" t="n"/>
      <c r="O51" s="3" t="n"/>
      <c r="P51" s="3" t="n"/>
      <c r="Q51" s="3" t="n"/>
      <c r="R51" s="3" t="n"/>
      <c r="S51" s="3" t="n"/>
    </row>
    <row r="52">
      <c r="A52" s="3" t="n"/>
      <c r="B52" s="3" t="n"/>
      <c r="C52" s="3" t="n"/>
      <c r="D52" s="3" t="n"/>
      <c r="E52" s="4" t="n"/>
      <c r="F52" s="3" t="n"/>
      <c r="G52" s="3" t="n"/>
      <c r="H52" s="3" t="n"/>
      <c r="I52" s="3" t="n"/>
      <c r="J52" s="3" t="n"/>
      <c r="K52" s="3" t="n"/>
      <c r="L52" s="4" t="n"/>
      <c r="M52" s="3" t="n"/>
      <c r="N52" s="3" t="n"/>
      <c r="O52" s="3" t="n"/>
      <c r="P52" s="3" t="n"/>
      <c r="Q52" s="3" t="n"/>
      <c r="R52" s="3" t="n"/>
      <c r="S52" s="3" t="n"/>
    </row>
    <row r="53">
      <c r="A53" s="3" t="n"/>
      <c r="B53" s="3" t="n"/>
      <c r="C53" s="3" t="n"/>
      <c r="D53" s="3" t="n"/>
      <c r="E53" s="4" t="n"/>
      <c r="F53" s="3" t="n"/>
      <c r="G53" s="3" t="n"/>
      <c r="H53" s="3" t="n"/>
      <c r="I53" s="3" t="n"/>
      <c r="J53" s="3" t="n"/>
      <c r="K53" s="3" t="n"/>
      <c r="L53" s="4" t="n"/>
      <c r="M53" s="3" t="n"/>
      <c r="N53" s="3" t="n"/>
      <c r="O53" s="3" t="n"/>
      <c r="P53" s="3" t="n"/>
      <c r="Q53" s="3" t="n"/>
      <c r="R53" s="3" t="n"/>
      <c r="S53" s="3" t="n"/>
    </row>
    <row r="54">
      <c r="A54" s="3" t="n"/>
      <c r="B54" s="3" t="n"/>
      <c r="C54" s="3" t="n"/>
      <c r="D54" s="3" t="n"/>
      <c r="E54" s="4" t="n"/>
      <c r="F54" s="3" t="n"/>
      <c r="G54" s="3" t="n"/>
      <c r="H54" s="3" t="n"/>
      <c r="I54" s="3" t="n"/>
      <c r="J54" s="3" t="n"/>
      <c r="K54" s="3" t="n"/>
      <c r="L54" s="4" t="n"/>
      <c r="M54" s="3" t="n"/>
      <c r="N54" s="3" t="n"/>
      <c r="O54" s="3" t="n"/>
      <c r="P54" s="3" t="n"/>
      <c r="Q54" s="3" t="n"/>
      <c r="R54" s="3" t="n"/>
      <c r="S54" s="3" t="n"/>
    </row>
    <row r="55">
      <c r="A55" s="3" t="n"/>
      <c r="B55" s="3" t="n"/>
      <c r="C55" s="3" t="n"/>
      <c r="D55" s="3" t="n"/>
      <c r="E55" s="4" t="n"/>
      <c r="F55" s="3" t="n"/>
      <c r="G55" s="3" t="n"/>
      <c r="H55" s="3" t="n"/>
      <c r="I55" s="3" t="n"/>
      <c r="J55" s="3" t="n"/>
      <c r="K55" s="3" t="n"/>
      <c r="L55" s="4" t="n"/>
      <c r="M55" s="3" t="n"/>
      <c r="N55" s="3" t="n"/>
      <c r="O55" s="3" t="n"/>
      <c r="P55" s="3" t="n"/>
      <c r="Q55" s="3" t="n"/>
      <c r="R55" s="3" t="n"/>
      <c r="S55" s="3" t="n"/>
    </row>
    <row r="56">
      <c r="A56" s="3" t="n"/>
      <c r="B56" s="3" t="n"/>
      <c r="C56" s="3" t="n"/>
      <c r="D56" s="3" t="n"/>
      <c r="E56" s="4" t="n"/>
      <c r="F56" s="3" t="n"/>
      <c r="G56" s="3" t="n"/>
      <c r="H56" s="3" t="n"/>
      <c r="I56" s="3" t="n"/>
      <c r="J56" s="3" t="n"/>
      <c r="K56" s="3" t="n"/>
      <c r="L56" s="4" t="n"/>
      <c r="M56" s="3" t="n"/>
      <c r="N56" s="3" t="n"/>
      <c r="O56" s="3" t="n"/>
      <c r="P56" s="3" t="n"/>
      <c r="Q56" s="3" t="n"/>
      <c r="R56" s="3" t="n"/>
      <c r="S56" s="3" t="n"/>
    </row>
    <row r="57">
      <c r="A57" s="3" t="n"/>
      <c r="B57" s="3" t="n"/>
      <c r="C57" s="3" t="n"/>
      <c r="D57" s="3" t="n"/>
      <c r="E57" s="4" t="n"/>
      <c r="F57" s="3" t="n"/>
      <c r="G57" s="3" t="n"/>
      <c r="H57" s="3" t="n"/>
      <c r="I57" s="3" t="n"/>
      <c r="J57" s="3" t="n"/>
      <c r="K57" s="3" t="n"/>
      <c r="L57" s="4" t="n"/>
      <c r="M57" s="3" t="n"/>
      <c r="N57" s="3" t="n"/>
      <c r="O57" s="3" t="n"/>
      <c r="P57" s="3" t="n"/>
      <c r="Q57" s="3" t="n"/>
      <c r="R57" s="3" t="n"/>
      <c r="S57" s="3" t="n"/>
    </row>
    <row r="58">
      <c r="A58" s="3" t="n"/>
      <c r="B58" s="3" t="n"/>
      <c r="C58" s="3" t="n"/>
      <c r="D58" s="3" t="n"/>
      <c r="E58" s="4" t="n"/>
      <c r="F58" s="3" t="n"/>
      <c r="G58" s="3" t="n"/>
      <c r="H58" s="3" t="n"/>
      <c r="I58" s="3" t="n"/>
      <c r="J58" s="3" t="n"/>
      <c r="K58" s="3" t="n"/>
      <c r="L58" s="4" t="n"/>
      <c r="M58" s="3" t="n"/>
      <c r="N58" s="3" t="n"/>
      <c r="O58" s="3" t="n"/>
      <c r="P58" s="3" t="n"/>
      <c r="Q58" s="3" t="n"/>
      <c r="R58" s="3" t="n"/>
      <c r="S58" s="3" t="n"/>
    </row>
    <row r="59">
      <c r="A59" s="3" t="n"/>
      <c r="B59" s="3" t="n"/>
      <c r="C59" s="3" t="n"/>
      <c r="D59" s="3" t="n"/>
      <c r="E59" s="4" t="n"/>
      <c r="F59" s="3" t="n"/>
      <c r="G59" s="3" t="n"/>
      <c r="H59" s="3" t="n"/>
      <c r="I59" s="3" t="n"/>
      <c r="J59" s="3" t="n"/>
      <c r="K59" s="3" t="n"/>
      <c r="L59" s="4" t="n"/>
      <c r="M59" s="3" t="n"/>
      <c r="N59" s="3" t="n"/>
      <c r="O59" s="3" t="n"/>
      <c r="P59" s="3" t="n"/>
      <c r="Q59" s="3" t="n"/>
      <c r="R59" s="3" t="n"/>
      <c r="S59" s="3" t="n"/>
    </row>
    <row r="60">
      <c r="A60" s="3" t="n"/>
      <c r="B60" s="3" t="n"/>
      <c r="C60" s="3" t="n"/>
      <c r="D60" s="3" t="n"/>
      <c r="E60" s="4" t="n"/>
      <c r="F60" s="3" t="n"/>
      <c r="G60" s="3" t="n"/>
      <c r="H60" s="3" t="n"/>
      <c r="I60" s="3" t="n"/>
      <c r="J60" s="3" t="n"/>
      <c r="K60" s="3" t="n"/>
      <c r="L60" s="4" t="n"/>
      <c r="M60" s="3" t="n"/>
      <c r="N60" s="3" t="n"/>
      <c r="O60" s="3" t="n"/>
      <c r="P60" s="3" t="n"/>
      <c r="Q60" s="3" t="n"/>
      <c r="R60" s="3" t="n"/>
      <c r="S60" s="3" t="n"/>
    </row>
    <row r="61">
      <c r="A61" s="3" t="n"/>
      <c r="B61" s="3" t="n"/>
      <c r="C61" s="3" t="n"/>
      <c r="D61" s="3" t="n"/>
      <c r="E61" s="4" t="n"/>
      <c r="F61" s="3" t="n"/>
      <c r="G61" s="3" t="n"/>
      <c r="H61" s="3" t="n"/>
      <c r="I61" s="3" t="n"/>
      <c r="J61" s="3" t="n"/>
      <c r="K61" s="3" t="n"/>
      <c r="L61" s="4" t="n"/>
      <c r="M61" s="3" t="n"/>
      <c r="N61" s="3" t="n"/>
      <c r="O61" s="3" t="n"/>
      <c r="P61" s="3" t="n"/>
      <c r="Q61" s="3" t="n"/>
      <c r="R61" s="3" t="n"/>
      <c r="S61" s="3" t="n"/>
    </row>
    <row r="62">
      <c r="A62" s="3" t="n"/>
      <c r="B62" s="3" t="n"/>
      <c r="C62" s="3" t="n"/>
      <c r="D62" s="3" t="n"/>
      <c r="E62" s="4" t="n"/>
      <c r="F62" s="3" t="n"/>
      <c r="G62" s="3" t="n"/>
      <c r="H62" s="3" t="n"/>
      <c r="I62" s="3" t="n"/>
      <c r="J62" s="3" t="n"/>
      <c r="K62" s="3" t="n"/>
      <c r="L62" s="4" t="n"/>
      <c r="M62" s="3" t="n"/>
      <c r="N62" s="3" t="n"/>
      <c r="O62" s="3" t="n"/>
      <c r="P62" s="3" t="n"/>
      <c r="Q62" s="3" t="n"/>
      <c r="R62" s="3" t="n"/>
      <c r="S62" s="3" t="n"/>
    </row>
    <row r="63">
      <c r="A63" s="3" t="n"/>
      <c r="B63" s="3" t="n"/>
      <c r="C63" s="3" t="n"/>
      <c r="D63" s="3" t="n"/>
      <c r="E63" s="4" t="n"/>
      <c r="F63" s="3" t="n"/>
      <c r="G63" s="3" t="n"/>
      <c r="H63" s="3" t="n"/>
      <c r="I63" s="3" t="n"/>
      <c r="J63" s="3" t="n"/>
      <c r="K63" s="3" t="n"/>
      <c r="L63" s="4" t="n"/>
      <c r="M63" s="3" t="n"/>
      <c r="N63" s="3" t="n"/>
      <c r="O63" s="3" t="n"/>
      <c r="P63" s="3" t="n"/>
      <c r="Q63" s="3" t="n"/>
      <c r="R63" s="3" t="n"/>
      <c r="S63" s="3" t="n"/>
    </row>
    <row r="64">
      <c r="A64" s="3" t="n"/>
      <c r="B64" s="3" t="n"/>
      <c r="C64" s="3" t="n"/>
      <c r="D64" s="3" t="n"/>
      <c r="E64" s="4" t="n"/>
      <c r="F64" s="3" t="n"/>
      <c r="G64" s="3" t="n"/>
      <c r="H64" s="3" t="n"/>
      <c r="I64" s="3" t="n"/>
      <c r="J64" s="3" t="n"/>
      <c r="K64" s="3" t="n"/>
      <c r="L64" s="4" t="n"/>
      <c r="M64" s="3" t="n"/>
      <c r="N64" s="3" t="n"/>
      <c r="O64" s="3" t="n"/>
      <c r="P64" s="3" t="n"/>
      <c r="Q64" s="3" t="n"/>
      <c r="R64" s="3" t="n"/>
      <c r="S64" s="3" t="n"/>
    </row>
    <row r="65">
      <c r="A65" s="3" t="n"/>
      <c r="B65" s="3" t="n"/>
      <c r="C65" s="3" t="n"/>
      <c r="D65" s="3" t="n"/>
      <c r="E65" s="4" t="n"/>
      <c r="F65" s="3" t="n"/>
      <c r="G65" s="3" t="n"/>
      <c r="H65" s="3" t="n"/>
      <c r="I65" s="3" t="n"/>
      <c r="J65" s="3" t="n"/>
      <c r="K65" s="3" t="n"/>
      <c r="L65" s="4" t="n"/>
      <c r="M65" s="3" t="n"/>
      <c r="N65" s="3" t="n"/>
      <c r="O65" s="3" t="n"/>
      <c r="P65" s="3" t="n"/>
      <c r="Q65" s="3" t="n"/>
      <c r="R65" s="3" t="n"/>
      <c r="S65" s="3" t="n"/>
    </row>
    <row r="66">
      <c r="A66" s="3" t="n"/>
      <c r="B66" s="3" t="n"/>
      <c r="C66" s="3" t="n"/>
      <c r="D66" s="3" t="n"/>
      <c r="E66" s="4" t="n"/>
      <c r="F66" s="3" t="n"/>
      <c r="G66" s="3" t="n"/>
      <c r="H66" s="3" t="n"/>
      <c r="I66" s="3" t="n"/>
      <c r="J66" s="3" t="n"/>
      <c r="K66" s="3" t="n"/>
      <c r="L66" s="4" t="n"/>
      <c r="M66" s="3" t="n"/>
      <c r="N66" s="3" t="n"/>
      <c r="O66" s="3" t="n"/>
      <c r="P66" s="3" t="n"/>
      <c r="Q66" s="3" t="n"/>
      <c r="R66" s="3" t="n"/>
      <c r="S66" s="3" t="n"/>
    </row>
    <row r="67">
      <c r="A67" s="3" t="n"/>
      <c r="B67" s="3" t="n"/>
      <c r="C67" s="3" t="n"/>
      <c r="D67" s="3" t="n"/>
      <c r="E67" s="4" t="n"/>
      <c r="F67" s="3" t="n"/>
      <c r="G67" s="3" t="n"/>
      <c r="H67" s="3" t="n"/>
      <c r="I67" s="3" t="n"/>
      <c r="J67" s="3" t="n"/>
      <c r="K67" s="3" t="n"/>
      <c r="L67" s="4" t="n"/>
      <c r="M67" s="3" t="n"/>
      <c r="N67" s="3" t="n"/>
      <c r="O67" s="3" t="n"/>
      <c r="P67" s="3" t="n"/>
      <c r="Q67" s="3" t="n"/>
      <c r="R67" s="3" t="n"/>
      <c r="S67" s="3" t="n"/>
    </row>
    <row r="68">
      <c r="A68" s="3" t="n"/>
      <c r="B68" s="3" t="n"/>
      <c r="C68" s="3" t="n"/>
      <c r="D68" s="3" t="n"/>
      <c r="E68" s="4" t="n"/>
      <c r="F68" s="3" t="n"/>
      <c r="G68" s="3" t="n"/>
      <c r="H68" s="3" t="n"/>
      <c r="I68" s="3" t="n"/>
      <c r="J68" s="3" t="n"/>
      <c r="K68" s="3" t="n"/>
      <c r="L68" s="4" t="n"/>
      <c r="M68" s="3" t="n"/>
      <c r="N68" s="3" t="n"/>
      <c r="O68" s="3" t="n"/>
      <c r="P68" s="3" t="n"/>
      <c r="Q68" s="3" t="n"/>
      <c r="R68" s="3" t="n"/>
      <c r="S68" s="3" t="n"/>
    </row>
    <row r="69">
      <c r="A69" s="3" t="n"/>
      <c r="B69" s="3" t="n"/>
      <c r="C69" s="3" t="n"/>
      <c r="D69" s="3" t="n"/>
      <c r="E69" s="4" t="n"/>
      <c r="F69" s="3" t="n"/>
      <c r="G69" s="3" t="n"/>
      <c r="H69" s="3" t="n"/>
      <c r="I69" s="3" t="n"/>
      <c r="J69" s="3" t="n"/>
      <c r="K69" s="3" t="n"/>
      <c r="L69" s="4" t="n"/>
      <c r="M69" s="3" t="n"/>
      <c r="N69" s="3" t="n"/>
      <c r="O69" s="3" t="n"/>
      <c r="P69" s="3" t="n"/>
      <c r="Q69" s="3" t="n"/>
      <c r="R69" s="3" t="n"/>
      <c r="S69" s="3" t="n"/>
    </row>
    <row r="70">
      <c r="A70" s="3" t="n"/>
      <c r="B70" s="3" t="n"/>
      <c r="C70" s="3" t="n"/>
      <c r="D70" s="3" t="n"/>
      <c r="E70" s="4" t="n"/>
      <c r="F70" s="3" t="n"/>
      <c r="G70" s="3" t="n"/>
      <c r="H70" s="3" t="n"/>
      <c r="I70" s="3" t="n"/>
      <c r="J70" s="3" t="n"/>
      <c r="K70" s="3" t="n"/>
      <c r="L70" s="4" t="n"/>
      <c r="M70" s="3" t="n"/>
      <c r="N70" s="3" t="n"/>
      <c r="O70" s="3" t="n"/>
      <c r="P70" s="3" t="n"/>
      <c r="Q70" s="3" t="n"/>
      <c r="R70" s="3" t="n"/>
      <c r="S70" s="3" t="n"/>
    </row>
    <row r="71">
      <c r="A71" s="3" t="n"/>
      <c r="B71" s="3" t="n"/>
      <c r="C71" s="3" t="n"/>
      <c r="D71" s="3" t="n"/>
      <c r="E71" s="4" t="n"/>
      <c r="F71" s="3" t="n"/>
      <c r="G71" s="3" t="n"/>
      <c r="H71" s="3" t="n"/>
      <c r="I71" s="3" t="n"/>
      <c r="J71" s="3" t="n"/>
      <c r="K71" s="3" t="n"/>
      <c r="L71" s="4" t="n"/>
      <c r="M71" s="3" t="n"/>
      <c r="N71" s="3" t="n"/>
      <c r="O71" s="3" t="n"/>
      <c r="P71" s="3" t="n"/>
      <c r="Q71" s="3" t="n"/>
      <c r="R71" s="3" t="n"/>
      <c r="S71" s="3" t="n"/>
    </row>
    <row r="72">
      <c r="A72" s="3" t="n"/>
      <c r="B72" s="3" t="n"/>
      <c r="C72" s="3" t="n"/>
      <c r="D72" s="3" t="n"/>
      <c r="E72" s="4" t="n"/>
      <c r="F72" s="3" t="n"/>
      <c r="G72" s="3" t="n"/>
      <c r="H72" s="3" t="n"/>
      <c r="I72" s="3" t="n"/>
      <c r="J72" s="3" t="n"/>
      <c r="K72" s="3" t="n"/>
      <c r="L72" s="4" t="n"/>
      <c r="M72" s="3" t="n"/>
      <c r="N72" s="3" t="n"/>
      <c r="O72" s="3" t="n"/>
      <c r="P72" s="3" t="n"/>
      <c r="Q72" s="3" t="n"/>
      <c r="R72" s="3" t="n"/>
      <c r="S72" s="3" t="n"/>
    </row>
    <row r="73">
      <c r="A73" s="3" t="n"/>
      <c r="B73" s="3" t="n"/>
      <c r="C73" s="3" t="n"/>
      <c r="D73" s="3" t="n"/>
      <c r="E73" s="4" t="n"/>
      <c r="F73" s="3" t="n"/>
      <c r="G73" s="3" t="n"/>
      <c r="H73" s="3" t="n"/>
      <c r="I73" s="3" t="n"/>
      <c r="J73" s="3" t="n"/>
      <c r="K73" s="3" t="n"/>
      <c r="L73" s="4" t="n"/>
      <c r="M73" s="3" t="n"/>
      <c r="N73" s="3" t="n"/>
      <c r="O73" s="3" t="n"/>
      <c r="P73" s="3" t="n"/>
      <c r="Q73" s="3" t="n"/>
      <c r="R73" s="3" t="n"/>
      <c r="S73" s="3" t="n"/>
    </row>
    <row r="74">
      <c r="A74" s="3" t="n"/>
      <c r="B74" s="3" t="n"/>
      <c r="C74" s="3" t="n"/>
      <c r="D74" s="3" t="n"/>
      <c r="E74" s="4" t="n"/>
      <c r="F74" s="3" t="n"/>
      <c r="G74" s="3" t="n"/>
      <c r="H74" s="3" t="n"/>
      <c r="I74" s="3" t="n"/>
      <c r="J74" s="3" t="n"/>
      <c r="K74" s="3" t="n"/>
      <c r="L74" s="4" t="n"/>
      <c r="M74" s="3" t="n"/>
      <c r="N74" s="3" t="n"/>
      <c r="O74" s="3" t="n"/>
      <c r="P74" s="3" t="n"/>
      <c r="Q74" s="3" t="n"/>
      <c r="R74" s="3" t="n"/>
      <c r="S74" s="3" t="n"/>
    </row>
    <row r="75">
      <c r="A75" s="3" t="n"/>
      <c r="B75" s="3" t="n"/>
      <c r="C75" s="3" t="n"/>
      <c r="D75" s="3" t="n"/>
      <c r="E75" s="4" t="n"/>
      <c r="F75" s="3" t="n"/>
      <c r="G75" s="3" t="n"/>
      <c r="H75" s="3" t="n"/>
      <c r="I75" s="3" t="n"/>
      <c r="J75" s="3" t="n"/>
      <c r="K75" s="3" t="n"/>
      <c r="L75" s="4" t="n"/>
      <c r="M75" s="3" t="n"/>
      <c r="N75" s="3" t="n"/>
      <c r="O75" s="3" t="n"/>
      <c r="P75" s="3" t="n"/>
      <c r="Q75" s="3" t="n"/>
      <c r="R75" s="3" t="n"/>
      <c r="S75" s="3" t="n"/>
    </row>
    <row r="76">
      <c r="A76" s="3" t="n"/>
      <c r="B76" s="3" t="n"/>
      <c r="C76" s="3" t="n"/>
      <c r="D76" s="3" t="n"/>
      <c r="E76" s="4" t="n"/>
      <c r="F76" s="3" t="n"/>
      <c r="G76" s="3" t="n"/>
      <c r="H76" s="3" t="n"/>
      <c r="I76" s="3" t="n"/>
      <c r="J76" s="3" t="n"/>
      <c r="K76" s="3" t="n"/>
      <c r="L76" s="4" t="n"/>
      <c r="M76" s="3" t="n"/>
      <c r="N76" s="3" t="n"/>
      <c r="O76" s="3" t="n"/>
      <c r="P76" s="3" t="n"/>
      <c r="Q76" s="3" t="n"/>
      <c r="R76" s="3" t="n"/>
      <c r="S76" s="3" t="n"/>
    </row>
    <row r="77">
      <c r="A77" s="3" t="n"/>
      <c r="B77" s="3" t="n"/>
      <c r="C77" s="3" t="n"/>
      <c r="D77" s="3" t="n"/>
      <c r="E77" s="4" t="n"/>
      <c r="F77" s="3" t="n"/>
      <c r="G77" s="3" t="n"/>
      <c r="H77" s="3" t="n"/>
      <c r="I77" s="3" t="n"/>
      <c r="J77" s="3" t="n"/>
      <c r="K77" s="3" t="n"/>
      <c r="L77" s="4" t="n"/>
      <c r="M77" s="3" t="n"/>
      <c r="N77" s="3" t="n"/>
      <c r="O77" s="3" t="n"/>
      <c r="P77" s="3" t="n"/>
      <c r="Q77" s="3" t="n"/>
      <c r="R77" s="3" t="n"/>
      <c r="S77" s="3" t="n"/>
    </row>
    <row r="78">
      <c r="A78" s="3" t="n"/>
      <c r="B78" s="3" t="n"/>
      <c r="C78" s="3" t="n"/>
      <c r="D78" s="3" t="n"/>
      <c r="E78" s="4" t="n"/>
      <c r="F78" s="3" t="n"/>
      <c r="G78" s="3" t="n"/>
      <c r="H78" s="3" t="n"/>
      <c r="I78" s="3" t="n"/>
      <c r="J78" s="3" t="n"/>
      <c r="K78" s="3" t="n"/>
      <c r="L78" s="4" t="n"/>
      <c r="M78" s="3" t="n"/>
      <c r="N78" s="3" t="n"/>
      <c r="O78" s="3" t="n"/>
      <c r="P78" s="3" t="n"/>
      <c r="Q78" s="3" t="n"/>
      <c r="R78" s="3" t="n"/>
      <c r="S78" s="3" t="n"/>
    </row>
    <row r="79">
      <c r="A79" s="3" t="n"/>
      <c r="B79" s="3" t="n"/>
      <c r="C79" s="3" t="n"/>
      <c r="D79" s="3" t="n"/>
      <c r="E79" s="4" t="n"/>
      <c r="F79" s="3" t="n"/>
      <c r="G79" s="3" t="n"/>
      <c r="H79" s="3" t="n"/>
      <c r="I79" s="3" t="n"/>
      <c r="J79" s="3" t="n"/>
      <c r="K79" s="3" t="n"/>
      <c r="L79" s="4" t="n"/>
      <c r="M79" s="3" t="n"/>
      <c r="N79" s="3" t="n"/>
      <c r="O79" s="3" t="n"/>
      <c r="P79" s="3" t="n"/>
      <c r="Q79" s="3" t="n"/>
      <c r="R79" s="3" t="n"/>
      <c r="S79" s="3" t="n"/>
    </row>
    <row r="80">
      <c r="A80" s="3" t="n"/>
      <c r="B80" s="3" t="n"/>
      <c r="C80" s="3" t="n"/>
      <c r="D80" s="3" t="n"/>
      <c r="E80" s="4" t="n"/>
      <c r="F80" s="3" t="n"/>
      <c r="G80" s="3" t="n"/>
      <c r="H80" s="3" t="n"/>
      <c r="I80" s="3" t="n"/>
      <c r="J80" s="3" t="n"/>
      <c r="K80" s="3" t="n"/>
      <c r="L80" s="4" t="n"/>
      <c r="M80" s="3" t="n"/>
      <c r="N80" s="3" t="n"/>
      <c r="O80" s="3" t="n"/>
      <c r="P80" s="3" t="n"/>
      <c r="Q80" s="3" t="n"/>
      <c r="R80" s="3" t="n"/>
      <c r="S80" s="3" t="n"/>
    </row>
    <row r="81">
      <c r="A81" s="3" t="n"/>
      <c r="B81" s="3" t="n"/>
      <c r="C81" s="3" t="n"/>
      <c r="D81" s="3" t="n"/>
      <c r="E81" s="4" t="n"/>
      <c r="F81" s="3" t="n"/>
      <c r="G81" s="3" t="n"/>
      <c r="H81" s="3" t="n"/>
      <c r="I81" s="3" t="n"/>
      <c r="J81" s="3" t="n"/>
      <c r="K81" s="3" t="n"/>
      <c r="L81" s="4" t="n"/>
      <c r="M81" s="3" t="n"/>
      <c r="N81" s="3" t="n"/>
      <c r="O81" s="3" t="n"/>
      <c r="P81" s="3" t="n"/>
      <c r="Q81" s="3" t="n"/>
      <c r="R81" s="3" t="n"/>
      <c r="S81" s="3" t="n"/>
    </row>
    <row r="82">
      <c r="A82" s="3" t="n"/>
      <c r="B82" s="3" t="n"/>
      <c r="C82" s="3" t="n"/>
      <c r="D82" s="3" t="n"/>
      <c r="E82" s="4" t="n"/>
      <c r="F82" s="3" t="n"/>
      <c r="G82" s="3" t="n"/>
      <c r="H82" s="3" t="n"/>
      <c r="I82" s="3" t="n"/>
      <c r="J82" s="3" t="n"/>
      <c r="K82" s="3" t="n"/>
      <c r="L82" s="4" t="n"/>
      <c r="M82" s="3" t="n"/>
      <c r="N82" s="3" t="n"/>
      <c r="O82" s="3" t="n"/>
      <c r="P82" s="3" t="n"/>
      <c r="Q82" s="3" t="n"/>
      <c r="R82" s="3" t="n"/>
      <c r="S82" s="3" t="n"/>
    </row>
    <row r="83">
      <c r="A83" s="3" t="n"/>
      <c r="B83" s="3" t="n"/>
      <c r="C83" s="3" t="n"/>
      <c r="D83" s="3" t="n"/>
      <c r="E83" s="4" t="n"/>
      <c r="F83" s="3" t="n"/>
      <c r="G83" s="3" t="n"/>
      <c r="H83" s="3" t="n"/>
      <c r="I83" s="3" t="n"/>
      <c r="J83" s="3" t="n"/>
      <c r="K83" s="3" t="n"/>
      <c r="L83" s="4" t="n"/>
      <c r="M83" s="3" t="n"/>
      <c r="N83" s="3" t="n"/>
      <c r="O83" s="3" t="n"/>
      <c r="P83" s="3" t="n"/>
      <c r="Q83" s="3" t="n"/>
      <c r="R83" s="3" t="n"/>
      <c r="S83" s="3" t="n"/>
    </row>
    <row r="84">
      <c r="A84" s="3" t="n"/>
      <c r="B84" s="3" t="n"/>
      <c r="C84" s="3" t="n"/>
      <c r="D84" s="3" t="n"/>
      <c r="E84" s="4" t="n"/>
      <c r="F84" s="3" t="n"/>
      <c r="G84" s="3" t="n"/>
      <c r="H84" s="3" t="n"/>
      <c r="I84" s="3" t="n"/>
      <c r="J84" s="3" t="n"/>
      <c r="K84" s="3" t="n"/>
      <c r="L84" s="4" t="n"/>
      <c r="M84" s="3" t="n"/>
      <c r="N84" s="3" t="n"/>
      <c r="O84" s="3" t="n"/>
      <c r="P84" s="3" t="n"/>
      <c r="Q84" s="3" t="n"/>
      <c r="R84" s="3" t="n"/>
      <c r="S84" s="3" t="n"/>
    </row>
    <row r="85">
      <c r="A85" s="3" t="n"/>
      <c r="B85" s="3" t="n"/>
      <c r="C85" s="3" t="n"/>
      <c r="D85" s="3" t="n"/>
      <c r="E85" s="4" t="n"/>
      <c r="F85" s="3" t="n"/>
      <c r="G85" s="3" t="n"/>
      <c r="H85" s="3" t="n"/>
      <c r="I85" s="3" t="n"/>
      <c r="J85" s="3" t="n"/>
      <c r="K85" s="3" t="n"/>
      <c r="L85" s="4" t="n"/>
      <c r="M85" s="3" t="n"/>
      <c r="N85" s="3" t="n"/>
      <c r="O85" s="3" t="n"/>
      <c r="P85" s="3" t="n"/>
      <c r="Q85" s="3" t="n"/>
      <c r="R85" s="3" t="n"/>
      <c r="S85" s="3" t="n"/>
    </row>
    <row r="86">
      <c r="A86" s="3" t="n"/>
      <c r="B86" s="3" t="n"/>
      <c r="C86" s="3" t="n"/>
      <c r="D86" s="3" t="n"/>
      <c r="E86" s="4" t="n"/>
      <c r="F86" s="3" t="n"/>
      <c r="G86" s="3" t="n"/>
      <c r="H86" s="3" t="n"/>
      <c r="I86" s="3" t="n"/>
      <c r="J86" s="3" t="n"/>
      <c r="K86" s="3" t="n"/>
      <c r="L86" s="4" t="n"/>
      <c r="M86" s="3" t="n"/>
      <c r="N86" s="3" t="n"/>
      <c r="O86" s="3" t="n"/>
      <c r="P86" s="3" t="n"/>
      <c r="Q86" s="3" t="n"/>
      <c r="R86" s="3" t="n"/>
      <c r="S86" s="3" t="n"/>
    </row>
    <row r="87">
      <c r="A87" s="3" t="n"/>
      <c r="B87" s="3" t="n"/>
      <c r="C87" s="3" t="n"/>
      <c r="D87" s="3" t="n"/>
      <c r="E87" s="4" t="n"/>
      <c r="F87" s="3" t="n"/>
      <c r="G87" s="3" t="n"/>
      <c r="H87" s="3" t="n"/>
      <c r="I87" s="3" t="n"/>
      <c r="J87" s="3" t="n"/>
      <c r="K87" s="3" t="n"/>
      <c r="L87" s="4" t="n"/>
      <c r="M87" s="3" t="n"/>
      <c r="N87" s="3" t="n"/>
      <c r="O87" s="3" t="n"/>
      <c r="P87" s="3" t="n"/>
      <c r="Q87" s="3" t="n"/>
      <c r="R87" s="3" t="n"/>
      <c r="S87" s="3" t="n"/>
    </row>
    <row r="88">
      <c r="A88" s="3" t="n"/>
      <c r="B88" s="3" t="n"/>
      <c r="C88" s="3" t="n"/>
      <c r="D88" s="3" t="n"/>
      <c r="E88" s="4" t="n"/>
      <c r="F88" s="3" t="n"/>
      <c r="G88" s="3" t="n"/>
      <c r="H88" s="3" t="n"/>
      <c r="I88" s="3" t="n"/>
      <c r="J88" s="3" t="n"/>
      <c r="K88" s="3" t="n"/>
      <c r="L88" s="4" t="n"/>
      <c r="M88" s="3" t="n"/>
      <c r="N88" s="3" t="n"/>
      <c r="O88" s="3" t="n"/>
      <c r="P88" s="3" t="n"/>
      <c r="Q88" s="3" t="n"/>
      <c r="R88" s="3" t="n"/>
      <c r="S88" s="3" t="n"/>
    </row>
    <row r="89">
      <c r="A89" s="3" t="n"/>
      <c r="B89" s="3" t="n"/>
      <c r="C89" s="3" t="n"/>
      <c r="D89" s="3" t="n"/>
      <c r="E89" s="4" t="n"/>
      <c r="F89" s="3" t="n"/>
      <c r="G89" s="3" t="n"/>
      <c r="H89" s="3" t="n"/>
      <c r="I89" s="3" t="n"/>
      <c r="J89" s="3" t="n"/>
      <c r="K89" s="3" t="n"/>
      <c r="L89" s="4" t="n"/>
      <c r="M89" s="3" t="n"/>
      <c r="N89" s="3" t="n"/>
      <c r="O89" s="3" t="n"/>
      <c r="P89" s="3" t="n"/>
      <c r="Q89" s="3" t="n"/>
      <c r="R89" s="3" t="n"/>
      <c r="S89" s="3" t="n"/>
    </row>
    <row r="90">
      <c r="A90" s="3" t="n"/>
      <c r="B90" s="3" t="n"/>
      <c r="C90" s="3" t="n"/>
      <c r="D90" s="3" t="n"/>
      <c r="E90" s="4" t="n"/>
      <c r="F90" s="3" t="n"/>
      <c r="G90" s="3" t="n"/>
      <c r="H90" s="3" t="n"/>
      <c r="I90" s="3" t="n"/>
      <c r="J90" s="3" t="n"/>
      <c r="K90" s="3" t="n"/>
      <c r="L90" s="4" t="n"/>
      <c r="M90" s="3" t="n"/>
      <c r="N90" s="3" t="n"/>
      <c r="O90" s="3" t="n"/>
      <c r="P90" s="3" t="n"/>
      <c r="Q90" s="3" t="n"/>
      <c r="R90" s="3" t="n"/>
      <c r="S90" s="3" t="n"/>
    </row>
    <row r="91">
      <c r="A91" s="3" t="n"/>
      <c r="B91" s="3" t="n"/>
      <c r="C91" s="3" t="n"/>
      <c r="D91" s="3" t="n"/>
      <c r="E91" s="4" t="n"/>
      <c r="F91" s="3" t="n"/>
      <c r="G91" s="3" t="n"/>
      <c r="H91" s="3" t="n"/>
      <c r="I91" s="3" t="n"/>
      <c r="J91" s="3" t="n"/>
      <c r="K91" s="3" t="n"/>
      <c r="L91" s="4" t="n"/>
      <c r="M91" s="3" t="n"/>
      <c r="N91" s="3" t="n"/>
      <c r="O91" s="3" t="n"/>
      <c r="P91" s="3" t="n"/>
      <c r="Q91" s="3" t="n"/>
      <c r="R91" s="3" t="n"/>
      <c r="S91" s="3" t="n"/>
    </row>
    <row r="92">
      <c r="A92" s="3" t="n"/>
      <c r="B92" s="3" t="n"/>
      <c r="C92" s="3" t="n"/>
      <c r="D92" s="3" t="n"/>
      <c r="E92" s="4" t="n"/>
      <c r="F92" s="3" t="n"/>
      <c r="G92" s="3" t="n"/>
      <c r="H92" s="3" t="n"/>
      <c r="I92" s="3" t="n"/>
      <c r="J92" s="3" t="n"/>
      <c r="K92" s="3" t="n"/>
      <c r="L92" s="4" t="n"/>
      <c r="M92" s="3" t="n"/>
      <c r="N92" s="3" t="n"/>
      <c r="O92" s="3" t="n"/>
      <c r="P92" s="3" t="n"/>
      <c r="Q92" s="3" t="n"/>
      <c r="R92" s="3" t="n"/>
      <c r="S92" s="3" t="n"/>
    </row>
    <row r="93">
      <c r="A93" s="3" t="n"/>
      <c r="B93" s="3" t="n"/>
      <c r="C93" s="3" t="n"/>
      <c r="D93" s="3" t="n"/>
      <c r="E93" s="4" t="n"/>
      <c r="F93" s="3" t="n"/>
      <c r="G93" s="3" t="n"/>
      <c r="H93" s="3" t="n"/>
      <c r="I93" s="3" t="n"/>
      <c r="J93" s="3" t="n"/>
      <c r="K93" s="3" t="n"/>
      <c r="L93" s="4" t="n"/>
      <c r="M93" s="3" t="n"/>
      <c r="N93" s="3" t="n"/>
      <c r="O93" s="3" t="n"/>
      <c r="P93" s="3" t="n"/>
      <c r="Q93" s="3" t="n"/>
      <c r="R93" s="3" t="n"/>
      <c r="S93" s="3" t="n"/>
    </row>
    <row r="94">
      <c r="A94" s="3" t="n"/>
      <c r="B94" s="3" t="n"/>
      <c r="C94" s="3" t="n"/>
      <c r="D94" s="3" t="n"/>
      <c r="E94" s="4" t="n"/>
      <c r="F94" s="3" t="n"/>
      <c r="G94" s="3" t="n"/>
      <c r="H94" s="3" t="n"/>
      <c r="I94" s="3" t="n"/>
      <c r="J94" s="3" t="n"/>
      <c r="K94" s="3" t="n"/>
      <c r="L94" s="4" t="n"/>
      <c r="M94" s="3" t="n"/>
      <c r="N94" s="3" t="n"/>
      <c r="O94" s="3" t="n"/>
      <c r="P94" s="3" t="n"/>
      <c r="Q94" s="3" t="n"/>
      <c r="R94" s="3" t="n"/>
      <c r="S94" s="3" t="n"/>
    </row>
    <row r="95">
      <c r="A95" s="3" t="n"/>
      <c r="B95" s="3" t="n"/>
      <c r="C95" s="3" t="n"/>
      <c r="D95" s="3" t="n"/>
      <c r="E95" s="4" t="n"/>
      <c r="F95" s="3" t="n"/>
      <c r="G95" s="3" t="n"/>
      <c r="H95" s="3" t="n"/>
      <c r="I95" s="3" t="n"/>
      <c r="J95" s="3" t="n"/>
      <c r="K95" s="3" t="n"/>
      <c r="L95" s="4" t="n"/>
      <c r="M95" s="3" t="n"/>
      <c r="N95" s="3" t="n"/>
      <c r="O95" s="3" t="n"/>
      <c r="P95" s="3" t="n"/>
      <c r="Q95" s="3" t="n"/>
      <c r="R95" s="3" t="n"/>
      <c r="S95" s="3" t="n"/>
    </row>
    <row r="96">
      <c r="A96" s="3" t="n"/>
      <c r="B96" s="3" t="n"/>
      <c r="C96" s="3" t="n"/>
      <c r="D96" s="3" t="n"/>
      <c r="E96" s="4" t="n"/>
      <c r="F96" s="3" t="n"/>
      <c r="G96" s="3" t="n"/>
      <c r="H96" s="3" t="n"/>
      <c r="I96" s="3" t="n"/>
      <c r="J96" s="3" t="n"/>
      <c r="K96" s="3" t="n"/>
      <c r="L96" s="4" t="n"/>
      <c r="M96" s="3" t="n"/>
      <c r="N96" s="3" t="n"/>
      <c r="O96" s="3" t="n"/>
      <c r="P96" s="3" t="n"/>
      <c r="Q96" s="3" t="n"/>
      <c r="R96" s="3" t="n"/>
      <c r="S96" s="3" t="n"/>
    </row>
    <row r="97">
      <c r="A97" s="3" t="n"/>
      <c r="B97" s="3" t="n"/>
      <c r="C97" s="3" t="n"/>
      <c r="D97" s="3" t="n"/>
      <c r="E97" s="4" t="n"/>
      <c r="F97" s="3" t="n"/>
      <c r="G97" s="3" t="n"/>
      <c r="H97" s="3" t="n"/>
      <c r="I97" s="3" t="n"/>
      <c r="J97" s="3" t="n"/>
      <c r="K97" s="3" t="n"/>
      <c r="L97" s="4" t="n"/>
      <c r="M97" s="3" t="n"/>
      <c r="N97" s="3" t="n"/>
      <c r="O97" s="3" t="n"/>
      <c r="P97" s="3" t="n"/>
      <c r="Q97" s="3" t="n"/>
      <c r="R97" s="3" t="n"/>
      <c r="S97" s="3" t="n"/>
    </row>
    <row r="98">
      <c r="A98" s="3" t="n"/>
      <c r="B98" s="3" t="n"/>
      <c r="C98" s="3" t="n"/>
      <c r="D98" s="3" t="n"/>
      <c r="E98" s="4" t="n"/>
      <c r="F98" s="3" t="n"/>
      <c r="G98" s="3" t="n"/>
      <c r="H98" s="3" t="n"/>
      <c r="I98" s="3" t="n"/>
      <c r="J98" s="3" t="n"/>
      <c r="K98" s="3" t="n"/>
      <c r="L98" s="4" t="n"/>
      <c r="M98" s="3" t="n"/>
      <c r="N98" s="3" t="n"/>
      <c r="O98" s="3" t="n"/>
      <c r="P98" s="3" t="n"/>
      <c r="Q98" s="3" t="n"/>
      <c r="R98" s="3" t="n"/>
      <c r="S98" s="3" t="n"/>
    </row>
    <row r="99">
      <c r="A99" s="3" t="n"/>
      <c r="B99" s="3" t="n"/>
      <c r="C99" s="3" t="n"/>
      <c r="D99" s="3" t="n"/>
      <c r="E99" s="4" t="n"/>
      <c r="F99" s="3" t="n"/>
      <c r="G99" s="3" t="n"/>
      <c r="H99" s="3" t="n"/>
      <c r="I99" s="3" t="n"/>
      <c r="J99" s="3" t="n"/>
      <c r="K99" s="3" t="n"/>
      <c r="L99" s="4" t="n"/>
      <c r="M99" s="3" t="n"/>
      <c r="N99" s="3" t="n"/>
      <c r="O99" s="3" t="n"/>
      <c r="P99" s="3" t="n"/>
      <c r="Q99" s="3" t="n"/>
      <c r="R99" s="3" t="n"/>
      <c r="S99" s="3" t="n"/>
    </row>
    <row r="100">
      <c r="A100" s="3" t="n"/>
      <c r="B100" s="3" t="n"/>
      <c r="C100" s="3" t="n"/>
      <c r="D100" s="3" t="n"/>
      <c r="E100" s="4" t="n"/>
      <c r="F100" s="3" t="n"/>
      <c r="G100" s="3" t="n"/>
      <c r="H100" s="3" t="n"/>
      <c r="I100" s="3" t="n"/>
      <c r="J100" s="3" t="n"/>
      <c r="K100" s="3" t="n"/>
      <c r="L100" s="4" t="n"/>
      <c r="M100" s="3" t="n"/>
      <c r="N100" s="3" t="n"/>
      <c r="O100" s="3" t="n"/>
      <c r="P100" s="3" t="n"/>
      <c r="Q100" s="3" t="n"/>
      <c r="R100" s="3" t="n"/>
      <c r="S100" s="3" t="n"/>
    </row>
    <row r="101">
      <c r="A101" s="3" t="n"/>
      <c r="B101" s="3" t="n"/>
      <c r="C101" s="3" t="n"/>
      <c r="D101" s="3" t="n"/>
      <c r="E101" s="4" t="n"/>
      <c r="F101" s="3" t="n"/>
      <c r="G101" s="3" t="n"/>
      <c r="H101" s="3" t="n"/>
      <c r="I101" s="3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3" t="n"/>
      <c r="S101" s="3" t="n"/>
    </row>
    <row r="102">
      <c r="A102" s="3" t="n"/>
      <c r="B102" s="3" t="n"/>
      <c r="C102" s="3" t="n"/>
      <c r="D102" s="3" t="n"/>
      <c r="E102" s="4" t="n"/>
      <c r="F102" s="3" t="n"/>
      <c r="G102" s="3" t="n"/>
      <c r="H102" s="3" t="n"/>
      <c r="I102" s="3" t="n"/>
      <c r="J102" s="3" t="n"/>
      <c r="K102" s="3" t="n"/>
      <c r="L102" s="4" t="n"/>
      <c r="M102" s="3" t="n"/>
      <c r="N102" s="3" t="n"/>
      <c r="O102" s="3" t="n"/>
      <c r="P102" s="3" t="n"/>
      <c r="Q102" s="3" t="n"/>
      <c r="R102" s="3" t="n"/>
      <c r="S102" s="3" t="n"/>
    </row>
    <row r="103">
      <c r="A103" s="3" t="n"/>
      <c r="B103" s="3" t="n"/>
      <c r="C103" s="3" t="n"/>
      <c r="D103" s="3" t="n"/>
      <c r="E103" s="4" t="n"/>
      <c r="F103" s="3" t="n"/>
      <c r="G103" s="3" t="n"/>
      <c r="H103" s="3" t="n"/>
      <c r="I103" s="3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3" t="n"/>
      <c r="S103" s="3" t="n"/>
    </row>
    <row r="104">
      <c r="A104" s="3" t="n"/>
      <c r="B104" s="3" t="n"/>
      <c r="C104" s="3" t="n"/>
      <c r="D104" s="3" t="n"/>
      <c r="E104" s="4" t="n"/>
      <c r="F104" s="3" t="n"/>
      <c r="G104" s="3" t="n"/>
      <c r="H104" s="3" t="n"/>
      <c r="I104" s="3" t="n"/>
      <c r="J104" s="3" t="n"/>
      <c r="K104" s="3" t="n"/>
      <c r="L104" s="4" t="n"/>
      <c r="M104" s="3" t="n"/>
      <c r="N104" s="3" t="n"/>
      <c r="O104" s="3" t="n"/>
      <c r="P104" s="3" t="n"/>
      <c r="Q104" s="3" t="n"/>
      <c r="R104" s="3" t="n"/>
      <c r="S104" s="3" t="n"/>
    </row>
    <row r="105">
      <c r="A105" s="3" t="n"/>
      <c r="B105" s="3" t="n"/>
      <c r="C105" s="3" t="n"/>
      <c r="D105" s="3" t="n"/>
      <c r="E105" s="4" t="n"/>
      <c r="F105" s="3" t="n"/>
      <c r="G105" s="3" t="n"/>
      <c r="H105" s="3" t="n"/>
      <c r="I105" s="3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3" t="n"/>
      <c r="S105" s="3" t="n"/>
    </row>
    <row r="106">
      <c r="A106" s="3" t="n"/>
      <c r="B106" s="3" t="n"/>
      <c r="C106" s="3" t="n"/>
      <c r="D106" s="3" t="n"/>
      <c r="E106" s="4" t="n"/>
      <c r="F106" s="3" t="n"/>
      <c r="G106" s="3" t="n"/>
      <c r="H106" s="3" t="n"/>
      <c r="I106" s="3" t="n"/>
      <c r="J106" s="3" t="n"/>
      <c r="K106" s="3" t="n"/>
      <c r="L106" s="4" t="n"/>
      <c r="M106" s="3" t="n"/>
      <c r="N106" s="3" t="n"/>
      <c r="O106" s="3" t="n"/>
      <c r="P106" s="3" t="n"/>
      <c r="Q106" s="3" t="n"/>
      <c r="R106" s="3" t="n"/>
      <c r="S106" s="3" t="n"/>
    </row>
    <row r="107">
      <c r="A107" s="3" t="n"/>
      <c r="B107" s="3" t="n"/>
      <c r="C107" s="3" t="n"/>
      <c r="D107" s="3" t="n"/>
      <c r="E107" s="4" t="n"/>
      <c r="F107" s="3" t="n"/>
      <c r="G107" s="3" t="n"/>
      <c r="H107" s="3" t="n"/>
      <c r="I107" s="3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3" t="n"/>
      <c r="S107" s="3" t="n"/>
    </row>
    <row r="108">
      <c r="A108" s="3" t="n"/>
      <c r="B108" s="3" t="n"/>
      <c r="C108" s="3" t="n"/>
      <c r="D108" s="3" t="n"/>
      <c r="E108" s="4" t="n"/>
      <c r="F108" s="3" t="n"/>
      <c r="G108" s="3" t="n"/>
      <c r="H108" s="3" t="n"/>
      <c r="I108" s="3" t="n"/>
      <c r="J108" s="3" t="n"/>
      <c r="K108" s="3" t="n"/>
      <c r="L108" s="4" t="n"/>
      <c r="M108" s="3" t="n"/>
      <c r="N108" s="3" t="n"/>
      <c r="O108" s="3" t="n"/>
      <c r="P108" s="3" t="n"/>
      <c r="Q108" s="3" t="n"/>
      <c r="R108" s="3" t="n"/>
      <c r="S108" s="3" t="n"/>
    </row>
    <row r="109">
      <c r="A109" s="3" t="n"/>
      <c r="B109" s="3" t="n"/>
      <c r="C109" s="3" t="n"/>
      <c r="D109" s="3" t="n"/>
      <c r="E109" s="4" t="n"/>
      <c r="F109" s="3" t="n"/>
      <c r="G109" s="3" t="n"/>
      <c r="H109" s="3" t="n"/>
      <c r="I109" s="3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3" t="n"/>
      <c r="S109" s="3" t="n"/>
    </row>
    <row r="110">
      <c r="A110" s="3" t="n"/>
      <c r="B110" s="3" t="n"/>
      <c r="C110" s="3" t="n"/>
      <c r="D110" s="3" t="n"/>
      <c r="E110" s="4" t="n"/>
      <c r="F110" s="3" t="n"/>
      <c r="G110" s="3" t="n"/>
      <c r="H110" s="3" t="n"/>
      <c r="I110" s="3" t="n"/>
      <c r="J110" s="3" t="n"/>
      <c r="K110" s="3" t="n"/>
      <c r="L110" s="4" t="n"/>
      <c r="M110" s="3" t="n"/>
      <c r="N110" s="3" t="n"/>
      <c r="O110" s="3" t="n"/>
      <c r="P110" s="3" t="n"/>
      <c r="Q110" s="3" t="n"/>
      <c r="R110" s="3" t="n"/>
      <c r="S110" s="3" t="n"/>
    </row>
    <row r="111">
      <c r="A111" s="3" t="n"/>
      <c r="B111" s="3" t="n"/>
      <c r="C111" s="3" t="n"/>
      <c r="D111" s="3" t="n"/>
      <c r="E111" s="4" t="n"/>
      <c r="F111" s="3" t="n"/>
      <c r="G111" s="3" t="n"/>
      <c r="H111" s="3" t="n"/>
      <c r="I111" s="3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3" t="n"/>
      <c r="S111" s="3" t="n"/>
    </row>
    <row r="112">
      <c r="A112" s="3" t="n"/>
      <c r="B112" s="3" t="n"/>
      <c r="C112" s="3" t="n"/>
      <c r="D112" s="3" t="n"/>
      <c r="E112" s="4" t="n"/>
      <c r="F112" s="3" t="n"/>
      <c r="G112" s="3" t="n"/>
      <c r="H112" s="3" t="n"/>
      <c r="I112" s="3" t="n"/>
      <c r="J112" s="3" t="n"/>
      <c r="K112" s="3" t="n"/>
      <c r="L112" s="4" t="n"/>
      <c r="M112" s="3" t="n"/>
      <c r="N112" s="3" t="n"/>
      <c r="O112" s="3" t="n"/>
      <c r="P112" s="3" t="n"/>
      <c r="Q112" s="3" t="n"/>
      <c r="R112" s="3" t="n"/>
      <c r="S112" s="3" t="n"/>
    </row>
    <row r="113">
      <c r="A113" s="3" t="n"/>
      <c r="B113" s="3" t="n"/>
      <c r="C113" s="3" t="n"/>
      <c r="D113" s="3" t="n"/>
      <c r="E113" s="4" t="n"/>
      <c r="F113" s="3" t="n"/>
      <c r="G113" s="3" t="n"/>
      <c r="H113" s="3" t="n"/>
      <c r="I113" s="3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3" t="n"/>
      <c r="S113" s="3" t="n"/>
    </row>
    <row r="114">
      <c r="A114" s="3" t="n"/>
      <c r="B114" s="3" t="n"/>
      <c r="C114" s="3" t="n"/>
      <c r="D114" s="3" t="n"/>
      <c r="E114" s="4" t="n"/>
      <c r="F114" s="3" t="n"/>
      <c r="G114" s="3" t="n"/>
      <c r="H114" s="3" t="n"/>
      <c r="I114" s="3" t="n"/>
      <c r="J114" s="3" t="n"/>
      <c r="K114" s="3" t="n"/>
      <c r="L114" s="4" t="n"/>
      <c r="M114" s="3" t="n"/>
      <c r="N114" s="3" t="n"/>
      <c r="O114" s="3" t="n"/>
      <c r="P114" s="3" t="n"/>
      <c r="Q114" s="3" t="n"/>
      <c r="R114" s="3" t="n"/>
      <c r="S114" s="3" t="n"/>
    </row>
    <row r="115">
      <c r="A115" s="3" t="n"/>
      <c r="B115" s="3" t="n"/>
      <c r="C115" s="3" t="n"/>
      <c r="D115" s="3" t="n"/>
      <c r="E115" s="4" t="n"/>
      <c r="F115" s="3" t="n"/>
      <c r="G115" s="3" t="n"/>
      <c r="H115" s="3" t="n"/>
      <c r="I115" s="3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3" t="n"/>
      <c r="S115" s="3" t="n"/>
    </row>
    <row r="116">
      <c r="A116" s="3" t="n"/>
      <c r="B116" s="3" t="n"/>
      <c r="C116" s="3" t="n"/>
      <c r="D116" s="3" t="n"/>
      <c r="E116" s="4" t="n"/>
      <c r="F116" s="3" t="n"/>
      <c r="G116" s="3" t="n"/>
      <c r="H116" s="3" t="n"/>
      <c r="I116" s="3" t="n"/>
      <c r="J116" s="3" t="n"/>
      <c r="K116" s="3" t="n"/>
      <c r="L116" s="4" t="n"/>
      <c r="M116" s="3" t="n"/>
      <c r="N116" s="3" t="n"/>
      <c r="O116" s="3" t="n"/>
      <c r="P116" s="3" t="n"/>
      <c r="Q116" s="3" t="n"/>
      <c r="R116" s="3" t="n"/>
      <c r="S116" s="3" t="n"/>
    </row>
    <row r="117">
      <c r="A117" s="3" t="n"/>
      <c r="B117" s="3" t="n"/>
      <c r="C117" s="3" t="n"/>
      <c r="D117" s="3" t="n"/>
      <c r="E117" s="4" t="n"/>
      <c r="F117" s="3" t="n"/>
      <c r="G117" s="3" t="n"/>
      <c r="H117" s="3" t="n"/>
      <c r="I117" s="3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3" t="n"/>
      <c r="S117" s="3" t="n"/>
    </row>
    <row r="118">
      <c r="A118" s="3" t="n"/>
      <c r="B118" s="3" t="n"/>
      <c r="C118" s="3" t="n"/>
      <c r="D118" s="3" t="n"/>
      <c r="E118" s="4" t="n"/>
      <c r="F118" s="3" t="n"/>
      <c r="G118" s="3" t="n"/>
      <c r="H118" s="3" t="n"/>
      <c r="I118" s="3" t="n"/>
      <c r="J118" s="3" t="n"/>
      <c r="K118" s="3" t="n"/>
      <c r="L118" s="4" t="n"/>
      <c r="M118" s="3" t="n"/>
      <c r="N118" s="3" t="n"/>
      <c r="O118" s="3" t="n"/>
      <c r="P118" s="3" t="n"/>
      <c r="Q118" s="3" t="n"/>
      <c r="R118" s="3" t="n"/>
      <c r="S118" s="3" t="n"/>
    </row>
    <row r="119">
      <c r="A119" s="3" t="n"/>
      <c r="B119" s="3" t="n"/>
      <c r="C119" s="3" t="n"/>
      <c r="D119" s="3" t="n"/>
      <c r="E119" s="4" t="n"/>
      <c r="F119" s="3" t="n"/>
      <c r="G119" s="3" t="n"/>
      <c r="H119" s="3" t="n"/>
      <c r="I119" s="3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3" t="n"/>
      <c r="S119" s="3" t="n"/>
    </row>
    <row r="120">
      <c r="A120" s="3" t="n"/>
      <c r="B120" s="3" t="n"/>
      <c r="C120" s="3" t="n"/>
      <c r="D120" s="3" t="n"/>
      <c r="E120" s="4" t="n"/>
      <c r="F120" s="3" t="n"/>
      <c r="G120" s="3" t="n"/>
      <c r="H120" s="3" t="n"/>
      <c r="I120" s="3" t="n"/>
      <c r="J120" s="3" t="n"/>
      <c r="K120" s="3" t="n"/>
      <c r="L120" s="4" t="n"/>
      <c r="M120" s="3" t="n"/>
      <c r="N120" s="3" t="n"/>
      <c r="O120" s="3" t="n"/>
      <c r="P120" s="3" t="n"/>
      <c r="Q120" s="3" t="n"/>
      <c r="R120" s="3" t="n"/>
      <c r="S120" s="3" t="n"/>
    </row>
    <row r="121">
      <c r="A121" s="3" t="n"/>
      <c r="B121" s="3" t="n"/>
      <c r="C121" s="3" t="n"/>
      <c r="D121" s="3" t="n"/>
      <c r="E121" s="4" t="n"/>
      <c r="F121" s="3" t="n"/>
      <c r="G121" s="3" t="n"/>
      <c r="H121" s="3" t="n"/>
      <c r="I121" s="3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3" t="n"/>
      <c r="S121" s="3" t="n"/>
    </row>
    <row r="122">
      <c r="A122" s="3" t="n"/>
      <c r="B122" s="3" t="n"/>
      <c r="C122" s="3" t="n"/>
      <c r="D122" s="3" t="n"/>
      <c r="E122" s="4" t="n"/>
      <c r="F122" s="3" t="n"/>
      <c r="G122" s="3" t="n"/>
      <c r="H122" s="3" t="n"/>
      <c r="I122" s="3" t="n"/>
      <c r="J122" s="3" t="n"/>
      <c r="K122" s="3" t="n"/>
      <c r="L122" s="4" t="n"/>
      <c r="M122" s="3" t="n"/>
      <c r="N122" s="3" t="n"/>
      <c r="O122" s="3" t="n"/>
      <c r="P122" s="3" t="n"/>
      <c r="Q122" s="3" t="n"/>
      <c r="R122" s="3" t="n"/>
      <c r="S122" s="3" t="n"/>
    </row>
    <row r="123">
      <c r="A123" s="3" t="n"/>
      <c r="B123" s="3" t="n"/>
      <c r="C123" s="3" t="n"/>
      <c r="D123" s="3" t="n"/>
      <c r="E123" s="4" t="n"/>
      <c r="F123" s="3" t="n"/>
      <c r="G123" s="3" t="n"/>
      <c r="H123" s="3" t="n"/>
      <c r="I123" s="3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3" t="n"/>
      <c r="S123" s="3" t="n"/>
    </row>
    <row r="124">
      <c r="A124" s="3" t="n"/>
      <c r="B124" s="3" t="n"/>
      <c r="C124" s="3" t="n"/>
      <c r="D124" s="3" t="n"/>
      <c r="E124" s="4" t="n"/>
      <c r="F124" s="3" t="n"/>
      <c r="G124" s="3" t="n"/>
      <c r="H124" s="3" t="n"/>
      <c r="I124" s="3" t="n"/>
      <c r="J124" s="3" t="n"/>
      <c r="K124" s="3" t="n"/>
      <c r="L124" s="4" t="n"/>
      <c r="M124" s="3" t="n"/>
      <c r="N124" s="3" t="n"/>
      <c r="O124" s="3" t="n"/>
      <c r="P124" s="3" t="n"/>
      <c r="Q124" s="3" t="n"/>
      <c r="R124" s="3" t="n"/>
      <c r="S124" s="3" t="n"/>
    </row>
    <row r="125">
      <c r="A125" s="3" t="n"/>
      <c r="B125" s="3" t="n"/>
      <c r="C125" s="3" t="n"/>
      <c r="D125" s="3" t="n"/>
      <c r="E125" s="4" t="n"/>
      <c r="F125" s="3" t="n"/>
      <c r="G125" s="3" t="n"/>
      <c r="H125" s="3" t="n"/>
      <c r="I125" s="3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3" t="n"/>
      <c r="S125" s="3" t="n"/>
    </row>
    <row r="126">
      <c r="A126" s="3" t="n"/>
      <c r="B126" s="3" t="n"/>
      <c r="C126" s="3" t="n"/>
      <c r="D126" s="3" t="n"/>
      <c r="E126" s="4" t="n"/>
      <c r="F126" s="3" t="n"/>
      <c r="G126" s="3" t="n"/>
      <c r="H126" s="3" t="n"/>
      <c r="I126" s="3" t="n"/>
      <c r="J126" s="3" t="n"/>
      <c r="K126" s="3" t="n"/>
      <c r="L126" s="4" t="n"/>
      <c r="M126" s="3" t="n"/>
      <c r="N126" s="3" t="n"/>
      <c r="O126" s="3" t="n"/>
      <c r="P126" s="3" t="n"/>
      <c r="Q126" s="3" t="n"/>
      <c r="R126" s="3" t="n"/>
      <c r="S126" s="3" t="n"/>
    </row>
    <row r="127">
      <c r="A127" s="3" t="n"/>
      <c r="B127" s="3" t="n"/>
      <c r="C127" s="3" t="n"/>
      <c r="D127" s="3" t="n"/>
      <c r="E127" s="4" t="n"/>
      <c r="F127" s="3" t="n"/>
      <c r="G127" s="3" t="n"/>
      <c r="H127" s="3" t="n"/>
      <c r="I127" s="3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3" t="n"/>
      <c r="S127" s="3" t="n"/>
    </row>
    <row r="128">
      <c r="A128" s="3" t="n"/>
      <c r="B128" s="3" t="n"/>
      <c r="C128" s="3" t="n"/>
      <c r="D128" s="3" t="n"/>
      <c r="E128" s="4" t="n"/>
      <c r="F128" s="3" t="n"/>
      <c r="G128" s="3" t="n"/>
      <c r="H128" s="3" t="n"/>
      <c r="I128" s="3" t="n"/>
      <c r="J128" s="3" t="n"/>
      <c r="K128" s="3" t="n"/>
      <c r="L128" s="4" t="n"/>
      <c r="M128" s="3" t="n"/>
      <c r="N128" s="3" t="n"/>
      <c r="O128" s="3" t="n"/>
      <c r="P128" s="3" t="n"/>
      <c r="Q128" s="3" t="n"/>
      <c r="R128" s="3" t="n"/>
      <c r="S128" s="3" t="n"/>
    </row>
    <row r="129">
      <c r="A129" s="3" t="n"/>
      <c r="B129" s="3" t="n"/>
      <c r="C129" s="3" t="n"/>
      <c r="D129" s="3" t="n"/>
      <c r="E129" s="4" t="n"/>
      <c r="F129" s="3" t="n"/>
      <c r="G129" s="3" t="n"/>
      <c r="H129" s="3" t="n"/>
      <c r="I129" s="3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3" t="n"/>
      <c r="S129" s="3" t="n"/>
    </row>
    <row r="130">
      <c r="A130" s="3" t="n"/>
      <c r="B130" s="3" t="n"/>
      <c r="C130" s="3" t="n"/>
      <c r="D130" s="3" t="n"/>
      <c r="E130" s="4" t="n"/>
      <c r="F130" s="3" t="n"/>
      <c r="G130" s="3" t="n"/>
      <c r="H130" s="3" t="n"/>
      <c r="I130" s="3" t="n"/>
      <c r="J130" s="3" t="n"/>
      <c r="K130" s="3" t="n"/>
      <c r="L130" s="4" t="n"/>
      <c r="M130" s="3" t="n"/>
      <c r="N130" s="3" t="n"/>
      <c r="O130" s="3" t="n"/>
      <c r="P130" s="3" t="n"/>
      <c r="Q130" s="3" t="n"/>
      <c r="R130" s="3" t="n"/>
      <c r="S130" s="3" t="n"/>
    </row>
    <row r="131">
      <c r="A131" s="3" t="n"/>
      <c r="B131" s="3" t="n"/>
      <c r="C131" s="3" t="n"/>
      <c r="D131" s="3" t="n"/>
      <c r="E131" s="4" t="n"/>
      <c r="F131" s="3" t="n"/>
      <c r="G131" s="3" t="n"/>
      <c r="H131" s="3" t="n"/>
      <c r="I131" s="3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3" t="n"/>
      <c r="S131" s="3" t="n"/>
    </row>
    <row r="132">
      <c r="A132" s="3" t="n"/>
      <c r="B132" s="3" t="n"/>
      <c r="C132" s="3" t="n"/>
      <c r="D132" s="3" t="n"/>
      <c r="E132" s="4" t="n"/>
      <c r="F132" s="3" t="n"/>
      <c r="G132" s="3" t="n"/>
      <c r="H132" s="3" t="n"/>
      <c r="I132" s="3" t="n"/>
      <c r="J132" s="3" t="n"/>
      <c r="K132" s="3" t="n"/>
      <c r="L132" s="4" t="n"/>
      <c r="M132" s="3" t="n"/>
      <c r="N132" s="3" t="n"/>
      <c r="O132" s="3" t="n"/>
      <c r="P132" s="3" t="n"/>
      <c r="Q132" s="3" t="n"/>
      <c r="R132" s="3" t="n"/>
      <c r="S132" s="3" t="n"/>
    </row>
    <row r="133">
      <c r="A133" s="3" t="n"/>
      <c r="B133" s="3" t="n"/>
      <c r="C133" s="3" t="n"/>
      <c r="D133" s="3" t="n"/>
      <c r="E133" s="4" t="n"/>
      <c r="F133" s="3" t="n"/>
      <c r="G133" s="3" t="n"/>
      <c r="H133" s="3" t="n"/>
      <c r="I133" s="3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3" t="n"/>
      <c r="S133" s="3" t="n"/>
    </row>
    <row r="134">
      <c r="A134" s="3" t="n"/>
      <c r="B134" s="3" t="n"/>
      <c r="C134" s="3" t="n"/>
      <c r="D134" s="3" t="n"/>
      <c r="E134" s="4" t="n"/>
      <c r="F134" s="3" t="n"/>
      <c r="G134" s="3" t="n"/>
      <c r="H134" s="3" t="n"/>
      <c r="I134" s="3" t="n"/>
      <c r="J134" s="3" t="n"/>
      <c r="K134" s="3" t="n"/>
      <c r="L134" s="4" t="n"/>
      <c r="M134" s="3" t="n"/>
      <c r="N134" s="3" t="n"/>
      <c r="O134" s="3" t="n"/>
      <c r="P134" s="3" t="n"/>
      <c r="Q134" s="3" t="n"/>
      <c r="R134" s="3" t="n"/>
      <c r="S134" s="3" t="n"/>
    </row>
    <row r="135">
      <c r="A135" s="3" t="n"/>
      <c r="B135" s="3" t="n"/>
      <c r="C135" s="3" t="n"/>
      <c r="D135" s="3" t="n"/>
      <c r="E135" s="4" t="n"/>
      <c r="F135" s="3" t="n"/>
      <c r="G135" s="3" t="n"/>
      <c r="H135" s="3" t="n"/>
      <c r="I135" s="3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3" t="n"/>
      <c r="S135" s="3" t="n"/>
    </row>
    <row r="136">
      <c r="A136" s="3" t="n"/>
      <c r="B136" s="3" t="n"/>
      <c r="C136" s="3" t="n"/>
      <c r="D136" s="3" t="n"/>
      <c r="E136" s="4" t="n"/>
      <c r="F136" s="3" t="n"/>
      <c r="G136" s="3" t="n"/>
      <c r="H136" s="3" t="n"/>
      <c r="I136" s="3" t="n"/>
      <c r="J136" s="3" t="n"/>
      <c r="K136" s="3" t="n"/>
      <c r="L136" s="4" t="n"/>
      <c r="M136" s="3" t="n"/>
      <c r="N136" s="3" t="n"/>
      <c r="O136" s="3" t="n"/>
      <c r="P136" s="3" t="n"/>
      <c r="Q136" s="3" t="n"/>
      <c r="R136" s="3" t="n"/>
      <c r="S136" s="3" t="n"/>
    </row>
    <row r="137">
      <c r="A137" s="3" t="n"/>
      <c r="B137" s="3" t="n"/>
      <c r="C137" s="3" t="n"/>
      <c r="D137" s="3" t="n"/>
      <c r="E137" s="4" t="n"/>
      <c r="F137" s="3" t="n"/>
      <c r="G137" s="3" t="n"/>
      <c r="H137" s="3" t="n"/>
      <c r="I137" s="3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3" t="n"/>
      <c r="S137" s="3" t="n"/>
    </row>
    <row r="138">
      <c r="A138" s="3" t="n"/>
      <c r="B138" s="3" t="n"/>
      <c r="C138" s="3" t="n"/>
      <c r="D138" s="3" t="n"/>
      <c r="E138" s="4" t="n"/>
      <c r="F138" s="3" t="n"/>
      <c r="G138" s="3" t="n"/>
      <c r="H138" s="3" t="n"/>
      <c r="I138" s="3" t="n"/>
      <c r="J138" s="3" t="n"/>
      <c r="K138" s="3" t="n"/>
      <c r="L138" s="4" t="n"/>
      <c r="M138" s="3" t="n"/>
      <c r="N138" s="3" t="n"/>
      <c r="O138" s="3" t="n"/>
      <c r="P138" s="3" t="n"/>
      <c r="Q138" s="3" t="n"/>
      <c r="R138" s="3" t="n"/>
      <c r="S138" s="3" t="n"/>
    </row>
    <row r="139">
      <c r="A139" s="3" t="n"/>
      <c r="B139" s="3" t="n"/>
      <c r="C139" s="3" t="n"/>
      <c r="D139" s="3" t="n"/>
      <c r="E139" s="4" t="n"/>
      <c r="F139" s="3" t="n"/>
      <c r="G139" s="3" t="n"/>
      <c r="H139" s="3" t="n"/>
      <c r="I139" s="3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3" t="n"/>
      <c r="S139" s="3" t="n"/>
    </row>
    <row r="140">
      <c r="A140" s="3" t="n"/>
      <c r="B140" s="3" t="n"/>
      <c r="C140" s="3" t="n"/>
      <c r="D140" s="3" t="n"/>
      <c r="E140" s="4" t="n"/>
      <c r="F140" s="3" t="n"/>
      <c r="G140" s="3" t="n"/>
      <c r="H140" s="3" t="n"/>
      <c r="I140" s="3" t="n"/>
      <c r="J140" s="3" t="n"/>
      <c r="K140" s="3" t="n"/>
      <c r="L140" s="4" t="n"/>
      <c r="M140" s="3" t="n"/>
      <c r="N140" s="3" t="n"/>
      <c r="O140" s="3" t="n"/>
      <c r="P140" s="3" t="n"/>
      <c r="Q140" s="3" t="n"/>
      <c r="R140" s="3" t="n"/>
      <c r="S140" s="3" t="n"/>
    </row>
    <row r="141">
      <c r="A141" s="3" t="n"/>
      <c r="B141" s="3" t="n"/>
      <c r="C141" s="3" t="n"/>
      <c r="D141" s="3" t="n"/>
      <c r="E141" s="4" t="n"/>
      <c r="F141" s="3" t="n"/>
      <c r="G141" s="3" t="n"/>
      <c r="H141" s="3" t="n"/>
      <c r="I141" s="3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3" t="n"/>
      <c r="S141" s="3" t="n"/>
    </row>
    <row r="142">
      <c r="A142" s="3" t="n"/>
      <c r="B142" s="3" t="n"/>
      <c r="C142" s="3" t="n"/>
      <c r="D142" s="3" t="n"/>
      <c r="E142" s="4" t="n"/>
      <c r="F142" s="3" t="n"/>
      <c r="G142" s="3" t="n"/>
      <c r="H142" s="3" t="n"/>
      <c r="I142" s="3" t="n"/>
      <c r="J142" s="3" t="n"/>
      <c r="K142" s="3" t="n"/>
      <c r="L142" s="4" t="n"/>
      <c r="M142" s="3" t="n"/>
      <c r="N142" s="3" t="n"/>
      <c r="O142" s="3" t="n"/>
      <c r="P142" s="3" t="n"/>
      <c r="Q142" s="3" t="n"/>
      <c r="R142" s="3" t="n"/>
      <c r="S142" s="3" t="n"/>
    </row>
    <row r="143">
      <c r="A143" s="3" t="n"/>
      <c r="B143" s="3" t="n"/>
      <c r="C143" s="3" t="n"/>
      <c r="D143" s="3" t="n"/>
      <c r="E143" s="4" t="n"/>
      <c r="F143" s="3" t="n"/>
      <c r="G143" s="3" t="n"/>
      <c r="H143" s="3" t="n"/>
      <c r="I143" s="3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3" t="n"/>
      <c r="S143" s="3" t="n"/>
    </row>
    <row r="144">
      <c r="A144" s="3" t="n"/>
      <c r="B144" s="3" t="n"/>
      <c r="C144" s="3" t="n"/>
      <c r="D144" s="3" t="n"/>
      <c r="E144" s="4" t="n"/>
      <c r="F144" s="3" t="n"/>
      <c r="G144" s="3" t="n"/>
      <c r="H144" s="3" t="n"/>
      <c r="I144" s="3" t="n"/>
      <c r="J144" s="3" t="n"/>
      <c r="K144" s="3" t="n"/>
      <c r="L144" s="4" t="n"/>
      <c r="M144" s="3" t="n"/>
      <c r="N144" s="3" t="n"/>
      <c r="O144" s="3" t="n"/>
      <c r="P144" s="3" t="n"/>
      <c r="Q144" s="3" t="n"/>
      <c r="R144" s="3" t="n"/>
      <c r="S144" s="3" t="n"/>
    </row>
    <row r="145">
      <c r="A145" s="3" t="n"/>
      <c r="B145" s="3" t="n"/>
      <c r="C145" s="3" t="n"/>
      <c r="D145" s="3" t="n"/>
      <c r="E145" s="4" t="n"/>
      <c r="F145" s="3" t="n"/>
      <c r="G145" s="3" t="n"/>
      <c r="H145" s="3" t="n"/>
      <c r="I145" s="3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3" t="n"/>
      <c r="S145" s="3" t="n"/>
    </row>
    <row r="146">
      <c r="A146" s="3" t="n"/>
      <c r="B146" s="3" t="n"/>
      <c r="C146" s="3" t="n"/>
      <c r="D146" s="3" t="n"/>
      <c r="E146" s="4" t="n"/>
      <c r="F146" s="3" t="n"/>
      <c r="G146" s="3" t="n"/>
      <c r="H146" s="3" t="n"/>
      <c r="I146" s="3" t="n"/>
      <c r="J146" s="3" t="n"/>
      <c r="K146" s="3" t="n"/>
      <c r="L146" s="4" t="n"/>
      <c r="M146" s="3" t="n"/>
      <c r="N146" s="3" t="n"/>
      <c r="O146" s="3" t="n"/>
      <c r="P146" s="3" t="n"/>
      <c r="Q146" s="3" t="n"/>
      <c r="R146" s="3" t="n"/>
      <c r="S146" s="3" t="n"/>
    </row>
    <row r="147">
      <c r="A147" s="3" t="n"/>
      <c r="B147" s="3" t="n"/>
      <c r="C147" s="3" t="n"/>
      <c r="D147" s="3" t="n"/>
      <c r="E147" s="4" t="n"/>
      <c r="F147" s="3" t="n"/>
      <c r="G147" s="3" t="n"/>
      <c r="H147" s="3" t="n"/>
      <c r="I147" s="3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3" t="n"/>
      <c r="S147" s="3" t="n"/>
    </row>
    <row r="148">
      <c r="A148" s="3" t="n"/>
      <c r="B148" s="3" t="n"/>
      <c r="C148" s="3" t="n"/>
      <c r="D148" s="3" t="n"/>
      <c r="E148" s="4" t="n"/>
      <c r="F148" s="3" t="n"/>
      <c r="G148" s="3" t="n"/>
      <c r="H148" s="3" t="n"/>
      <c r="I148" s="3" t="n"/>
      <c r="J148" s="3" t="n"/>
      <c r="K148" s="3" t="n"/>
      <c r="L148" s="4" t="n"/>
      <c r="M148" s="3" t="n"/>
      <c r="N148" s="3" t="n"/>
      <c r="O148" s="3" t="n"/>
      <c r="P148" s="3" t="n"/>
      <c r="Q148" s="3" t="n"/>
      <c r="R148" s="3" t="n"/>
      <c r="S148" s="3" t="n"/>
    </row>
    <row r="149">
      <c r="A149" s="3" t="n"/>
      <c r="B149" s="3" t="n"/>
      <c r="C149" s="3" t="n"/>
      <c r="D149" s="3" t="n"/>
      <c r="E149" s="4" t="n"/>
      <c r="F149" s="3" t="n"/>
      <c r="G149" s="3" t="n"/>
      <c r="H149" s="3" t="n"/>
      <c r="I149" s="3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3" t="n"/>
      <c r="S149" s="3" t="n"/>
    </row>
    <row r="150">
      <c r="A150" s="3" t="n"/>
      <c r="B150" s="3" t="n"/>
      <c r="C150" s="3" t="n"/>
      <c r="D150" s="3" t="n"/>
      <c r="E150" s="4" t="n"/>
      <c r="F150" s="3" t="n"/>
      <c r="G150" s="3" t="n"/>
      <c r="H150" s="3" t="n"/>
      <c r="I150" s="3" t="n"/>
      <c r="J150" s="3" t="n"/>
      <c r="K150" s="3" t="n"/>
      <c r="L150" s="4" t="n"/>
      <c r="M150" s="3" t="n"/>
      <c r="N150" s="3" t="n"/>
      <c r="O150" s="3" t="n"/>
      <c r="P150" s="3" t="n"/>
      <c r="Q150" s="3" t="n"/>
      <c r="R150" s="3" t="n"/>
      <c r="S150" s="3" t="n"/>
    </row>
    <row r="151">
      <c r="A151" s="3" t="n"/>
      <c r="B151" s="3" t="n"/>
      <c r="C151" s="3" t="n"/>
      <c r="D151" s="3" t="n"/>
      <c r="E151" s="4" t="n"/>
      <c r="F151" s="3" t="n"/>
      <c r="G151" s="3" t="n"/>
      <c r="H151" s="3" t="n"/>
      <c r="I151" s="3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3" t="n"/>
      <c r="S151" s="3" t="n"/>
    </row>
    <row r="152">
      <c r="A152" s="3" t="n"/>
      <c r="B152" s="3" t="n"/>
      <c r="C152" s="3" t="n"/>
      <c r="D152" s="3" t="n"/>
      <c r="E152" s="4" t="n"/>
      <c r="F152" s="3" t="n"/>
      <c r="G152" s="3" t="n"/>
      <c r="H152" s="3" t="n"/>
      <c r="I152" s="3" t="n"/>
      <c r="J152" s="3" t="n"/>
      <c r="K152" s="3" t="n"/>
      <c r="L152" s="4" t="n"/>
      <c r="M152" s="3" t="n"/>
      <c r="N152" s="3" t="n"/>
      <c r="O152" s="3" t="n"/>
      <c r="P152" s="3" t="n"/>
      <c r="Q152" s="3" t="n"/>
      <c r="R152" s="3" t="n"/>
      <c r="S152" s="3" t="n"/>
    </row>
    <row r="153">
      <c r="A153" s="3" t="n"/>
      <c r="B153" s="3" t="n"/>
      <c r="C153" s="3" t="n"/>
      <c r="D153" s="3" t="n"/>
      <c r="E153" s="4" t="n"/>
      <c r="F153" s="3" t="n"/>
      <c r="G153" s="3" t="n"/>
      <c r="H153" s="3" t="n"/>
      <c r="I153" s="3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3" t="n"/>
      <c r="S153" s="3" t="n"/>
    </row>
    <row r="154">
      <c r="A154" s="3" t="n"/>
      <c r="B154" s="3" t="n"/>
      <c r="C154" s="3" t="n"/>
      <c r="D154" s="3" t="n"/>
      <c r="E154" s="4" t="n"/>
      <c r="F154" s="3" t="n"/>
      <c r="G154" s="3" t="n"/>
      <c r="H154" s="3" t="n"/>
      <c r="I154" s="3" t="n"/>
      <c r="J154" s="3" t="n"/>
      <c r="K154" s="3" t="n"/>
      <c r="L154" s="4" t="n"/>
      <c r="M154" s="3" t="n"/>
      <c r="N154" s="3" t="n"/>
      <c r="O154" s="3" t="n"/>
      <c r="P154" s="3" t="n"/>
      <c r="Q154" s="3" t="n"/>
      <c r="R154" s="3" t="n"/>
      <c r="S154" s="3" t="n"/>
    </row>
    <row r="155">
      <c r="A155" s="3" t="n"/>
      <c r="B155" s="3" t="n"/>
      <c r="C155" s="3" t="n"/>
      <c r="D155" s="3" t="n"/>
      <c r="E155" s="4" t="n"/>
      <c r="F155" s="3" t="n"/>
      <c r="G155" s="3" t="n"/>
      <c r="H155" s="3" t="n"/>
      <c r="I155" s="3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3" t="n"/>
      <c r="S155" s="3" t="n"/>
    </row>
    <row r="156">
      <c r="A156" s="3" t="n"/>
      <c r="B156" s="3" t="n"/>
      <c r="C156" s="3" t="n"/>
      <c r="D156" s="3" t="n"/>
      <c r="E156" s="4" t="n"/>
      <c r="F156" s="3" t="n"/>
      <c r="G156" s="3" t="n"/>
      <c r="H156" s="3" t="n"/>
      <c r="I156" s="3" t="n"/>
      <c r="J156" s="3" t="n"/>
      <c r="K156" s="3" t="n"/>
      <c r="L156" s="4" t="n"/>
      <c r="M156" s="3" t="n"/>
      <c r="N156" s="3" t="n"/>
      <c r="O156" s="3" t="n"/>
      <c r="P156" s="3" t="n"/>
      <c r="Q156" s="3" t="n"/>
      <c r="R156" s="3" t="n"/>
      <c r="S156" s="3" t="n"/>
    </row>
    <row r="157">
      <c r="A157" s="3" t="n"/>
      <c r="B157" s="3" t="n"/>
      <c r="C157" s="3" t="n"/>
      <c r="D157" s="3" t="n"/>
      <c r="E157" s="4" t="n"/>
      <c r="F157" s="3" t="n"/>
      <c r="G157" s="3" t="n"/>
      <c r="H157" s="3" t="n"/>
      <c r="I157" s="3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3" t="n"/>
      <c r="S157" s="3" t="n"/>
    </row>
    <row r="158">
      <c r="A158" s="3" t="n"/>
      <c r="B158" s="3" t="n"/>
      <c r="C158" s="3" t="n"/>
      <c r="D158" s="3" t="n"/>
      <c r="E158" s="4" t="n"/>
      <c r="F158" s="3" t="n"/>
      <c r="G158" s="3" t="n"/>
      <c r="H158" s="3" t="n"/>
      <c r="I158" s="3" t="n"/>
      <c r="J158" s="3" t="n"/>
      <c r="K158" s="3" t="n"/>
      <c r="L158" s="4" t="n"/>
      <c r="M158" s="3" t="n"/>
      <c r="N158" s="3" t="n"/>
      <c r="O158" s="3" t="n"/>
      <c r="P158" s="3" t="n"/>
      <c r="Q158" s="3" t="n"/>
      <c r="R158" s="3" t="n"/>
      <c r="S158" s="3" t="n"/>
    </row>
    <row r="159">
      <c r="A159" s="3" t="n"/>
      <c r="B159" s="3" t="n"/>
      <c r="C159" s="3" t="n"/>
      <c r="D159" s="3" t="n"/>
      <c r="E159" s="4" t="n"/>
      <c r="F159" s="3" t="n"/>
      <c r="G159" s="3" t="n"/>
      <c r="H159" s="3" t="n"/>
      <c r="I159" s="3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3" t="n"/>
      <c r="S159" s="3" t="n"/>
    </row>
    <row r="160">
      <c r="A160" s="3" t="n"/>
      <c r="B160" s="3" t="n"/>
      <c r="C160" s="3" t="n"/>
      <c r="D160" s="3" t="n"/>
      <c r="E160" s="4" t="n"/>
      <c r="F160" s="3" t="n"/>
      <c r="G160" s="3" t="n"/>
      <c r="H160" s="3" t="n"/>
      <c r="I160" s="3" t="n"/>
      <c r="J160" s="3" t="n"/>
      <c r="K160" s="3" t="n"/>
      <c r="L160" s="4" t="n"/>
      <c r="M160" s="3" t="n"/>
      <c r="N160" s="3" t="n"/>
      <c r="O160" s="3" t="n"/>
      <c r="P160" s="3" t="n"/>
      <c r="Q160" s="3" t="n"/>
      <c r="R160" s="3" t="n"/>
      <c r="S160" s="3" t="n"/>
    </row>
    <row r="161">
      <c r="A161" s="3" t="n"/>
      <c r="B161" s="3" t="n"/>
      <c r="C161" s="3" t="n"/>
      <c r="D161" s="3" t="n"/>
      <c r="E161" s="4" t="n"/>
      <c r="F161" s="3" t="n"/>
      <c r="G161" s="3" t="n"/>
      <c r="H161" s="3" t="n"/>
      <c r="I161" s="3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3" t="n"/>
      <c r="S161" s="3" t="n"/>
    </row>
    <row r="162">
      <c r="A162" s="3" t="n"/>
      <c r="B162" s="3" t="n"/>
      <c r="C162" s="3" t="n"/>
      <c r="D162" s="3" t="n"/>
      <c r="E162" s="4" t="n"/>
      <c r="F162" s="3" t="n"/>
      <c r="G162" s="3" t="n"/>
      <c r="H162" s="3" t="n"/>
      <c r="I162" s="3" t="n"/>
      <c r="J162" s="3" t="n"/>
      <c r="K162" s="3" t="n"/>
      <c r="L162" s="4" t="n"/>
      <c r="M162" s="3" t="n"/>
      <c r="N162" s="3" t="n"/>
      <c r="O162" s="3" t="n"/>
      <c r="P162" s="3" t="n"/>
      <c r="Q162" s="3" t="n"/>
      <c r="R162" s="3" t="n"/>
      <c r="S162" s="3" t="n"/>
    </row>
    <row r="163">
      <c r="A163" s="3" t="n"/>
      <c r="B163" s="3" t="n"/>
      <c r="C163" s="3" t="n"/>
      <c r="D163" s="3" t="n"/>
      <c r="E163" s="4" t="n"/>
      <c r="F163" s="3" t="n"/>
      <c r="G163" s="3" t="n"/>
      <c r="H163" s="3" t="n"/>
      <c r="I163" s="3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3" t="n"/>
      <c r="S163" s="3" t="n"/>
    </row>
    <row r="164">
      <c r="A164" s="3" t="n"/>
      <c r="B164" s="3" t="n"/>
      <c r="C164" s="3" t="n"/>
      <c r="D164" s="3" t="n"/>
      <c r="E164" s="4" t="n"/>
      <c r="F164" s="3" t="n"/>
      <c r="G164" s="3" t="n"/>
      <c r="H164" s="3" t="n"/>
      <c r="I164" s="3" t="n"/>
      <c r="J164" s="3" t="n"/>
      <c r="K164" s="3" t="n"/>
      <c r="L164" s="4" t="n"/>
      <c r="M164" s="3" t="n"/>
      <c r="N164" s="3" t="n"/>
      <c r="O164" s="3" t="n"/>
      <c r="P164" s="3" t="n"/>
      <c r="Q164" s="3" t="n"/>
      <c r="R164" s="3" t="n"/>
      <c r="S164" s="3" t="n"/>
    </row>
    <row r="165">
      <c r="A165" s="3" t="n"/>
      <c r="B165" s="3" t="n"/>
      <c r="C165" s="3" t="n"/>
      <c r="D165" s="3" t="n"/>
      <c r="E165" s="4" t="n"/>
      <c r="F165" s="3" t="n"/>
      <c r="G165" s="3" t="n"/>
      <c r="H165" s="3" t="n"/>
      <c r="I165" s="3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3" t="n"/>
      <c r="S165" s="3" t="n"/>
    </row>
    <row r="166">
      <c r="A166" s="3" t="n"/>
      <c r="B166" s="3" t="n"/>
      <c r="C166" s="3" t="n"/>
      <c r="D166" s="3" t="n"/>
      <c r="E166" s="4" t="n"/>
      <c r="F166" s="3" t="n"/>
      <c r="G166" s="3" t="n"/>
      <c r="H166" s="3" t="n"/>
      <c r="I166" s="3" t="n"/>
      <c r="J166" s="3" t="n"/>
      <c r="K166" s="3" t="n"/>
      <c r="L166" s="4" t="n"/>
      <c r="M166" s="3" t="n"/>
      <c r="N166" s="3" t="n"/>
      <c r="O166" s="3" t="n"/>
      <c r="P166" s="3" t="n"/>
      <c r="Q166" s="3" t="n"/>
      <c r="R166" s="3" t="n"/>
      <c r="S166" s="3" t="n"/>
    </row>
    <row r="167">
      <c r="A167" s="3" t="n"/>
      <c r="B167" s="3" t="n"/>
      <c r="C167" s="3" t="n"/>
      <c r="D167" s="3" t="n"/>
      <c r="E167" s="4" t="n"/>
      <c r="F167" s="3" t="n"/>
      <c r="G167" s="3" t="n"/>
      <c r="H167" s="3" t="n"/>
      <c r="I167" s="3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3" t="n"/>
      <c r="S167" s="3" t="n"/>
    </row>
    <row r="168">
      <c r="A168" s="3" t="n"/>
      <c r="B168" s="3" t="n"/>
      <c r="C168" s="3" t="n"/>
      <c r="D168" s="3" t="n"/>
      <c r="E168" s="4" t="n"/>
      <c r="F168" s="3" t="n"/>
      <c r="G168" s="3" t="n"/>
      <c r="H168" s="3" t="n"/>
      <c r="I168" s="3" t="n"/>
      <c r="J168" s="3" t="n"/>
      <c r="K168" s="3" t="n"/>
      <c r="L168" s="4" t="n"/>
      <c r="M168" s="3" t="n"/>
      <c r="N168" s="3" t="n"/>
      <c r="O168" s="3" t="n"/>
      <c r="P168" s="3" t="n"/>
      <c r="Q168" s="3" t="n"/>
      <c r="R168" s="3" t="n"/>
      <c r="S168" s="3" t="n"/>
    </row>
    <row r="169">
      <c r="A169" s="3" t="n"/>
      <c r="B169" s="3" t="n"/>
      <c r="C169" s="3" t="n"/>
      <c r="D169" s="3" t="n"/>
      <c r="E169" s="4" t="n"/>
      <c r="F169" s="3" t="n"/>
      <c r="G169" s="3" t="n"/>
      <c r="H169" s="3" t="n"/>
      <c r="I169" s="3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3" t="n"/>
      <c r="S169" s="3" t="n"/>
    </row>
    <row r="170">
      <c r="A170" s="3" t="n"/>
      <c r="B170" s="3" t="n"/>
      <c r="C170" s="3" t="n"/>
      <c r="D170" s="3" t="n"/>
      <c r="E170" s="4" t="n"/>
      <c r="F170" s="3" t="n"/>
      <c r="G170" s="3" t="n"/>
      <c r="H170" s="3" t="n"/>
      <c r="I170" s="3" t="n"/>
      <c r="J170" s="3" t="n"/>
      <c r="K170" s="3" t="n"/>
      <c r="L170" s="4" t="n"/>
      <c r="M170" s="3" t="n"/>
      <c r="N170" s="3" t="n"/>
      <c r="O170" s="3" t="n"/>
      <c r="P170" s="3" t="n"/>
      <c r="Q170" s="3" t="n"/>
      <c r="R170" s="3" t="n"/>
      <c r="S170" s="3" t="n"/>
    </row>
    <row r="171">
      <c r="A171" s="3" t="n"/>
      <c r="B171" s="3" t="n"/>
      <c r="C171" s="3" t="n"/>
      <c r="D171" s="3" t="n"/>
      <c r="E171" s="4" t="n"/>
      <c r="F171" s="3" t="n"/>
      <c r="G171" s="3" t="n"/>
      <c r="H171" s="3" t="n"/>
      <c r="I171" s="3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3" t="n"/>
      <c r="S171" s="3" t="n"/>
    </row>
    <row r="172">
      <c r="A172" s="3" t="n"/>
      <c r="B172" s="3" t="n"/>
      <c r="C172" s="3" t="n"/>
      <c r="D172" s="3" t="n"/>
      <c r="E172" s="4" t="n"/>
      <c r="F172" s="3" t="n"/>
      <c r="G172" s="3" t="n"/>
      <c r="H172" s="3" t="n"/>
      <c r="I172" s="3" t="n"/>
      <c r="J172" s="3" t="n"/>
      <c r="K172" s="3" t="n"/>
      <c r="L172" s="4" t="n"/>
      <c r="M172" s="3" t="n"/>
      <c r="N172" s="3" t="n"/>
      <c r="O172" s="3" t="n"/>
      <c r="P172" s="3" t="n"/>
      <c r="Q172" s="3" t="n"/>
      <c r="R172" s="3" t="n"/>
      <c r="S172" s="3" t="n"/>
    </row>
    <row r="173">
      <c r="A173" s="3" t="n"/>
      <c r="B173" s="3" t="n"/>
      <c r="C173" s="3" t="n"/>
      <c r="D173" s="3" t="n"/>
      <c r="E173" s="4" t="n"/>
      <c r="F173" s="3" t="n"/>
      <c r="G173" s="3" t="n"/>
      <c r="H173" s="3" t="n"/>
      <c r="I173" s="3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3" t="n"/>
      <c r="S173" s="3" t="n"/>
    </row>
    <row r="174">
      <c r="A174" s="3" t="n"/>
      <c r="B174" s="3" t="n"/>
      <c r="C174" s="3" t="n"/>
      <c r="D174" s="3" t="n"/>
      <c r="E174" s="4" t="n"/>
      <c r="F174" s="3" t="n"/>
      <c r="G174" s="3" t="n"/>
      <c r="H174" s="3" t="n"/>
      <c r="I174" s="3" t="n"/>
      <c r="J174" s="3" t="n"/>
      <c r="K174" s="3" t="n"/>
      <c r="L174" s="4" t="n"/>
      <c r="M174" s="3" t="n"/>
      <c r="N174" s="3" t="n"/>
      <c r="O174" s="3" t="n"/>
      <c r="P174" s="3" t="n"/>
      <c r="Q174" s="3" t="n"/>
      <c r="R174" s="3" t="n"/>
      <c r="S174" s="3" t="n"/>
    </row>
    <row r="175">
      <c r="A175" s="3" t="n"/>
      <c r="B175" s="3" t="n"/>
      <c r="C175" s="3" t="n"/>
      <c r="D175" s="3" t="n"/>
      <c r="E175" s="4" t="n"/>
      <c r="F175" s="3" t="n"/>
      <c r="G175" s="3" t="n"/>
      <c r="H175" s="3" t="n"/>
      <c r="I175" s="3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3" t="n"/>
      <c r="S175" s="3" t="n"/>
    </row>
    <row r="176">
      <c r="A176" s="3" t="n"/>
      <c r="B176" s="3" t="n"/>
      <c r="C176" s="3" t="n"/>
      <c r="D176" s="3" t="n"/>
      <c r="E176" s="4" t="n"/>
      <c r="F176" s="3" t="n"/>
      <c r="G176" s="3" t="n"/>
      <c r="H176" s="3" t="n"/>
      <c r="I176" s="3" t="n"/>
      <c r="J176" s="3" t="n"/>
      <c r="K176" s="3" t="n"/>
      <c r="L176" s="4" t="n"/>
      <c r="M176" s="3" t="n"/>
      <c r="N176" s="3" t="n"/>
      <c r="O176" s="3" t="n"/>
      <c r="P176" s="3" t="n"/>
      <c r="Q176" s="3" t="n"/>
      <c r="R176" s="3" t="n"/>
      <c r="S176" s="3" t="n"/>
    </row>
    <row r="177">
      <c r="A177" s="3" t="n"/>
      <c r="B177" s="3" t="n"/>
      <c r="C177" s="3" t="n"/>
      <c r="D177" s="3" t="n"/>
      <c r="E177" s="4" t="n"/>
      <c r="F177" s="3" t="n"/>
      <c r="G177" s="3" t="n"/>
      <c r="H177" s="3" t="n"/>
      <c r="I177" s="3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3" t="n"/>
      <c r="S177" s="3" t="n"/>
    </row>
    <row r="178">
      <c r="A178" s="3" t="n"/>
      <c r="B178" s="3" t="n"/>
      <c r="C178" s="3" t="n"/>
      <c r="D178" s="3" t="n"/>
      <c r="E178" s="4" t="n"/>
      <c r="F178" s="3" t="n"/>
      <c r="G178" s="3" t="n"/>
      <c r="H178" s="3" t="n"/>
      <c r="I178" s="3" t="n"/>
      <c r="J178" s="3" t="n"/>
      <c r="K178" s="3" t="n"/>
      <c r="L178" s="4" t="n"/>
      <c r="M178" s="3" t="n"/>
      <c r="N178" s="3" t="n"/>
      <c r="O178" s="3" t="n"/>
      <c r="P178" s="3" t="n"/>
      <c r="Q178" s="3" t="n"/>
      <c r="R178" s="3" t="n"/>
      <c r="S178" s="3" t="n"/>
    </row>
    <row r="179">
      <c r="A179" s="3" t="n"/>
      <c r="B179" s="3" t="n"/>
      <c r="C179" s="3" t="n"/>
      <c r="D179" s="3" t="n"/>
      <c r="E179" s="4" t="n"/>
      <c r="F179" s="3" t="n"/>
      <c r="G179" s="3" t="n"/>
      <c r="H179" s="3" t="n"/>
      <c r="I179" s="3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3" t="n"/>
      <c r="S179" s="3" t="n"/>
    </row>
    <row r="180">
      <c r="A180" s="3" t="n"/>
      <c r="B180" s="3" t="n"/>
      <c r="C180" s="3" t="n"/>
      <c r="D180" s="3" t="n"/>
      <c r="E180" s="4" t="n"/>
      <c r="F180" s="3" t="n"/>
      <c r="G180" s="3" t="n"/>
      <c r="H180" s="3" t="n"/>
      <c r="I180" s="3" t="n"/>
      <c r="J180" s="3" t="n"/>
      <c r="K180" s="3" t="n"/>
      <c r="L180" s="4" t="n"/>
      <c r="M180" s="3" t="n"/>
      <c r="N180" s="3" t="n"/>
      <c r="O180" s="3" t="n"/>
      <c r="P180" s="3" t="n"/>
      <c r="Q180" s="3" t="n"/>
      <c r="R180" s="3" t="n"/>
      <c r="S180" s="3" t="n"/>
    </row>
    <row r="181">
      <c r="A181" s="3" t="n"/>
      <c r="B181" s="3" t="n"/>
      <c r="C181" s="3" t="n"/>
      <c r="D181" s="3" t="n"/>
      <c r="E181" s="4" t="n"/>
      <c r="F181" s="3" t="n"/>
      <c r="G181" s="3" t="n"/>
      <c r="H181" s="3" t="n"/>
      <c r="I181" s="3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3" t="n"/>
      <c r="S181" s="3" t="n"/>
    </row>
    <row r="182">
      <c r="A182" s="3" t="n"/>
      <c r="B182" s="3" t="n"/>
      <c r="C182" s="3" t="n"/>
      <c r="D182" s="3" t="n"/>
      <c r="E182" s="4" t="n"/>
      <c r="F182" s="3" t="n"/>
      <c r="G182" s="3" t="n"/>
      <c r="H182" s="3" t="n"/>
      <c r="I182" s="3" t="n"/>
      <c r="J182" s="3" t="n"/>
      <c r="K182" s="3" t="n"/>
      <c r="L182" s="4" t="n"/>
      <c r="M182" s="3" t="n"/>
      <c r="N182" s="3" t="n"/>
      <c r="O182" s="3" t="n"/>
      <c r="P182" s="3" t="n"/>
      <c r="Q182" s="3" t="n"/>
      <c r="R182" s="3" t="n"/>
      <c r="S182" s="3" t="n"/>
    </row>
    <row r="183">
      <c r="A183" s="3" t="n"/>
      <c r="B183" s="3" t="n"/>
      <c r="C183" s="3" t="n"/>
      <c r="D183" s="3" t="n"/>
      <c r="E183" s="4" t="n"/>
      <c r="F183" s="3" t="n"/>
      <c r="G183" s="3" t="n"/>
      <c r="H183" s="3" t="n"/>
      <c r="I183" s="3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3" t="n"/>
      <c r="S183" s="3" t="n"/>
    </row>
    <row r="184">
      <c r="A184" s="3" t="n"/>
      <c r="B184" s="3" t="n"/>
      <c r="C184" s="3" t="n"/>
      <c r="D184" s="3" t="n"/>
      <c r="E184" s="4" t="n"/>
      <c r="F184" s="3" t="n"/>
      <c r="G184" s="3" t="n"/>
      <c r="H184" s="3" t="n"/>
      <c r="I184" s="3" t="n"/>
      <c r="J184" s="3" t="n"/>
      <c r="K184" s="3" t="n"/>
      <c r="L184" s="4" t="n"/>
      <c r="M184" s="3" t="n"/>
      <c r="N184" s="3" t="n"/>
      <c r="O184" s="3" t="n"/>
      <c r="P184" s="3" t="n"/>
      <c r="Q184" s="3" t="n"/>
      <c r="R184" s="3" t="n"/>
      <c r="S184" s="3" t="n"/>
    </row>
    <row r="185">
      <c r="A185" s="3" t="n"/>
      <c r="B185" s="3" t="n"/>
      <c r="C185" s="3" t="n"/>
      <c r="D185" s="3" t="n"/>
      <c r="E185" s="4" t="n"/>
      <c r="F185" s="3" t="n"/>
      <c r="G185" s="3" t="n"/>
      <c r="H185" s="3" t="n"/>
      <c r="I185" s="3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3" t="n"/>
      <c r="S185" s="3" t="n"/>
    </row>
    <row r="186">
      <c r="A186" s="3" t="n"/>
      <c r="B186" s="3" t="n"/>
      <c r="C186" s="3" t="n"/>
      <c r="D186" s="3" t="n"/>
      <c r="E186" s="4" t="n"/>
      <c r="F186" s="3" t="n"/>
      <c r="G186" s="3" t="n"/>
      <c r="H186" s="3" t="n"/>
      <c r="I186" s="3" t="n"/>
      <c r="J186" s="3" t="n"/>
      <c r="K186" s="3" t="n"/>
      <c r="L186" s="4" t="n"/>
      <c r="M186" s="3" t="n"/>
      <c r="N186" s="3" t="n"/>
      <c r="O186" s="3" t="n"/>
      <c r="P186" s="3" t="n"/>
      <c r="Q186" s="3" t="n"/>
      <c r="R186" s="3" t="n"/>
      <c r="S186" s="3" t="n"/>
    </row>
    <row r="187">
      <c r="A187" s="3" t="n"/>
      <c r="B187" s="3" t="n"/>
      <c r="C187" s="3" t="n"/>
      <c r="D187" s="3" t="n"/>
      <c r="E187" s="4" t="n"/>
      <c r="F187" s="3" t="n"/>
      <c r="G187" s="3" t="n"/>
      <c r="H187" s="3" t="n"/>
      <c r="I187" s="3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3" t="n"/>
      <c r="S187" s="3" t="n"/>
    </row>
    <row r="188">
      <c r="A188" s="3" t="n"/>
      <c r="B188" s="3" t="n"/>
      <c r="C188" s="3" t="n"/>
      <c r="D188" s="3" t="n"/>
      <c r="E188" s="4" t="n"/>
      <c r="F188" s="3" t="n"/>
      <c r="G188" s="3" t="n"/>
      <c r="H188" s="3" t="n"/>
      <c r="I188" s="3" t="n"/>
      <c r="J188" s="3" t="n"/>
      <c r="K188" s="3" t="n"/>
      <c r="L188" s="4" t="n"/>
      <c r="M188" s="3" t="n"/>
      <c r="N188" s="3" t="n"/>
      <c r="O188" s="3" t="n"/>
      <c r="P188" s="3" t="n"/>
      <c r="Q188" s="3" t="n"/>
      <c r="R188" s="3" t="n"/>
      <c r="S188" s="3" t="n"/>
    </row>
    <row r="189">
      <c r="A189" s="3" t="n"/>
      <c r="B189" s="3" t="n"/>
      <c r="C189" s="3" t="n"/>
      <c r="D189" s="3" t="n"/>
      <c r="E189" s="4" t="n"/>
      <c r="F189" s="3" t="n"/>
      <c r="G189" s="3" t="n"/>
      <c r="H189" s="3" t="n"/>
      <c r="I189" s="3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3" t="n"/>
      <c r="S189" s="3" t="n"/>
    </row>
    <row r="190">
      <c r="A190" s="3" t="n"/>
      <c r="B190" s="3" t="n"/>
      <c r="C190" s="3" t="n"/>
      <c r="D190" s="3" t="n"/>
      <c r="E190" s="4" t="n"/>
      <c r="F190" s="3" t="n"/>
      <c r="G190" s="3" t="n"/>
      <c r="H190" s="3" t="n"/>
      <c r="I190" s="3" t="n"/>
      <c r="J190" s="3" t="n"/>
      <c r="K190" s="3" t="n"/>
      <c r="L190" s="4" t="n"/>
      <c r="M190" s="3" t="n"/>
      <c r="N190" s="3" t="n"/>
      <c r="O190" s="3" t="n"/>
      <c r="P190" s="3" t="n"/>
      <c r="Q190" s="3" t="n"/>
      <c r="R190" s="3" t="n"/>
      <c r="S190" s="3" t="n"/>
    </row>
    <row r="191">
      <c r="A191" s="3" t="n"/>
      <c r="B191" s="3" t="n"/>
      <c r="C191" s="3" t="n"/>
      <c r="D191" s="3" t="n"/>
      <c r="E191" s="4" t="n"/>
      <c r="F191" s="3" t="n"/>
      <c r="G191" s="3" t="n"/>
      <c r="H191" s="3" t="n"/>
      <c r="I191" s="3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3" t="n"/>
      <c r="S191" s="3" t="n"/>
    </row>
    <row r="192">
      <c r="A192" s="3" t="n"/>
      <c r="B192" s="3" t="n"/>
      <c r="C192" s="3" t="n"/>
      <c r="D192" s="3" t="n"/>
      <c r="E192" s="4" t="n"/>
      <c r="F192" s="3" t="n"/>
      <c r="G192" s="3" t="n"/>
      <c r="H192" s="3" t="n"/>
      <c r="I192" s="3" t="n"/>
      <c r="J192" s="3" t="n"/>
      <c r="K192" s="3" t="n"/>
      <c r="L192" s="4" t="n"/>
      <c r="M192" s="3" t="n"/>
      <c r="N192" s="3" t="n"/>
      <c r="O192" s="3" t="n"/>
      <c r="P192" s="3" t="n"/>
      <c r="Q192" s="3" t="n"/>
      <c r="R192" s="3" t="n"/>
      <c r="S192" s="3" t="n"/>
    </row>
    <row r="193">
      <c r="A193" s="3" t="n"/>
      <c r="B193" s="3" t="n"/>
      <c r="C193" s="3" t="n"/>
      <c r="D193" s="3" t="n"/>
      <c r="E193" s="4" t="n"/>
      <c r="F193" s="3" t="n"/>
      <c r="G193" s="3" t="n"/>
      <c r="H193" s="3" t="n"/>
      <c r="I193" s="3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3" t="n"/>
      <c r="S193" s="3" t="n"/>
    </row>
    <row r="194">
      <c r="A194" s="3" t="n"/>
      <c r="B194" s="3" t="n"/>
      <c r="C194" s="3" t="n"/>
      <c r="D194" s="3" t="n"/>
      <c r="E194" s="4" t="n"/>
      <c r="F194" s="3" t="n"/>
      <c r="G194" s="3" t="n"/>
      <c r="H194" s="3" t="n"/>
      <c r="I194" s="3" t="n"/>
      <c r="J194" s="3" t="n"/>
      <c r="K194" s="3" t="n"/>
      <c r="L194" s="4" t="n"/>
      <c r="M194" s="3" t="n"/>
      <c r="N194" s="3" t="n"/>
      <c r="O194" s="3" t="n"/>
      <c r="P194" s="3" t="n"/>
      <c r="Q194" s="3" t="n"/>
      <c r="R194" s="3" t="n"/>
      <c r="S194" s="3" t="n"/>
    </row>
    <row r="195">
      <c r="A195" s="3" t="n"/>
      <c r="B195" s="3" t="n"/>
      <c r="C195" s="3" t="n"/>
      <c r="D195" s="3" t="n"/>
      <c r="E195" s="4" t="n"/>
      <c r="F195" s="3" t="n"/>
      <c r="G195" s="3" t="n"/>
      <c r="H195" s="3" t="n"/>
      <c r="I195" s="3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3" t="n"/>
      <c r="S195" s="3" t="n"/>
    </row>
    <row r="196">
      <c r="A196" s="3" t="n"/>
      <c r="B196" s="3" t="n"/>
      <c r="C196" s="3" t="n"/>
      <c r="D196" s="3" t="n"/>
      <c r="E196" s="4" t="n"/>
      <c r="F196" s="3" t="n"/>
      <c r="G196" s="3" t="n"/>
      <c r="H196" s="3" t="n"/>
      <c r="I196" s="3" t="n"/>
      <c r="J196" s="3" t="n"/>
      <c r="K196" s="3" t="n"/>
      <c r="L196" s="4" t="n"/>
      <c r="M196" s="3" t="n"/>
      <c r="N196" s="3" t="n"/>
      <c r="O196" s="3" t="n"/>
      <c r="P196" s="3" t="n"/>
      <c r="Q196" s="3" t="n"/>
      <c r="R196" s="3" t="n"/>
      <c r="S196" s="3" t="n"/>
    </row>
    <row r="197">
      <c r="A197" s="3" t="n"/>
      <c r="B197" s="3" t="n"/>
      <c r="C197" s="3" t="n"/>
      <c r="D197" s="3" t="n"/>
      <c r="E197" s="4" t="n"/>
      <c r="F197" s="3" t="n"/>
      <c r="G197" s="3" t="n"/>
      <c r="H197" s="3" t="n"/>
      <c r="I197" s="3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3" t="n"/>
      <c r="S197" s="3" t="n"/>
    </row>
    <row r="198">
      <c r="A198" s="3" t="n"/>
      <c r="B198" s="3" t="n"/>
      <c r="C198" s="3" t="n"/>
      <c r="D198" s="3" t="n"/>
      <c r="E198" s="4" t="n"/>
      <c r="F198" s="3" t="n"/>
      <c r="G198" s="3" t="n"/>
      <c r="H198" s="3" t="n"/>
      <c r="I198" s="3" t="n"/>
      <c r="J198" s="3" t="n"/>
      <c r="K198" s="3" t="n"/>
      <c r="L198" s="4" t="n"/>
      <c r="M198" s="3" t="n"/>
      <c r="N198" s="3" t="n"/>
      <c r="O198" s="3" t="n"/>
      <c r="P198" s="3" t="n"/>
      <c r="Q198" s="3" t="n"/>
      <c r="R198" s="3" t="n"/>
      <c r="S198" s="3" t="n"/>
    </row>
    <row r="199">
      <c r="A199" s="3" t="n"/>
      <c r="B199" s="3" t="n"/>
      <c r="C199" s="3" t="n"/>
      <c r="D199" s="3" t="n"/>
      <c r="E199" s="4" t="n"/>
      <c r="F199" s="3" t="n"/>
      <c r="G199" s="3" t="n"/>
      <c r="H199" s="3" t="n"/>
      <c r="I199" s="3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3" t="n"/>
      <c r="S199" s="3" t="n"/>
    </row>
    <row r="200">
      <c r="A200" s="3" t="n"/>
      <c r="B200" s="3" t="n"/>
      <c r="C200" s="3" t="n"/>
      <c r="D200" s="3" t="n"/>
      <c r="E200" s="4" t="n"/>
      <c r="F200" s="3" t="n"/>
      <c r="G200" s="3" t="n"/>
      <c r="H200" s="3" t="n"/>
      <c r="I200" s="3" t="n"/>
      <c r="J200" s="3" t="n"/>
      <c r="K200" s="3" t="n"/>
      <c r="L200" s="4" t="n"/>
      <c r="M200" s="3" t="n"/>
      <c r="N200" s="3" t="n"/>
      <c r="O200" s="3" t="n"/>
      <c r="P200" s="3" t="n"/>
      <c r="Q200" s="3" t="n"/>
      <c r="R200" s="3" t="n"/>
      <c r="S200" s="3" t="n"/>
    </row>
    <row r="201">
      <c r="A201" s="3" t="n"/>
      <c r="B201" s="3" t="n"/>
      <c r="C201" s="3" t="n"/>
      <c r="D201" s="3" t="n"/>
      <c r="E201" s="4" t="n"/>
      <c r="F201" s="3" t="n"/>
      <c r="G201" s="3" t="n"/>
      <c r="H201" s="3" t="n"/>
      <c r="I201" s="3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3" t="n"/>
      <c r="S201" s="3" t="n"/>
    </row>
    <row r="202">
      <c r="A202" s="3" t="n"/>
      <c r="B202" s="3" t="n"/>
      <c r="C202" s="3" t="n"/>
      <c r="D202" s="3" t="n"/>
      <c r="E202" s="4" t="n"/>
      <c r="F202" s="3" t="n"/>
      <c r="G202" s="3" t="n"/>
      <c r="H202" s="3" t="n"/>
      <c r="I202" s="3" t="n"/>
      <c r="J202" s="3" t="n"/>
      <c r="K202" s="3" t="n"/>
      <c r="L202" s="4" t="n"/>
      <c r="M202" s="3" t="n"/>
      <c r="N202" s="3" t="n"/>
      <c r="O202" s="3" t="n"/>
      <c r="P202" s="3" t="n"/>
      <c r="Q202" s="3" t="n"/>
      <c r="R202" s="3" t="n"/>
      <c r="S202" s="3" t="n"/>
    </row>
    <row r="203">
      <c r="A203" s="3" t="n"/>
      <c r="B203" s="3" t="n"/>
      <c r="C203" s="3" t="n"/>
      <c r="D203" s="3" t="n"/>
      <c r="E203" s="4" t="n"/>
      <c r="F203" s="3" t="n"/>
      <c r="G203" s="3" t="n"/>
      <c r="H203" s="3" t="n"/>
      <c r="I203" s="3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3" t="n"/>
      <c r="S203" s="3" t="n"/>
    </row>
    <row r="204">
      <c r="A204" s="3" t="n"/>
      <c r="B204" s="3" t="n"/>
      <c r="C204" s="3" t="n"/>
      <c r="D204" s="3" t="n"/>
      <c r="E204" s="4" t="n"/>
      <c r="F204" s="3" t="n"/>
      <c r="G204" s="3" t="n"/>
      <c r="H204" s="3" t="n"/>
      <c r="I204" s="3" t="n"/>
      <c r="J204" s="3" t="n"/>
      <c r="K204" s="3" t="n"/>
      <c r="L204" s="4" t="n"/>
      <c r="M204" s="3" t="n"/>
      <c r="N204" s="3" t="n"/>
      <c r="O204" s="3" t="n"/>
      <c r="P204" s="3" t="n"/>
      <c r="Q204" s="3" t="n"/>
      <c r="R204" s="3" t="n"/>
      <c r="S204" s="3" t="n"/>
    </row>
    <row r="205">
      <c r="A205" s="3" t="n"/>
      <c r="B205" s="3" t="n"/>
      <c r="C205" s="3" t="n"/>
      <c r="D205" s="3" t="n"/>
      <c r="E205" s="4" t="n"/>
      <c r="F205" s="3" t="n"/>
      <c r="G205" s="3" t="n"/>
      <c r="H205" s="3" t="n"/>
      <c r="I205" s="3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3" t="n"/>
      <c r="S205" s="3" t="n"/>
    </row>
    <row r="206">
      <c r="A206" s="3" t="n"/>
      <c r="B206" s="3" t="n"/>
      <c r="C206" s="3" t="n"/>
      <c r="D206" s="3" t="n"/>
      <c r="E206" s="4" t="n"/>
      <c r="F206" s="3" t="n"/>
      <c r="G206" s="3" t="n"/>
      <c r="H206" s="3" t="n"/>
      <c r="I206" s="3" t="n"/>
      <c r="J206" s="3" t="n"/>
      <c r="K206" s="3" t="n"/>
      <c r="L206" s="4" t="n"/>
      <c r="M206" s="3" t="n"/>
      <c r="N206" s="3" t="n"/>
      <c r="O206" s="3" t="n"/>
      <c r="P206" s="3" t="n"/>
      <c r="Q206" s="3" t="n"/>
      <c r="R206" s="3" t="n"/>
      <c r="S206" s="3" t="n"/>
    </row>
    <row r="207">
      <c r="A207" s="3" t="n"/>
      <c r="B207" s="3" t="n"/>
      <c r="C207" s="3" t="n"/>
      <c r="D207" s="3" t="n"/>
      <c r="E207" s="4" t="n"/>
      <c r="F207" s="3" t="n"/>
      <c r="G207" s="3" t="n"/>
      <c r="H207" s="3" t="n"/>
      <c r="I207" s="3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3" t="n"/>
      <c r="S207" s="3" t="n"/>
    </row>
    <row r="208">
      <c r="A208" s="3" t="n"/>
      <c r="B208" s="3" t="n"/>
      <c r="C208" s="3" t="n"/>
      <c r="D208" s="3" t="n"/>
      <c r="E208" s="4" t="n"/>
      <c r="F208" s="3" t="n"/>
      <c r="G208" s="3" t="n"/>
      <c r="H208" s="3" t="n"/>
      <c r="I208" s="3" t="n"/>
      <c r="J208" s="3" t="n"/>
      <c r="K208" s="3" t="n"/>
      <c r="L208" s="4" t="n"/>
      <c r="M208" s="3" t="n"/>
      <c r="N208" s="3" t="n"/>
      <c r="O208" s="3" t="n"/>
      <c r="P208" s="3" t="n"/>
      <c r="Q208" s="3" t="n"/>
      <c r="R208" s="3" t="n"/>
      <c r="S208" s="3" t="n"/>
    </row>
    <row r="209">
      <c r="A209" s="3" t="n"/>
      <c r="B209" s="3" t="n"/>
      <c r="C209" s="3" t="n"/>
      <c r="D209" s="3" t="n"/>
      <c r="E209" s="4" t="n"/>
      <c r="F209" s="3" t="n"/>
      <c r="G209" s="3" t="n"/>
      <c r="H209" s="3" t="n"/>
      <c r="I209" s="3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3" t="n"/>
      <c r="S209" s="3" t="n"/>
    </row>
    <row r="210">
      <c r="A210" s="3" t="n"/>
      <c r="B210" s="3" t="n"/>
      <c r="C210" s="3" t="n"/>
      <c r="D210" s="3" t="n"/>
      <c r="E210" s="4" t="n"/>
      <c r="F210" s="3" t="n"/>
      <c r="G210" s="3" t="n"/>
      <c r="H210" s="3" t="n"/>
      <c r="I210" s="3" t="n"/>
      <c r="J210" s="3" t="n"/>
      <c r="K210" s="3" t="n"/>
      <c r="L210" s="4" t="n"/>
      <c r="M210" s="3" t="n"/>
      <c r="N210" s="3" t="n"/>
      <c r="O210" s="3" t="n"/>
      <c r="P210" s="3" t="n"/>
      <c r="Q210" s="3" t="n"/>
      <c r="R210" s="3" t="n"/>
      <c r="S210" s="3" t="n"/>
    </row>
    <row r="211">
      <c r="A211" s="3" t="n"/>
      <c r="B211" s="3" t="n"/>
      <c r="C211" s="3" t="n"/>
      <c r="D211" s="3" t="n"/>
      <c r="E211" s="4" t="n"/>
      <c r="F211" s="3" t="n"/>
      <c r="G211" s="3" t="n"/>
      <c r="H211" s="3" t="n"/>
      <c r="I211" s="3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3" t="n"/>
      <c r="S211" s="3" t="n"/>
    </row>
    <row r="212">
      <c r="A212" s="3" t="n"/>
      <c r="B212" s="3" t="n"/>
      <c r="C212" s="3" t="n"/>
      <c r="D212" s="3" t="n"/>
      <c r="E212" s="4" t="n"/>
      <c r="F212" s="3" t="n"/>
      <c r="G212" s="3" t="n"/>
      <c r="H212" s="3" t="n"/>
      <c r="I212" s="3" t="n"/>
      <c r="J212" s="3" t="n"/>
      <c r="K212" s="3" t="n"/>
      <c r="L212" s="4" t="n"/>
      <c r="M212" s="3" t="n"/>
      <c r="N212" s="3" t="n"/>
      <c r="O212" s="3" t="n"/>
      <c r="P212" s="3" t="n"/>
      <c r="Q212" s="3" t="n"/>
      <c r="R212" s="3" t="n"/>
      <c r="S212" s="3" t="n"/>
    </row>
    <row r="213">
      <c r="A213" s="3" t="n"/>
      <c r="B213" s="3" t="n"/>
      <c r="C213" s="3" t="n"/>
      <c r="D213" s="3" t="n"/>
      <c r="E213" s="4" t="n"/>
      <c r="F213" s="3" t="n"/>
      <c r="G213" s="3" t="n"/>
      <c r="H213" s="3" t="n"/>
      <c r="I213" s="3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3" t="n"/>
      <c r="S213" s="3" t="n"/>
    </row>
    <row r="214">
      <c r="A214" s="3" t="n"/>
      <c r="B214" s="3" t="n"/>
      <c r="C214" s="3" t="n"/>
      <c r="D214" s="3" t="n"/>
      <c r="E214" s="4" t="n"/>
      <c r="F214" s="3" t="n"/>
      <c r="G214" s="3" t="n"/>
      <c r="H214" s="3" t="n"/>
      <c r="I214" s="3" t="n"/>
      <c r="J214" s="3" t="n"/>
      <c r="K214" s="3" t="n"/>
      <c r="L214" s="4" t="n"/>
      <c r="M214" s="3" t="n"/>
      <c r="N214" s="3" t="n"/>
      <c r="O214" s="3" t="n"/>
      <c r="P214" s="3" t="n"/>
      <c r="Q214" s="3" t="n"/>
      <c r="R214" s="3" t="n"/>
      <c r="S214" s="3" t="n"/>
    </row>
    <row r="215">
      <c r="A215" s="3" t="n"/>
      <c r="B215" s="3" t="n"/>
      <c r="C215" s="3" t="n"/>
      <c r="D215" s="3" t="n"/>
      <c r="E215" s="4" t="n"/>
      <c r="F215" s="3" t="n"/>
      <c r="G215" s="3" t="n"/>
      <c r="H215" s="3" t="n"/>
      <c r="I215" s="3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3" t="n"/>
      <c r="S215" s="3" t="n"/>
    </row>
    <row r="216">
      <c r="A216" s="3" t="n"/>
      <c r="B216" s="3" t="n"/>
      <c r="C216" s="3" t="n"/>
      <c r="D216" s="3" t="n"/>
      <c r="E216" s="4" t="n"/>
      <c r="F216" s="3" t="n"/>
      <c r="G216" s="3" t="n"/>
      <c r="H216" s="3" t="n"/>
      <c r="I216" s="3" t="n"/>
      <c r="J216" s="3" t="n"/>
      <c r="K216" s="3" t="n"/>
      <c r="L216" s="4" t="n"/>
      <c r="M216" s="3" t="n"/>
      <c r="N216" s="3" t="n"/>
      <c r="O216" s="3" t="n"/>
      <c r="P216" s="3" t="n"/>
      <c r="Q216" s="3" t="n"/>
      <c r="R216" s="3" t="n"/>
      <c r="S216" s="3" t="n"/>
    </row>
    <row r="217">
      <c r="A217" s="3" t="n"/>
      <c r="B217" s="3" t="n"/>
      <c r="C217" s="3" t="n"/>
      <c r="D217" s="3" t="n"/>
      <c r="E217" s="4" t="n"/>
      <c r="F217" s="3" t="n"/>
      <c r="G217" s="3" t="n"/>
      <c r="H217" s="3" t="n"/>
      <c r="I217" s="3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3" t="n"/>
      <c r="S217" s="3" t="n"/>
    </row>
    <row r="218">
      <c r="A218" s="3" t="n"/>
      <c r="B218" s="3" t="n"/>
      <c r="C218" s="3" t="n"/>
      <c r="D218" s="3" t="n"/>
      <c r="E218" s="4" t="n"/>
      <c r="F218" s="3" t="n"/>
      <c r="G218" s="3" t="n"/>
      <c r="H218" s="3" t="n"/>
      <c r="I218" s="3" t="n"/>
      <c r="J218" s="3" t="n"/>
      <c r="K218" s="3" t="n"/>
      <c r="L218" s="4" t="n"/>
      <c r="M218" s="3" t="n"/>
      <c r="N218" s="3" t="n"/>
      <c r="O218" s="3" t="n"/>
      <c r="P218" s="3" t="n"/>
      <c r="Q218" s="3" t="n"/>
      <c r="R218" s="3" t="n"/>
      <c r="S218" s="3" t="n"/>
    </row>
    <row r="219">
      <c r="A219" s="3" t="n"/>
      <c r="B219" s="3" t="n"/>
      <c r="C219" s="3" t="n"/>
      <c r="D219" s="3" t="n"/>
      <c r="E219" s="4" t="n"/>
      <c r="F219" s="3" t="n"/>
      <c r="G219" s="3" t="n"/>
      <c r="H219" s="3" t="n"/>
      <c r="I219" s="3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3" t="n"/>
      <c r="S219" s="3" t="n"/>
    </row>
    <row r="220">
      <c r="A220" s="3" t="n"/>
      <c r="B220" s="3" t="n"/>
      <c r="C220" s="3" t="n"/>
      <c r="D220" s="3" t="n"/>
      <c r="E220" s="4" t="n"/>
      <c r="F220" s="3" t="n"/>
      <c r="G220" s="3" t="n"/>
      <c r="H220" s="3" t="n"/>
      <c r="I220" s="3" t="n"/>
      <c r="J220" s="3" t="n"/>
      <c r="K220" s="3" t="n"/>
      <c r="L220" s="4" t="n"/>
      <c r="M220" s="3" t="n"/>
      <c r="N220" s="3" t="n"/>
      <c r="O220" s="3" t="n"/>
      <c r="P220" s="3" t="n"/>
      <c r="Q220" s="3" t="n"/>
      <c r="R220" s="3" t="n"/>
      <c r="S220" s="3" t="n"/>
    </row>
    <row r="221">
      <c r="A221" s="3" t="n"/>
      <c r="B221" s="3" t="n"/>
      <c r="C221" s="3" t="n"/>
      <c r="D221" s="3" t="n"/>
      <c r="E221" s="4" t="n"/>
      <c r="F221" s="3" t="n"/>
      <c r="G221" s="3" t="n"/>
      <c r="H221" s="3" t="n"/>
      <c r="I221" s="3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3" t="n"/>
      <c r="S221" s="3" t="n"/>
    </row>
    <row r="222">
      <c r="A222" s="3" t="n"/>
      <c r="B222" s="3" t="n"/>
      <c r="C222" s="3" t="n"/>
      <c r="D222" s="3" t="n"/>
      <c r="E222" s="4" t="n"/>
      <c r="F222" s="3" t="n"/>
      <c r="G222" s="3" t="n"/>
      <c r="H222" s="3" t="n"/>
      <c r="I222" s="3" t="n"/>
      <c r="J222" s="3" t="n"/>
      <c r="K222" s="3" t="n"/>
      <c r="L222" s="4" t="n"/>
      <c r="M222" s="3" t="n"/>
      <c r="N222" s="3" t="n"/>
      <c r="O222" s="3" t="n"/>
      <c r="P222" s="3" t="n"/>
      <c r="Q222" s="3" t="n"/>
      <c r="R222" s="3" t="n"/>
      <c r="S222" s="3" t="n"/>
    </row>
    <row r="223">
      <c r="A223" s="3" t="n"/>
      <c r="B223" s="3" t="n"/>
      <c r="C223" s="3" t="n"/>
      <c r="D223" s="3" t="n"/>
      <c r="E223" s="4" t="n"/>
      <c r="F223" s="3" t="n"/>
      <c r="G223" s="3" t="n"/>
      <c r="H223" s="3" t="n"/>
      <c r="I223" s="3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3" t="n"/>
      <c r="S223" s="3" t="n"/>
    </row>
    <row r="224">
      <c r="A224" s="3" t="n"/>
      <c r="B224" s="3" t="n"/>
      <c r="C224" s="3" t="n"/>
      <c r="D224" s="3" t="n"/>
      <c r="E224" s="4" t="n"/>
      <c r="F224" s="3" t="n"/>
      <c r="G224" s="3" t="n"/>
      <c r="H224" s="3" t="n"/>
      <c r="I224" s="3" t="n"/>
      <c r="J224" s="3" t="n"/>
      <c r="K224" s="3" t="n"/>
      <c r="L224" s="4" t="n"/>
      <c r="M224" s="3" t="n"/>
      <c r="N224" s="3" t="n"/>
      <c r="O224" s="3" t="n"/>
      <c r="P224" s="3" t="n"/>
      <c r="Q224" s="3" t="n"/>
      <c r="R224" s="3" t="n"/>
      <c r="S224" s="3" t="n"/>
    </row>
    <row r="225">
      <c r="A225" s="3" t="n"/>
      <c r="B225" s="3" t="n"/>
      <c r="C225" s="3" t="n"/>
      <c r="D225" s="3" t="n"/>
      <c r="E225" s="4" t="n"/>
      <c r="F225" s="3" t="n"/>
      <c r="G225" s="3" t="n"/>
      <c r="H225" s="3" t="n"/>
      <c r="I225" s="3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3" t="n"/>
      <c r="S225" s="3" t="n"/>
    </row>
    <row r="226">
      <c r="A226" s="3" t="n"/>
      <c r="B226" s="3" t="n"/>
      <c r="C226" s="3" t="n"/>
      <c r="D226" s="3" t="n"/>
      <c r="E226" s="4" t="n"/>
      <c r="F226" s="3" t="n"/>
      <c r="G226" s="3" t="n"/>
      <c r="H226" s="3" t="n"/>
      <c r="I226" s="3" t="n"/>
      <c r="J226" s="3" t="n"/>
      <c r="K226" s="3" t="n"/>
      <c r="L226" s="4" t="n"/>
      <c r="M226" s="3" t="n"/>
      <c r="N226" s="3" t="n"/>
      <c r="O226" s="3" t="n"/>
      <c r="P226" s="3" t="n"/>
      <c r="Q226" s="3" t="n"/>
      <c r="R226" s="3" t="n"/>
      <c r="S226" s="3" t="n"/>
    </row>
    <row r="227">
      <c r="A227" s="3" t="n"/>
      <c r="B227" s="3" t="n"/>
      <c r="C227" s="3" t="n"/>
      <c r="D227" s="3" t="n"/>
      <c r="E227" s="4" t="n"/>
      <c r="F227" s="3" t="n"/>
      <c r="G227" s="3" t="n"/>
      <c r="H227" s="3" t="n"/>
      <c r="I227" s="3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3" t="n"/>
      <c r="S227" s="3" t="n"/>
    </row>
    <row r="228">
      <c r="A228" s="3" t="n"/>
      <c r="B228" s="3" t="n"/>
      <c r="C228" s="3" t="n"/>
      <c r="D228" s="3" t="n"/>
      <c r="E228" s="4" t="n"/>
      <c r="F228" s="3" t="n"/>
      <c r="G228" s="3" t="n"/>
      <c r="H228" s="3" t="n"/>
      <c r="I228" s="3" t="n"/>
      <c r="J228" s="3" t="n"/>
      <c r="K228" s="3" t="n"/>
      <c r="L228" s="4" t="n"/>
      <c r="M228" s="3" t="n"/>
      <c r="N228" s="3" t="n"/>
      <c r="O228" s="3" t="n"/>
      <c r="P228" s="3" t="n"/>
      <c r="Q228" s="3" t="n"/>
      <c r="R228" s="3" t="n"/>
      <c r="S228" s="3" t="n"/>
    </row>
    <row r="229">
      <c r="A229" s="3" t="n"/>
      <c r="B229" s="3" t="n"/>
      <c r="C229" s="3" t="n"/>
      <c r="D229" s="3" t="n"/>
      <c r="E229" s="4" t="n"/>
      <c r="F229" s="3" t="n"/>
      <c r="G229" s="3" t="n"/>
      <c r="H229" s="3" t="n"/>
      <c r="I229" s="3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3" t="n"/>
      <c r="S229" s="3" t="n"/>
    </row>
    <row r="230">
      <c r="A230" s="3" t="n"/>
      <c r="B230" s="3" t="n"/>
      <c r="C230" s="3" t="n"/>
      <c r="D230" s="3" t="n"/>
      <c r="E230" s="4" t="n"/>
      <c r="F230" s="3" t="n"/>
      <c r="G230" s="3" t="n"/>
      <c r="H230" s="3" t="n"/>
      <c r="I230" s="3" t="n"/>
      <c r="J230" s="3" t="n"/>
      <c r="K230" s="3" t="n"/>
      <c r="L230" s="4" t="n"/>
      <c r="M230" s="3" t="n"/>
      <c r="N230" s="3" t="n"/>
      <c r="O230" s="3" t="n"/>
      <c r="P230" s="3" t="n"/>
      <c r="Q230" s="3" t="n"/>
      <c r="R230" s="3" t="n"/>
      <c r="S230" s="3" t="n"/>
    </row>
    <row r="231">
      <c r="A231" s="3" t="n"/>
      <c r="B231" s="3" t="n"/>
      <c r="C231" s="3" t="n"/>
      <c r="D231" s="3" t="n"/>
      <c r="E231" s="4" t="n"/>
      <c r="F231" s="3" t="n"/>
      <c r="G231" s="3" t="n"/>
      <c r="H231" s="3" t="n"/>
      <c r="I231" s="3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3" t="n"/>
      <c r="S231" s="3" t="n"/>
    </row>
    <row r="232">
      <c r="A232" s="3" t="n"/>
      <c r="B232" s="3" t="n"/>
      <c r="C232" s="3" t="n"/>
      <c r="D232" s="3" t="n"/>
      <c r="E232" s="4" t="n"/>
      <c r="F232" s="3" t="n"/>
      <c r="G232" s="3" t="n"/>
      <c r="H232" s="3" t="n"/>
      <c r="I232" s="3" t="n"/>
      <c r="J232" s="3" t="n"/>
      <c r="K232" s="3" t="n"/>
      <c r="L232" s="4" t="n"/>
      <c r="M232" s="3" t="n"/>
      <c r="N232" s="3" t="n"/>
      <c r="O232" s="3" t="n"/>
      <c r="P232" s="3" t="n"/>
      <c r="Q232" s="3" t="n"/>
      <c r="R232" s="3" t="n"/>
      <c r="S232" s="3" t="n"/>
    </row>
    <row r="233">
      <c r="A233" s="3" t="n"/>
      <c r="B233" s="3" t="n"/>
      <c r="C233" s="3" t="n"/>
      <c r="D233" s="3" t="n"/>
      <c r="E233" s="4" t="n"/>
      <c r="F233" s="3" t="n"/>
      <c r="G233" s="3" t="n"/>
      <c r="H233" s="3" t="n"/>
      <c r="I233" s="3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3" t="n"/>
      <c r="S233" s="3" t="n"/>
    </row>
    <row r="234">
      <c r="A234" s="3" t="n"/>
      <c r="B234" s="3" t="n"/>
      <c r="C234" s="3" t="n"/>
      <c r="D234" s="3" t="n"/>
      <c r="E234" s="4" t="n"/>
      <c r="F234" s="3" t="n"/>
      <c r="G234" s="3" t="n"/>
      <c r="H234" s="3" t="n"/>
      <c r="I234" s="3" t="n"/>
      <c r="J234" s="3" t="n"/>
      <c r="K234" s="3" t="n"/>
      <c r="L234" s="4" t="n"/>
      <c r="M234" s="3" t="n"/>
      <c r="N234" s="3" t="n"/>
      <c r="O234" s="3" t="n"/>
      <c r="P234" s="3" t="n"/>
      <c r="Q234" s="3" t="n"/>
      <c r="R234" s="3" t="n"/>
      <c r="S234" s="3" t="n"/>
    </row>
    <row r="235">
      <c r="A235" s="3" t="n"/>
      <c r="B235" s="3" t="n"/>
      <c r="C235" s="3" t="n"/>
      <c r="D235" s="3" t="n"/>
      <c r="E235" s="4" t="n"/>
      <c r="F235" s="3" t="n"/>
      <c r="G235" s="3" t="n"/>
      <c r="H235" s="3" t="n"/>
      <c r="I235" s="3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3" t="n"/>
      <c r="S235" s="3" t="n"/>
    </row>
    <row r="236">
      <c r="A236" s="3" t="n"/>
      <c r="B236" s="3" t="n"/>
      <c r="C236" s="3" t="n"/>
      <c r="D236" s="3" t="n"/>
      <c r="E236" s="4" t="n"/>
      <c r="F236" s="3" t="n"/>
      <c r="G236" s="3" t="n"/>
      <c r="H236" s="3" t="n"/>
      <c r="I236" s="3" t="n"/>
      <c r="J236" s="3" t="n"/>
      <c r="K236" s="3" t="n"/>
      <c r="L236" s="4" t="n"/>
      <c r="M236" s="3" t="n"/>
      <c r="N236" s="3" t="n"/>
      <c r="O236" s="3" t="n"/>
      <c r="P236" s="3" t="n"/>
      <c r="Q236" s="3" t="n"/>
      <c r="R236" s="3" t="n"/>
      <c r="S236" s="3" t="n"/>
    </row>
    <row r="237">
      <c r="A237" s="3" t="n"/>
      <c r="B237" s="3" t="n"/>
      <c r="C237" s="3" t="n"/>
      <c r="D237" s="3" t="n"/>
      <c r="E237" s="4" t="n"/>
      <c r="F237" s="3" t="n"/>
      <c r="G237" s="3" t="n"/>
      <c r="H237" s="3" t="n"/>
      <c r="I237" s="3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3" t="n"/>
      <c r="S237" s="3" t="n"/>
    </row>
    <row r="238">
      <c r="A238" s="3" t="n"/>
      <c r="B238" s="3" t="n"/>
      <c r="C238" s="3" t="n"/>
      <c r="D238" s="3" t="n"/>
      <c r="E238" s="4" t="n"/>
      <c r="F238" s="3" t="n"/>
      <c r="G238" s="3" t="n"/>
      <c r="H238" s="3" t="n"/>
      <c r="I238" s="3" t="n"/>
      <c r="J238" s="3" t="n"/>
      <c r="K238" s="3" t="n"/>
      <c r="L238" s="4" t="n"/>
      <c r="M238" s="3" t="n"/>
      <c r="N238" s="3" t="n"/>
      <c r="O238" s="3" t="n"/>
      <c r="P238" s="3" t="n"/>
      <c r="Q238" s="3" t="n"/>
      <c r="R238" s="3" t="n"/>
      <c r="S238" s="3" t="n"/>
    </row>
    <row r="239">
      <c r="A239" s="3" t="n"/>
      <c r="B239" s="3" t="n"/>
      <c r="C239" s="3" t="n"/>
      <c r="D239" s="3" t="n"/>
      <c r="E239" s="4" t="n"/>
      <c r="F239" s="3" t="n"/>
      <c r="G239" s="3" t="n"/>
      <c r="H239" s="3" t="n"/>
      <c r="I239" s="3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3" t="n"/>
      <c r="S239" s="3" t="n"/>
    </row>
    <row r="240">
      <c r="A240" s="3" t="n"/>
      <c r="B240" s="3" t="n"/>
      <c r="C240" s="3" t="n"/>
      <c r="D240" s="3" t="n"/>
      <c r="E240" s="4" t="n"/>
      <c r="F240" s="3" t="n"/>
      <c r="G240" s="3" t="n"/>
      <c r="H240" s="3" t="n"/>
      <c r="I240" s="3" t="n"/>
      <c r="J240" s="3" t="n"/>
      <c r="K240" s="3" t="n"/>
      <c r="L240" s="4" t="n"/>
      <c r="M240" s="3" t="n"/>
      <c r="N240" s="3" t="n"/>
      <c r="O240" s="3" t="n"/>
      <c r="P240" s="3" t="n"/>
      <c r="Q240" s="3" t="n"/>
      <c r="R240" s="3" t="n"/>
      <c r="S240" s="3" t="n"/>
    </row>
    <row r="241">
      <c r="A241" s="3" t="n"/>
      <c r="B241" s="3" t="n"/>
      <c r="C241" s="3" t="n"/>
      <c r="D241" s="3" t="n"/>
      <c r="E241" s="4" t="n"/>
      <c r="F241" s="3" t="n"/>
      <c r="G241" s="3" t="n"/>
      <c r="H241" s="3" t="n"/>
      <c r="I241" s="3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3" t="n"/>
      <c r="S241" s="3" t="n"/>
    </row>
    <row r="242">
      <c r="A242" s="3" t="n"/>
      <c r="B242" s="3" t="n"/>
      <c r="C242" s="3" t="n"/>
      <c r="D242" s="3" t="n"/>
      <c r="E242" s="4" t="n"/>
      <c r="F242" s="3" t="n"/>
      <c r="G242" s="3" t="n"/>
      <c r="H242" s="3" t="n"/>
      <c r="I242" s="3" t="n"/>
      <c r="J242" s="3" t="n"/>
      <c r="K242" s="3" t="n"/>
      <c r="L242" s="4" t="n"/>
      <c r="M242" s="3" t="n"/>
      <c r="N242" s="3" t="n"/>
      <c r="O242" s="3" t="n"/>
      <c r="P242" s="3" t="n"/>
      <c r="Q242" s="3" t="n"/>
      <c r="R242" s="3" t="n"/>
      <c r="S242" s="3" t="n"/>
    </row>
    <row r="243">
      <c r="A243" s="3" t="n"/>
      <c r="B243" s="3" t="n"/>
      <c r="C243" s="3" t="n"/>
      <c r="D243" s="3" t="n"/>
      <c r="E243" s="4" t="n"/>
      <c r="F243" s="3" t="n"/>
      <c r="G243" s="3" t="n"/>
      <c r="H243" s="3" t="n"/>
      <c r="I243" s="3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3" t="n"/>
      <c r="S243" s="3" t="n"/>
    </row>
    <row r="244">
      <c r="A244" s="3" t="n"/>
      <c r="B244" s="3" t="n"/>
      <c r="C244" s="3" t="n"/>
      <c r="D244" s="3" t="n"/>
      <c r="E244" s="4" t="n"/>
      <c r="F244" s="3" t="n"/>
      <c r="G244" s="3" t="n"/>
      <c r="H244" s="3" t="n"/>
      <c r="I244" s="3" t="n"/>
      <c r="J244" s="3" t="n"/>
      <c r="K244" s="3" t="n"/>
      <c r="L244" s="4" t="n"/>
      <c r="M244" s="3" t="n"/>
      <c r="N244" s="3" t="n"/>
      <c r="O244" s="3" t="n"/>
      <c r="P244" s="3" t="n"/>
      <c r="Q244" s="3" t="n"/>
      <c r="R244" s="3" t="n"/>
      <c r="S244" s="3" t="n"/>
    </row>
    <row r="245">
      <c r="A245" s="3" t="n"/>
      <c r="B245" s="3" t="n"/>
      <c r="C245" s="3" t="n"/>
      <c r="D245" s="3" t="n"/>
      <c r="E245" s="4" t="n"/>
      <c r="F245" s="3" t="n"/>
      <c r="G245" s="3" t="n"/>
      <c r="H245" s="3" t="n"/>
      <c r="I245" s="3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3" t="n"/>
      <c r="S245" s="3" t="n"/>
    </row>
    <row r="246">
      <c r="A246" s="3" t="n"/>
      <c r="B246" s="3" t="n"/>
      <c r="C246" s="3" t="n"/>
      <c r="D246" s="3" t="n"/>
      <c r="E246" s="4" t="n"/>
      <c r="F246" s="3" t="n"/>
      <c r="G246" s="3" t="n"/>
      <c r="H246" s="3" t="n"/>
      <c r="I246" s="3" t="n"/>
      <c r="J246" s="3" t="n"/>
      <c r="K246" s="3" t="n"/>
      <c r="L246" s="4" t="n"/>
      <c r="M246" s="3" t="n"/>
      <c r="N246" s="3" t="n"/>
      <c r="O246" s="3" t="n"/>
      <c r="P246" s="3" t="n"/>
      <c r="Q246" s="3" t="n"/>
      <c r="R246" s="3" t="n"/>
      <c r="S246" s="3" t="n"/>
    </row>
    <row r="247">
      <c r="A247" s="3" t="n"/>
      <c r="B247" s="3" t="n"/>
      <c r="C247" s="3" t="n"/>
      <c r="D247" s="3" t="n"/>
      <c r="E247" s="4" t="n"/>
      <c r="F247" s="3" t="n"/>
      <c r="G247" s="3" t="n"/>
      <c r="H247" s="3" t="n"/>
      <c r="I247" s="3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3" t="n"/>
      <c r="S247" s="3" t="n"/>
    </row>
    <row r="248">
      <c r="A248" s="3" t="n"/>
      <c r="B248" s="3" t="n"/>
      <c r="C248" s="3" t="n"/>
      <c r="D248" s="3" t="n"/>
      <c r="E248" s="4" t="n"/>
      <c r="F248" s="3" t="n"/>
      <c r="G248" s="3" t="n"/>
      <c r="H248" s="3" t="n"/>
      <c r="I248" s="3" t="n"/>
      <c r="J248" s="3" t="n"/>
      <c r="K248" s="3" t="n"/>
      <c r="L248" s="4" t="n"/>
      <c r="M248" s="3" t="n"/>
      <c r="N248" s="3" t="n"/>
      <c r="O248" s="3" t="n"/>
      <c r="P248" s="3" t="n"/>
      <c r="Q248" s="3" t="n"/>
      <c r="R248" s="3" t="n"/>
      <c r="S248" s="3" t="n"/>
    </row>
    <row r="249">
      <c r="A249" s="3" t="n"/>
      <c r="B249" s="3" t="n"/>
      <c r="C249" s="3" t="n"/>
      <c r="D249" s="3" t="n"/>
      <c r="E249" s="4" t="n"/>
      <c r="F249" s="3" t="n"/>
      <c r="G249" s="3" t="n"/>
      <c r="H249" s="3" t="n"/>
      <c r="I249" s="3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3" t="n"/>
      <c r="S249" s="3" t="n"/>
    </row>
    <row r="250">
      <c r="A250" s="3" t="n"/>
      <c r="B250" s="3" t="n"/>
      <c r="C250" s="3" t="n"/>
      <c r="D250" s="3" t="n"/>
      <c r="E250" s="4" t="n"/>
      <c r="F250" s="3" t="n"/>
      <c r="G250" s="3" t="n"/>
      <c r="H250" s="3" t="n"/>
      <c r="I250" s="3" t="n"/>
      <c r="J250" s="3" t="n"/>
      <c r="K250" s="3" t="n"/>
      <c r="L250" s="4" t="n"/>
      <c r="M250" s="3" t="n"/>
      <c r="N250" s="3" t="n"/>
      <c r="O250" s="3" t="n"/>
      <c r="P250" s="3" t="n"/>
      <c r="Q250" s="3" t="n"/>
      <c r="R250" s="3" t="n"/>
      <c r="S250" s="3" t="n"/>
    </row>
    <row r="251">
      <c r="A251" s="3" t="n"/>
      <c r="B251" s="3" t="n"/>
      <c r="C251" s="3" t="n"/>
      <c r="D251" s="3" t="n"/>
      <c r="E251" s="4" t="n"/>
      <c r="F251" s="3" t="n"/>
      <c r="G251" s="3" t="n"/>
      <c r="H251" s="3" t="n"/>
      <c r="I251" s="3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3" t="n"/>
      <c r="S251" s="3" t="n"/>
    </row>
    <row r="252">
      <c r="A252" s="3" t="n"/>
      <c r="B252" s="3" t="n"/>
      <c r="C252" s="3" t="n"/>
      <c r="D252" s="3" t="n"/>
      <c r="E252" s="4" t="n"/>
      <c r="F252" s="3" t="n"/>
      <c r="G252" s="3" t="n"/>
      <c r="H252" s="3" t="n"/>
      <c r="I252" s="3" t="n"/>
      <c r="J252" s="3" t="n"/>
      <c r="K252" s="3" t="n"/>
      <c r="L252" s="4" t="n"/>
      <c r="M252" s="3" t="n"/>
      <c r="N252" s="3" t="n"/>
      <c r="O252" s="3" t="n"/>
      <c r="P252" s="3" t="n"/>
      <c r="Q252" s="3" t="n"/>
      <c r="R252" s="3" t="n"/>
      <c r="S252" s="3" t="n"/>
    </row>
    <row r="253">
      <c r="A253" s="3" t="n"/>
      <c r="B253" s="3" t="n"/>
      <c r="C253" s="3" t="n"/>
      <c r="D253" s="3" t="n"/>
      <c r="E253" s="4" t="n"/>
      <c r="F253" s="3" t="n"/>
      <c r="G253" s="3" t="n"/>
      <c r="H253" s="3" t="n"/>
      <c r="I253" s="3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3" t="n"/>
      <c r="S253" s="3" t="n"/>
    </row>
    <row r="254">
      <c r="A254" s="3" t="n"/>
      <c r="B254" s="3" t="n"/>
      <c r="C254" s="3" t="n"/>
      <c r="D254" s="3" t="n"/>
      <c r="E254" s="4" t="n"/>
      <c r="F254" s="3" t="n"/>
      <c r="G254" s="3" t="n"/>
      <c r="H254" s="3" t="n"/>
      <c r="I254" s="3" t="n"/>
      <c r="J254" s="3" t="n"/>
      <c r="K254" s="3" t="n"/>
      <c r="L254" s="4" t="n"/>
      <c r="M254" s="3" t="n"/>
      <c r="N254" s="3" t="n"/>
      <c r="O254" s="3" t="n"/>
      <c r="P254" s="3" t="n"/>
      <c r="Q254" s="3" t="n"/>
      <c r="R254" s="3" t="n"/>
      <c r="S254" s="3" t="n"/>
    </row>
    <row r="255">
      <c r="A255" s="3" t="n"/>
      <c r="B255" s="3" t="n"/>
      <c r="C255" s="3" t="n"/>
      <c r="D255" s="3" t="n"/>
      <c r="E255" s="4" t="n"/>
      <c r="F255" s="3" t="n"/>
      <c r="G255" s="3" t="n"/>
      <c r="H255" s="3" t="n"/>
      <c r="I255" s="3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3" t="n"/>
      <c r="S255" s="3" t="n"/>
    </row>
    <row r="256">
      <c r="A256" s="3" t="n"/>
      <c r="B256" s="3" t="n"/>
      <c r="C256" s="3" t="n"/>
      <c r="D256" s="3" t="n"/>
      <c r="E256" s="4" t="n"/>
      <c r="F256" s="3" t="n"/>
      <c r="G256" s="3" t="n"/>
      <c r="H256" s="3" t="n"/>
      <c r="I256" s="3" t="n"/>
      <c r="J256" s="3" t="n"/>
      <c r="K256" s="3" t="n"/>
      <c r="L256" s="4" t="n"/>
      <c r="M256" s="3" t="n"/>
      <c r="N256" s="3" t="n"/>
      <c r="O256" s="3" t="n"/>
      <c r="P256" s="3" t="n"/>
      <c r="Q256" s="3" t="n"/>
      <c r="R256" s="3" t="n"/>
      <c r="S256" s="3" t="n"/>
    </row>
    <row r="257">
      <c r="A257" s="3" t="n"/>
      <c r="B257" s="3" t="n"/>
      <c r="C257" s="3" t="n"/>
      <c r="D257" s="3" t="n"/>
      <c r="E257" s="4" t="n"/>
      <c r="F257" s="3" t="n"/>
      <c r="G257" s="3" t="n"/>
      <c r="H257" s="3" t="n"/>
      <c r="I257" s="3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3" t="n"/>
      <c r="S257" s="3" t="n"/>
    </row>
    <row r="258">
      <c r="A258" s="3" t="n"/>
      <c r="B258" s="3" t="n"/>
      <c r="C258" s="3" t="n"/>
      <c r="D258" s="3" t="n"/>
      <c r="E258" s="4" t="n"/>
      <c r="F258" s="3" t="n"/>
      <c r="G258" s="3" t="n"/>
      <c r="H258" s="3" t="n"/>
      <c r="I258" s="3" t="n"/>
      <c r="J258" s="3" t="n"/>
      <c r="K258" s="3" t="n"/>
      <c r="L258" s="4" t="n"/>
      <c r="M258" s="3" t="n"/>
      <c r="N258" s="3" t="n"/>
      <c r="O258" s="3" t="n"/>
      <c r="P258" s="3" t="n"/>
      <c r="Q258" s="3" t="n"/>
      <c r="R258" s="3" t="n"/>
      <c r="S258" s="3" t="n"/>
    </row>
    <row r="259">
      <c r="A259" s="3" t="n"/>
      <c r="B259" s="3" t="n"/>
      <c r="C259" s="3" t="n"/>
      <c r="D259" s="3" t="n"/>
      <c r="E259" s="4" t="n"/>
      <c r="F259" s="3" t="n"/>
      <c r="G259" s="3" t="n"/>
      <c r="H259" s="3" t="n"/>
      <c r="I259" s="3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3" t="n"/>
      <c r="S259" s="3" t="n"/>
    </row>
    <row r="260">
      <c r="A260" s="3" t="n"/>
      <c r="B260" s="3" t="n"/>
      <c r="C260" s="3" t="n"/>
      <c r="D260" s="3" t="n"/>
      <c r="E260" s="4" t="n"/>
      <c r="F260" s="3" t="n"/>
      <c r="G260" s="3" t="n"/>
      <c r="H260" s="3" t="n"/>
      <c r="I260" s="3" t="n"/>
      <c r="J260" s="3" t="n"/>
      <c r="K260" s="3" t="n"/>
      <c r="L260" s="4" t="n"/>
      <c r="M260" s="3" t="n"/>
      <c r="N260" s="3" t="n"/>
      <c r="O260" s="3" t="n"/>
      <c r="P260" s="3" t="n"/>
      <c r="Q260" s="3" t="n"/>
      <c r="R260" s="3" t="n"/>
      <c r="S260" s="3" t="n"/>
    </row>
    <row r="261">
      <c r="A261" s="3" t="n"/>
      <c r="B261" s="3" t="n"/>
      <c r="C261" s="3" t="n"/>
      <c r="D261" s="3" t="n"/>
      <c r="E261" s="4" t="n"/>
      <c r="F261" s="3" t="n"/>
      <c r="G261" s="3" t="n"/>
      <c r="H261" s="3" t="n"/>
      <c r="I261" s="3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3" t="n"/>
      <c r="S261" s="3" t="n"/>
    </row>
    <row r="262">
      <c r="A262" s="3" t="n"/>
      <c r="B262" s="3" t="n"/>
      <c r="C262" s="3" t="n"/>
      <c r="D262" s="3" t="n"/>
      <c r="E262" s="4" t="n"/>
      <c r="F262" s="3" t="n"/>
      <c r="G262" s="3" t="n"/>
      <c r="H262" s="3" t="n"/>
      <c r="I262" s="3" t="n"/>
      <c r="J262" s="3" t="n"/>
      <c r="K262" s="3" t="n"/>
      <c r="L262" s="4" t="n"/>
      <c r="M262" s="3" t="n"/>
      <c r="N262" s="3" t="n"/>
      <c r="O262" s="3" t="n"/>
      <c r="P262" s="3" t="n"/>
      <c r="Q262" s="3" t="n"/>
      <c r="R262" s="3" t="n"/>
      <c r="S262" s="3" t="n"/>
    </row>
    <row r="263">
      <c r="A263" s="3" t="n"/>
      <c r="B263" s="3" t="n"/>
      <c r="C263" s="3" t="n"/>
      <c r="D263" s="3" t="n"/>
      <c r="E263" s="4" t="n"/>
      <c r="F263" s="3" t="n"/>
      <c r="G263" s="3" t="n"/>
      <c r="H263" s="3" t="n"/>
      <c r="I263" s="3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3" t="n"/>
      <c r="S263" s="3" t="n"/>
    </row>
    <row r="264">
      <c r="A264" s="3" t="n"/>
      <c r="B264" s="3" t="n"/>
      <c r="C264" s="3" t="n"/>
      <c r="D264" s="3" t="n"/>
      <c r="E264" s="4" t="n"/>
      <c r="F264" s="3" t="n"/>
      <c r="G264" s="3" t="n"/>
      <c r="H264" s="3" t="n"/>
      <c r="I264" s="3" t="n"/>
      <c r="J264" s="3" t="n"/>
      <c r="K264" s="3" t="n"/>
      <c r="L264" s="4" t="n"/>
      <c r="M264" s="3" t="n"/>
      <c r="N264" s="3" t="n"/>
      <c r="O264" s="3" t="n"/>
      <c r="P264" s="3" t="n"/>
      <c r="Q264" s="3" t="n"/>
      <c r="R264" s="3" t="n"/>
      <c r="S264" s="3" t="n"/>
    </row>
    <row r="265">
      <c r="A265" s="3" t="n"/>
      <c r="B265" s="3" t="n"/>
      <c r="C265" s="3" t="n"/>
      <c r="D265" s="3" t="n"/>
      <c r="E265" s="4" t="n"/>
      <c r="F265" s="3" t="n"/>
      <c r="G265" s="3" t="n"/>
      <c r="H265" s="3" t="n"/>
      <c r="I265" s="3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3" t="n"/>
      <c r="S265" s="3" t="n"/>
    </row>
    <row r="266">
      <c r="A266" s="3" t="n"/>
      <c r="B266" s="3" t="n"/>
      <c r="C266" s="3" t="n"/>
      <c r="D266" s="3" t="n"/>
      <c r="E266" s="4" t="n"/>
      <c r="F266" s="3" t="n"/>
      <c r="G266" s="3" t="n"/>
      <c r="H266" s="3" t="n"/>
      <c r="I266" s="3" t="n"/>
      <c r="J266" s="3" t="n"/>
      <c r="K266" s="3" t="n"/>
      <c r="L266" s="4" t="n"/>
      <c r="M266" s="3" t="n"/>
      <c r="N266" s="3" t="n"/>
      <c r="O266" s="3" t="n"/>
      <c r="P266" s="3" t="n"/>
      <c r="Q266" s="3" t="n"/>
      <c r="R266" s="3" t="n"/>
      <c r="S266" s="3" t="n"/>
    </row>
    <row r="267">
      <c r="A267" s="3" t="n"/>
      <c r="B267" s="3" t="n"/>
      <c r="C267" s="3" t="n"/>
      <c r="D267" s="3" t="n"/>
      <c r="E267" s="4" t="n"/>
      <c r="F267" s="3" t="n"/>
      <c r="G267" s="3" t="n"/>
      <c r="H267" s="3" t="n"/>
      <c r="I267" s="3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3" t="n"/>
      <c r="S267" s="3" t="n"/>
    </row>
    <row r="268">
      <c r="A268" s="3" t="n"/>
      <c r="B268" s="3" t="n"/>
      <c r="C268" s="3" t="n"/>
      <c r="D268" s="3" t="n"/>
      <c r="E268" s="4" t="n"/>
      <c r="F268" s="3" t="n"/>
      <c r="G268" s="3" t="n"/>
      <c r="H268" s="3" t="n"/>
      <c r="I268" s="3" t="n"/>
      <c r="J268" s="3" t="n"/>
      <c r="K268" s="3" t="n"/>
      <c r="L268" s="4" t="n"/>
      <c r="M268" s="3" t="n"/>
      <c r="N268" s="3" t="n"/>
      <c r="O268" s="3" t="n"/>
      <c r="P268" s="3" t="n"/>
      <c r="Q268" s="3" t="n"/>
      <c r="R268" s="3" t="n"/>
      <c r="S268" s="3" t="n"/>
    </row>
    <row r="269">
      <c r="A269" s="3" t="n"/>
      <c r="B269" s="3" t="n"/>
      <c r="C269" s="3" t="n"/>
      <c r="D269" s="3" t="n"/>
      <c r="E269" s="4" t="n"/>
      <c r="F269" s="3" t="n"/>
      <c r="G269" s="3" t="n"/>
      <c r="H269" s="3" t="n"/>
      <c r="I269" s="3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3" t="n"/>
      <c r="S269" s="3" t="n"/>
    </row>
    <row r="270">
      <c r="A270" s="3" t="n"/>
      <c r="B270" s="3" t="n"/>
      <c r="C270" s="3" t="n"/>
      <c r="D270" s="3" t="n"/>
      <c r="E270" s="4" t="n"/>
      <c r="F270" s="3" t="n"/>
      <c r="G270" s="3" t="n"/>
      <c r="H270" s="3" t="n"/>
      <c r="I270" s="3" t="n"/>
      <c r="J270" s="3" t="n"/>
      <c r="K270" s="3" t="n"/>
      <c r="L270" s="4" t="n"/>
      <c r="M270" s="3" t="n"/>
      <c r="N270" s="3" t="n"/>
      <c r="O270" s="3" t="n"/>
      <c r="P270" s="3" t="n"/>
      <c r="Q270" s="3" t="n"/>
      <c r="R270" s="3" t="n"/>
      <c r="S270" s="3" t="n"/>
    </row>
    <row r="271">
      <c r="A271" s="3" t="n"/>
      <c r="B271" s="3" t="n"/>
      <c r="C271" s="3" t="n"/>
      <c r="D271" s="3" t="n"/>
      <c r="E271" s="4" t="n"/>
      <c r="F271" s="3" t="n"/>
      <c r="G271" s="3" t="n"/>
      <c r="H271" s="3" t="n"/>
      <c r="I271" s="3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3" t="n"/>
      <c r="S271" s="3" t="n"/>
    </row>
    <row r="272">
      <c r="A272" s="3" t="n"/>
      <c r="B272" s="3" t="n"/>
      <c r="C272" s="3" t="n"/>
      <c r="D272" s="3" t="n"/>
      <c r="E272" s="4" t="n"/>
      <c r="F272" s="3" t="n"/>
      <c r="G272" s="3" t="n"/>
      <c r="H272" s="3" t="n"/>
      <c r="I272" s="3" t="n"/>
      <c r="J272" s="3" t="n"/>
      <c r="K272" s="3" t="n"/>
      <c r="L272" s="4" t="n"/>
      <c r="M272" s="3" t="n"/>
      <c r="N272" s="3" t="n"/>
      <c r="O272" s="3" t="n"/>
      <c r="P272" s="3" t="n"/>
      <c r="Q272" s="3" t="n"/>
      <c r="R272" s="3" t="n"/>
      <c r="S272" s="3" t="n"/>
    </row>
    <row r="273">
      <c r="A273" s="3" t="n"/>
      <c r="B273" s="3" t="n"/>
      <c r="C273" s="3" t="n"/>
      <c r="D273" s="3" t="n"/>
      <c r="E273" s="4" t="n"/>
      <c r="F273" s="3" t="n"/>
      <c r="G273" s="3" t="n"/>
      <c r="H273" s="3" t="n"/>
      <c r="I273" s="3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3" t="n"/>
      <c r="S273" s="3" t="n"/>
    </row>
    <row r="274">
      <c r="A274" s="3" t="n"/>
      <c r="B274" s="3" t="n"/>
      <c r="C274" s="3" t="n"/>
      <c r="D274" s="3" t="n"/>
      <c r="E274" s="4" t="n"/>
      <c r="F274" s="3" t="n"/>
      <c r="G274" s="3" t="n"/>
      <c r="H274" s="3" t="n"/>
      <c r="I274" s="3" t="n"/>
      <c r="J274" s="3" t="n"/>
      <c r="K274" s="3" t="n"/>
      <c r="L274" s="4" t="n"/>
      <c r="M274" s="3" t="n"/>
      <c r="N274" s="3" t="n"/>
      <c r="O274" s="3" t="n"/>
      <c r="P274" s="3" t="n"/>
      <c r="Q274" s="3" t="n"/>
      <c r="R274" s="3" t="n"/>
      <c r="S274" s="3" t="n"/>
    </row>
    <row r="275">
      <c r="A275" s="3" t="n"/>
      <c r="B275" s="3" t="n"/>
      <c r="C275" s="3" t="n"/>
      <c r="D275" s="3" t="n"/>
      <c r="E275" s="4" t="n"/>
      <c r="F275" s="3" t="n"/>
      <c r="G275" s="3" t="n"/>
      <c r="H275" s="3" t="n"/>
      <c r="I275" s="3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3" t="n"/>
      <c r="S275" s="3" t="n"/>
    </row>
    <row r="276">
      <c r="A276" s="3" t="n"/>
      <c r="B276" s="3" t="n"/>
      <c r="C276" s="3" t="n"/>
      <c r="D276" s="3" t="n"/>
      <c r="E276" s="4" t="n"/>
      <c r="F276" s="3" t="n"/>
      <c r="G276" s="3" t="n"/>
      <c r="H276" s="3" t="n"/>
      <c r="I276" s="3" t="n"/>
      <c r="J276" s="3" t="n"/>
      <c r="K276" s="3" t="n"/>
      <c r="L276" s="4" t="n"/>
      <c r="M276" s="3" t="n"/>
      <c r="N276" s="3" t="n"/>
      <c r="O276" s="3" t="n"/>
      <c r="P276" s="3" t="n"/>
      <c r="Q276" s="3" t="n"/>
      <c r="R276" s="3" t="n"/>
      <c r="S276" s="3" t="n"/>
    </row>
    <row r="277">
      <c r="A277" s="3" t="n"/>
      <c r="B277" s="3" t="n"/>
      <c r="C277" s="3" t="n"/>
      <c r="D277" s="3" t="n"/>
      <c r="E277" s="4" t="n"/>
      <c r="F277" s="3" t="n"/>
      <c r="G277" s="3" t="n"/>
      <c r="H277" s="3" t="n"/>
      <c r="I277" s="3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3" t="n"/>
      <c r="S277" s="3" t="n"/>
    </row>
    <row r="278">
      <c r="A278" s="3" t="n"/>
      <c r="B278" s="3" t="n"/>
      <c r="C278" s="3" t="n"/>
      <c r="D278" s="3" t="n"/>
      <c r="E278" s="4" t="n"/>
      <c r="F278" s="3" t="n"/>
      <c r="G278" s="3" t="n"/>
      <c r="H278" s="3" t="n"/>
      <c r="I278" s="3" t="n"/>
      <c r="J278" s="3" t="n"/>
      <c r="K278" s="3" t="n"/>
      <c r="L278" s="4" t="n"/>
      <c r="M278" s="3" t="n"/>
      <c r="N278" s="3" t="n"/>
      <c r="O278" s="3" t="n"/>
      <c r="P278" s="3" t="n"/>
      <c r="Q278" s="3" t="n"/>
      <c r="R278" s="3" t="n"/>
      <c r="S278" s="3" t="n"/>
    </row>
    <row r="279">
      <c r="A279" s="3" t="n"/>
      <c r="B279" s="3" t="n"/>
      <c r="C279" s="3" t="n"/>
      <c r="D279" s="3" t="n"/>
      <c r="E279" s="4" t="n"/>
      <c r="F279" s="3" t="n"/>
      <c r="G279" s="3" t="n"/>
      <c r="H279" s="3" t="n"/>
      <c r="I279" s="3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3" t="n"/>
      <c r="S279" s="3" t="n"/>
    </row>
    <row r="280">
      <c r="A280" s="3" t="n"/>
      <c r="B280" s="3" t="n"/>
      <c r="C280" s="3" t="n"/>
      <c r="D280" s="3" t="n"/>
      <c r="E280" s="4" t="n"/>
      <c r="F280" s="3" t="n"/>
      <c r="G280" s="3" t="n"/>
      <c r="H280" s="3" t="n"/>
      <c r="I280" s="3" t="n"/>
      <c r="J280" s="3" t="n"/>
      <c r="K280" s="3" t="n"/>
      <c r="L280" s="4" t="n"/>
      <c r="M280" s="3" t="n"/>
      <c r="N280" s="3" t="n"/>
      <c r="O280" s="3" t="n"/>
      <c r="P280" s="3" t="n"/>
      <c r="Q280" s="3" t="n"/>
      <c r="R280" s="3" t="n"/>
      <c r="S280" s="3" t="n"/>
    </row>
    <row r="281">
      <c r="A281" s="3" t="n"/>
      <c r="B281" s="3" t="n"/>
      <c r="C281" s="3" t="n"/>
      <c r="D281" s="3" t="n"/>
      <c r="E281" s="4" t="n"/>
      <c r="F281" s="3" t="n"/>
      <c r="G281" s="3" t="n"/>
      <c r="H281" s="3" t="n"/>
      <c r="I281" s="3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3" t="n"/>
      <c r="S281" s="3" t="n"/>
    </row>
    <row r="282">
      <c r="A282" s="3" t="n"/>
      <c r="B282" s="3" t="n"/>
      <c r="C282" s="3" t="n"/>
      <c r="D282" s="3" t="n"/>
      <c r="E282" s="4" t="n"/>
      <c r="F282" s="3" t="n"/>
      <c r="G282" s="3" t="n"/>
      <c r="H282" s="3" t="n"/>
      <c r="I282" s="3" t="n"/>
      <c r="J282" s="3" t="n"/>
      <c r="K282" s="3" t="n"/>
      <c r="L282" s="4" t="n"/>
      <c r="M282" s="3" t="n"/>
      <c r="N282" s="3" t="n"/>
      <c r="O282" s="3" t="n"/>
      <c r="P282" s="3" t="n"/>
      <c r="Q282" s="3" t="n"/>
      <c r="R282" s="3" t="n"/>
      <c r="S282" s="3" t="n"/>
    </row>
    <row r="283">
      <c r="A283" s="3" t="n"/>
      <c r="B283" s="3" t="n"/>
      <c r="C283" s="3" t="n"/>
      <c r="D283" s="3" t="n"/>
      <c r="E283" s="4" t="n"/>
      <c r="F283" s="3" t="n"/>
      <c r="G283" s="3" t="n"/>
      <c r="H283" s="3" t="n"/>
      <c r="I283" s="3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3" t="n"/>
      <c r="S283" s="3" t="n"/>
    </row>
    <row r="284">
      <c r="A284" s="3" t="n"/>
      <c r="B284" s="3" t="n"/>
      <c r="C284" s="3" t="n"/>
      <c r="D284" s="3" t="n"/>
      <c r="E284" s="4" t="n"/>
      <c r="F284" s="3" t="n"/>
      <c r="G284" s="3" t="n"/>
      <c r="H284" s="3" t="n"/>
      <c r="I284" s="3" t="n"/>
      <c r="J284" s="3" t="n"/>
      <c r="K284" s="3" t="n"/>
      <c r="L284" s="4" t="n"/>
      <c r="M284" s="3" t="n"/>
      <c r="N284" s="3" t="n"/>
      <c r="O284" s="3" t="n"/>
      <c r="P284" s="3" t="n"/>
      <c r="Q284" s="3" t="n"/>
      <c r="R284" s="3" t="n"/>
      <c r="S284" s="3" t="n"/>
    </row>
    <row r="285">
      <c r="A285" s="3" t="n"/>
      <c r="B285" s="3" t="n"/>
      <c r="C285" s="3" t="n"/>
      <c r="D285" s="3" t="n"/>
      <c r="E285" s="4" t="n"/>
      <c r="F285" s="3" t="n"/>
      <c r="G285" s="3" t="n"/>
      <c r="H285" s="3" t="n"/>
      <c r="I285" s="3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3" t="n"/>
      <c r="S285" s="3" t="n"/>
    </row>
    <row r="286">
      <c r="A286" s="3" t="n"/>
      <c r="B286" s="3" t="n"/>
      <c r="C286" s="3" t="n"/>
      <c r="D286" s="3" t="n"/>
      <c r="E286" s="4" t="n"/>
      <c r="F286" s="3" t="n"/>
      <c r="G286" s="3" t="n"/>
      <c r="H286" s="3" t="n"/>
      <c r="I286" s="3" t="n"/>
      <c r="J286" s="3" t="n"/>
      <c r="K286" s="3" t="n"/>
      <c r="L286" s="4" t="n"/>
      <c r="M286" s="3" t="n"/>
      <c r="N286" s="3" t="n"/>
      <c r="O286" s="3" t="n"/>
      <c r="P286" s="3" t="n"/>
      <c r="Q286" s="3" t="n"/>
      <c r="R286" s="3" t="n"/>
      <c r="S286" s="3" t="n"/>
    </row>
    <row r="287">
      <c r="A287" s="3" t="n"/>
      <c r="B287" s="3" t="n"/>
      <c r="C287" s="3" t="n"/>
      <c r="D287" s="3" t="n"/>
      <c r="E287" s="4" t="n"/>
      <c r="F287" s="3" t="n"/>
      <c r="G287" s="3" t="n"/>
      <c r="H287" s="3" t="n"/>
      <c r="I287" s="3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3" t="n"/>
      <c r="S287" s="3" t="n"/>
    </row>
    <row r="288">
      <c r="A288" s="3" t="n"/>
      <c r="B288" s="3" t="n"/>
      <c r="C288" s="3" t="n"/>
      <c r="D288" s="3" t="n"/>
      <c r="E288" s="4" t="n"/>
      <c r="F288" s="3" t="n"/>
      <c r="G288" s="3" t="n"/>
      <c r="H288" s="3" t="n"/>
      <c r="I288" s="3" t="n"/>
      <c r="J288" s="3" t="n"/>
      <c r="K288" s="3" t="n"/>
      <c r="L288" s="4" t="n"/>
      <c r="M288" s="3" t="n"/>
      <c r="N288" s="3" t="n"/>
      <c r="O288" s="3" t="n"/>
      <c r="P288" s="3" t="n"/>
      <c r="Q288" s="3" t="n"/>
      <c r="R288" s="3" t="n"/>
      <c r="S288" s="3" t="n"/>
    </row>
    <row r="289">
      <c r="A289" s="3" t="n"/>
      <c r="B289" s="3" t="n"/>
      <c r="C289" s="3" t="n"/>
      <c r="D289" s="3" t="n"/>
      <c r="E289" s="4" t="n"/>
      <c r="F289" s="3" t="n"/>
      <c r="G289" s="3" t="n"/>
      <c r="H289" s="3" t="n"/>
      <c r="I289" s="3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3" t="n"/>
      <c r="S289" s="3" t="n"/>
    </row>
    <row r="290">
      <c r="A290" s="3" t="n"/>
      <c r="B290" s="3" t="n"/>
      <c r="C290" s="3" t="n"/>
      <c r="D290" s="3" t="n"/>
      <c r="E290" s="4" t="n"/>
      <c r="F290" s="3" t="n"/>
      <c r="G290" s="3" t="n"/>
      <c r="H290" s="3" t="n"/>
      <c r="I290" s="3" t="n"/>
      <c r="J290" s="3" t="n"/>
      <c r="K290" s="3" t="n"/>
      <c r="L290" s="4" t="n"/>
      <c r="M290" s="3" t="n"/>
      <c r="N290" s="3" t="n"/>
      <c r="O290" s="3" t="n"/>
      <c r="P290" s="3" t="n"/>
      <c r="Q290" s="3" t="n"/>
      <c r="R290" s="3" t="n"/>
      <c r="S290" s="3" t="n"/>
    </row>
    <row r="291">
      <c r="A291" s="3" t="n"/>
      <c r="B291" s="3" t="n"/>
      <c r="C291" s="3" t="n"/>
      <c r="D291" s="3" t="n"/>
      <c r="E291" s="4" t="n"/>
      <c r="F291" s="3" t="n"/>
      <c r="G291" s="3" t="n"/>
      <c r="H291" s="3" t="n"/>
      <c r="I291" s="3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3" t="n"/>
      <c r="S291" s="3" t="n"/>
    </row>
    <row r="292">
      <c r="A292" s="3" t="n"/>
      <c r="B292" s="3" t="n"/>
      <c r="C292" s="3" t="n"/>
      <c r="D292" s="3" t="n"/>
      <c r="E292" s="4" t="n"/>
      <c r="F292" s="3" t="n"/>
      <c r="G292" s="3" t="n"/>
      <c r="H292" s="3" t="n"/>
      <c r="I292" s="3" t="n"/>
      <c r="J292" s="3" t="n"/>
      <c r="K292" s="3" t="n"/>
      <c r="L292" s="4" t="n"/>
      <c r="M292" s="3" t="n"/>
      <c r="N292" s="3" t="n"/>
      <c r="O292" s="3" t="n"/>
      <c r="P292" s="3" t="n"/>
      <c r="Q292" s="3" t="n"/>
      <c r="R292" s="3" t="n"/>
      <c r="S292" s="3" t="n"/>
    </row>
    <row r="293">
      <c r="A293" s="3" t="n"/>
      <c r="B293" s="3" t="n"/>
      <c r="C293" s="3" t="n"/>
      <c r="D293" s="3" t="n"/>
      <c r="E293" s="4" t="n"/>
      <c r="F293" s="3" t="n"/>
      <c r="G293" s="3" t="n"/>
      <c r="H293" s="3" t="n"/>
      <c r="I293" s="3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3" t="n"/>
      <c r="S293" s="3" t="n"/>
    </row>
    <row r="294">
      <c r="A294" s="3" t="n"/>
      <c r="B294" s="3" t="n"/>
      <c r="C294" s="3" t="n"/>
      <c r="D294" s="3" t="n"/>
      <c r="E294" s="4" t="n"/>
      <c r="F294" s="3" t="n"/>
      <c r="G294" s="3" t="n"/>
      <c r="H294" s="3" t="n"/>
      <c r="I294" s="3" t="n"/>
      <c r="J294" s="3" t="n"/>
      <c r="K294" s="3" t="n"/>
      <c r="L294" s="4" t="n"/>
      <c r="M294" s="3" t="n"/>
      <c r="N294" s="3" t="n"/>
      <c r="O294" s="3" t="n"/>
      <c r="P294" s="3" t="n"/>
      <c r="Q294" s="3" t="n"/>
      <c r="R294" s="3" t="n"/>
      <c r="S294" s="3" t="n"/>
    </row>
    <row r="295">
      <c r="A295" s="3" t="n"/>
      <c r="B295" s="3" t="n"/>
      <c r="C295" s="3" t="n"/>
      <c r="D295" s="3" t="n"/>
      <c r="E295" s="4" t="n"/>
      <c r="F295" s="3" t="n"/>
      <c r="G295" s="3" t="n"/>
      <c r="H295" s="3" t="n"/>
      <c r="I295" s="3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3" t="n"/>
      <c r="S295" s="3" t="n"/>
    </row>
    <row r="296">
      <c r="A296" s="3" t="n"/>
      <c r="B296" s="3" t="n"/>
      <c r="C296" s="3" t="n"/>
      <c r="D296" s="3" t="n"/>
      <c r="E296" s="4" t="n"/>
      <c r="F296" s="3" t="n"/>
      <c r="G296" s="3" t="n"/>
      <c r="H296" s="3" t="n"/>
      <c r="I296" s="3" t="n"/>
      <c r="J296" s="3" t="n"/>
      <c r="K296" s="3" t="n"/>
      <c r="L296" s="4" t="n"/>
      <c r="M296" s="3" t="n"/>
      <c r="N296" s="3" t="n"/>
      <c r="O296" s="3" t="n"/>
      <c r="P296" s="3" t="n"/>
      <c r="Q296" s="3" t="n"/>
      <c r="R296" s="3" t="n"/>
      <c r="S296" s="3" t="n"/>
    </row>
    <row r="297">
      <c r="A297" s="3" t="n"/>
      <c r="B297" s="3" t="n"/>
      <c r="C297" s="3" t="n"/>
      <c r="D297" s="3" t="n"/>
      <c r="E297" s="4" t="n"/>
      <c r="F297" s="3" t="n"/>
      <c r="G297" s="3" t="n"/>
      <c r="H297" s="3" t="n"/>
      <c r="I297" s="3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3" t="n"/>
      <c r="S297" s="3" t="n"/>
    </row>
    <row r="298">
      <c r="A298" s="3" t="n"/>
      <c r="B298" s="3" t="n"/>
      <c r="C298" s="3" t="n"/>
      <c r="D298" s="3" t="n"/>
      <c r="E298" s="4" t="n"/>
      <c r="F298" s="3" t="n"/>
      <c r="G298" s="3" t="n"/>
      <c r="H298" s="3" t="n"/>
      <c r="I298" s="3" t="n"/>
      <c r="J298" s="3" t="n"/>
      <c r="K298" s="3" t="n"/>
      <c r="L298" s="4" t="n"/>
      <c r="M298" s="3" t="n"/>
      <c r="N298" s="3" t="n"/>
      <c r="O298" s="3" t="n"/>
      <c r="P298" s="3" t="n"/>
      <c r="Q298" s="3" t="n"/>
      <c r="R298" s="3" t="n"/>
      <c r="S298" s="3" t="n"/>
    </row>
    <row r="299">
      <c r="A299" s="3" t="n"/>
      <c r="B299" s="3" t="n"/>
      <c r="C299" s="3" t="n"/>
      <c r="D299" s="3" t="n"/>
      <c r="E299" s="4" t="n"/>
      <c r="F299" s="3" t="n"/>
      <c r="G299" s="3" t="n"/>
      <c r="H299" s="3" t="n"/>
      <c r="I299" s="3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3" t="n"/>
      <c r="S299" s="3" t="n"/>
    </row>
    <row r="300">
      <c r="A300" s="3" t="n"/>
      <c r="B300" s="3" t="n"/>
      <c r="C300" s="3" t="n"/>
      <c r="D300" s="3" t="n"/>
      <c r="E300" s="4" t="n"/>
      <c r="F300" s="3" t="n"/>
      <c r="G300" s="3" t="n"/>
      <c r="H300" s="3" t="n"/>
      <c r="I300" s="3" t="n"/>
      <c r="J300" s="3" t="n"/>
      <c r="K300" s="3" t="n"/>
      <c r="L300" s="4" t="n"/>
      <c r="M300" s="3" t="n"/>
      <c r="N300" s="3" t="n"/>
      <c r="O300" s="3" t="n"/>
      <c r="P300" s="3" t="n"/>
      <c r="Q300" s="3" t="n"/>
      <c r="R300" s="3" t="n"/>
      <c r="S300" s="3" t="n"/>
    </row>
    <row r="301">
      <c r="A301" s="3" t="n"/>
      <c r="B301" s="3" t="n"/>
      <c r="C301" s="3" t="n"/>
      <c r="D301" s="3" t="n"/>
      <c r="E301" s="4" t="n"/>
      <c r="F301" s="3" t="n"/>
      <c r="G301" s="3" t="n"/>
      <c r="H301" s="3" t="n"/>
      <c r="I301" s="3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3" t="n"/>
      <c r="S301" s="3" t="inlineStr"/>
    </row>
  </sheetData>
  <autoFilter ref="A1:S301"/>
  <conditionalFormatting sqref="M2:M301">
    <cfRule type="cellIs" priority="1" operator="equal" dxfId="2">
      <formula>"不通过"</formula>
    </cfRule>
  </conditionalFormatting>
  <dataValidations count="4">
    <dataValidation sqref="D2:D301" showDropDown="0" showInputMessage="1" showErrorMessage="1" allowBlank="1" errorTitle="无效值" error="请从下拉列表选择，不要自行创造近义值。" promptTitle="填写提示" prompt="没有真实独立验证不得标validated。" type="list">
      <formula1>=CalibrationStatuses</formula1>
    </dataValidation>
    <dataValidation sqref="I2:I301" showDropDown="0" showInputMessage="1" showErrorMessage="1" allowBlank="1" errorTitle="无效值" error="请从下拉列表选择，不要自行创造近义值。" promptTitle="填写提示" prompt="独立复核必须完成。" type="list">
      <formula1>=ReviewStatuses</formula1>
    </dataValidation>
    <dataValidation sqref="J2:J301" showDropDown="0" showInputMessage="1" showErrorMessage="1" allowBlank="1" errorTitle="无效值" error="请从下拉列表选择，不要自行创造近义值。" promptTitle="填写提示" prompt="必须离线审批。" type="list">
      <formula1>=ApprovalStatuses</formula1>
    </dataValidation>
    <dataValidation sqref="M2:M301" showDropDown="0" showInputMessage="1" showErrorMessage="1" allowBlank="1" errorTitle="无效值" error="请从下拉列表选择，不要自行创造近义值。" promptTitle="填写提示" prompt="隐私检查不通过不得发布。" type="list">
      <formula1>=PrivacyStatuses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0639B"/>
    <outlinePr summaryBelow="1" summaryRight="1"/>
    <pageSetUpPr/>
  </sheetPr>
  <dimension ref="A1:D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29" customWidth="1" min="2" max="2"/>
    <col width="32" customWidth="1" min="3" max="3"/>
    <col width="24" customWidth="1" min="4" max="4"/>
  </cols>
  <sheetData>
    <row r="1" ht="34" customHeight="1">
      <c r="A1" s="1" t="inlineStr">
        <is>
          <t>项目</t>
        </is>
      </c>
      <c r="B1" s="1" t="inlineStr">
        <is>
          <t>为什么不能从历史频率自动学习</t>
        </is>
      </c>
      <c r="C1" s="1" t="inlineStr">
        <is>
          <t>允许做什么</t>
        </is>
      </c>
      <c r="D1" s="1" t="inlineStr">
        <is>
          <t>发布前检查</t>
        </is>
      </c>
    </row>
    <row r="2">
      <c r="A2" s="2" t="inlineStr">
        <is>
          <t>法定年龄、金额、次数和期限</t>
        </is>
      </c>
      <c r="B2" s="2" t="inlineStr">
        <is>
          <t>它们来自现行法律，不是经验概率。</t>
        </is>
      </c>
      <c r="C2" s="2" t="inlineStr">
        <is>
          <t>版本化录入法律规则并核对生效时间。</t>
        </is>
      </c>
      <c r="D2" s="2" t="inlineStr">
        <is>
          <t>候选参数中不得出现。</t>
        </is>
      </c>
    </row>
    <row r="3">
      <c r="A3" s="2" t="inlineStr">
        <is>
          <t>罪名、责任、处罚和证明标准</t>
        </is>
      </c>
      <c r="B3" s="2" t="inlineStr">
        <is>
          <t>历史办案结果不能替代法律判断。</t>
        </is>
      </c>
      <c r="C3" s="2" t="inlineStr">
        <is>
          <t>由法律规则与人工审查处理。</t>
        </is>
      </c>
      <c r="D3" s="2" t="inlineStr">
        <is>
          <t>模型输出不得命名为有罪概率。</t>
        </is>
      </c>
    </row>
    <row r="4">
      <c r="A4" s="2" t="inlineStr">
        <is>
          <t>管辖、身份、职权、授权、抗辩和例外</t>
        </is>
      </c>
      <c r="B4" s="2" t="inlineStr">
        <is>
          <t>属于规范适用条件。</t>
        </is>
      </c>
      <c r="C4" s="2" t="inlineStr">
        <is>
          <t>保存结构化事实，交由规则引擎/人工判断。</t>
        </is>
      </c>
      <c r="D4" s="2" t="inlineStr">
        <is>
          <t>不得写入prior或weight。</t>
        </is>
      </c>
    </row>
    <row r="5">
      <c r="A5" s="2" t="inlineStr">
        <is>
          <t>网络边方向和required_inputs</t>
        </is>
      </c>
      <c r="B5" s="2" t="inlineStr">
        <is>
          <t>相关性不等于因果关系；删掉必需输入可能越过安全边界。</t>
        </is>
      </c>
      <c r="C5" s="2" t="inlineStr">
        <is>
          <t>用误差案例支持专家评审，新建模型版本。</t>
        </is>
      </c>
      <c r="D5" s="2" t="inlineStr">
        <is>
          <t>registry变更必须单独评审。</t>
        </is>
      </c>
    </row>
    <row r="6">
      <c r="A6" s="2" t="inlineStr">
        <is>
          <t>权威材料适用范围</t>
        </is>
      </c>
      <c r="B6" s="2" t="inlineStr">
        <is>
          <t>文书是否能证明某个事实由专业和法律范围决定。</t>
        </is>
      </c>
      <c r="C6" s="2" t="inlineStr">
        <is>
          <t>监测被推翻率，检查程序和版本。</t>
        </is>
      </c>
      <c r="D6" s="2" t="inlineStr">
        <is>
          <t>不得只按历史维持率自动扩大范围。</t>
        </is>
      </c>
    </row>
    <row r="7">
      <c r="A7" s="2" t="inlineStr">
        <is>
          <t>按报警人/嫌疑人角色设永久可信度</t>
        </is>
      </c>
      <c r="B7" s="2" t="inlineStr">
        <is>
          <t>角色不是人格真值，且不同谓词、场景和核验条件差异很大。</t>
        </is>
      </c>
      <c r="C7" s="2" t="inlineStr">
        <is>
          <t>角色只作为分层变量，结合谓词、立场、来源依赖和时间批次统计。</t>
        </is>
      </c>
      <c r="D7" s="2" t="inlineStr">
        <is>
          <t>任何全局角色分数不得发布。</t>
        </is>
      </c>
    </row>
    <row r="8">
      <c r="A8" s="2" t="inlineStr">
        <is>
          <t>同源材料重复计数</t>
        </is>
      </c>
      <c r="B8" s="2" t="inlineStr">
        <is>
          <t>副本不提供新的独立信息。</t>
        </is>
      </c>
      <c r="C8" s="2" t="inlineStr">
        <is>
          <t>使用来源组去重或经批准的依赖模型。</t>
        </is>
      </c>
      <c r="D8" s="2" t="inlineStr">
        <is>
          <t>同一origin_evidence只计一次。</t>
        </is>
      </c>
    </row>
  </sheetData>
  <autoFilter ref="A1:D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0639B"/>
    <outlinePr summaryBelow="1" summaryRight="1"/>
    <pageSetUpPr/>
  </sheetPr>
  <dimension ref="A1:J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38" customWidth="1" min="10" max="10"/>
  </cols>
  <sheetData>
    <row r="1" ht="34" customHeight="1">
      <c r="A1" s="1" t="inlineStr">
        <is>
          <t>示例</t>
        </is>
      </c>
      <c r="B1" s="1" t="inlineStr">
        <is>
          <t>输入1</t>
        </is>
      </c>
      <c r="C1" s="1" t="inlineStr">
        <is>
          <t>输入2</t>
        </is>
      </c>
      <c r="D1" s="1" t="inlineStr">
        <is>
          <t>输入3</t>
        </is>
      </c>
      <c r="E1" s="1" t="inlineStr">
        <is>
          <t>先验Alpha</t>
        </is>
      </c>
      <c r="F1" s="1" t="inlineStr">
        <is>
          <t>先验Beta</t>
        </is>
      </c>
      <c r="G1" s="1" t="inlineStr">
        <is>
          <t>后验Alpha</t>
        </is>
      </c>
      <c r="H1" s="1" t="inlineStr">
        <is>
          <t>后验Beta</t>
        </is>
      </c>
      <c r="I1" s="1" t="inlineStr">
        <is>
          <t>后验均值</t>
        </is>
      </c>
      <c r="J1" s="1" t="inlineStr">
        <is>
          <t>如何解释</t>
        </is>
      </c>
    </row>
    <row r="2">
      <c r="A2" s="2" t="inlineStr">
        <is>
          <t>报警人对某一谓词的肯定主张正确率（示例，不代表真实数据）</t>
        </is>
      </c>
      <c r="B2" s="2" t="n">
        <v>60</v>
      </c>
      <c r="C2" s="2" t="n">
        <v>20</v>
      </c>
      <c r="D2" s="2" t="n">
        <v>10</v>
      </c>
      <c r="E2" s="2" t="n">
        <v>1</v>
      </c>
      <c r="F2" s="2" t="n">
        <v>1</v>
      </c>
      <c r="G2" s="5">
        <f>E2+B2</f>
        <v/>
      </c>
      <c r="H2" s="5">
        <f>F2+C2</f>
        <v/>
      </c>
      <c r="I2" s="7">
        <f>G2/(G2+H2)</f>
        <v/>
      </c>
      <c r="J2" s="2" t="inlineStr">
        <is>
          <t>60条正确肯定、20条错误肯定、10条未知。未知不进分母；结果只描述该谓词、该批次、该核验口径。</t>
        </is>
      </c>
    </row>
    <row r="3">
      <c r="A3" s="2" t="inlineStr">
        <is>
          <t>某根节点prior（示例，不代表真实数据）</t>
        </is>
      </c>
      <c r="B3" s="2" t="n">
        <v>30</v>
      </c>
      <c r="C3" s="2" t="n">
        <v>50</v>
      </c>
      <c r="D3" s="2" t="n">
        <v>20</v>
      </c>
      <c r="E3" s="2" t="n">
        <v>1</v>
      </c>
      <c r="F3" s="2" t="n">
        <v>1</v>
      </c>
      <c r="G3" s="5">
        <f>E3+B3</f>
        <v/>
      </c>
      <c r="H3" s="5">
        <f>F3+C3</f>
        <v/>
      </c>
      <c r="I3" s="7">
        <f>G3/(G3+H3)</f>
        <v/>
      </c>
      <c r="J3" s="2" t="inlineStr">
        <is>
          <t>30真、50假、20未知；Beta平滑后的候选prior。只有样本框具有代表性时才有意义。</t>
        </is>
      </c>
    </row>
    <row r="4">
      <c r="A4" s="2" t="inlineStr">
        <is>
          <t>逻辑回归weight</t>
        </is>
      </c>
      <c r="B4" s="2" t="inlineStr">
        <is>
          <t>父节点逐行值</t>
        </is>
      </c>
      <c r="C4" s="2" t="inlineStr">
        <is>
          <t>子节点独立真值</t>
        </is>
      </c>
      <c r="D4" s="2" t="inlineStr">
        <is>
          <t>训练/验证划分</t>
        </is>
      </c>
      <c r="E4" s="2" t="inlineStr">
        <is>
          <t>-</t>
        </is>
      </c>
      <c r="F4" s="2" t="inlineStr">
        <is>
          <t>-</t>
        </is>
      </c>
      <c r="G4" s="2" t="inlineStr">
        <is>
          <t>-</t>
        </is>
      </c>
      <c r="H4" s="2" t="inlineStr">
        <is>
          <t>-</t>
        </is>
      </c>
      <c r="I4" s="6" t="inlineStr">
        <is>
          <t>不能用简单比例</t>
        </is>
      </c>
      <c r="J4" s="2" t="inlineStr">
        <is>
          <t>把CPD样本记录导出，由离线脚本同时拟合intercept和全部weights；人工不能把74%直接写成0.74权重。</t>
        </is>
      </c>
    </row>
    <row r="5">
      <c r="A5" s="2" t="inlineStr">
        <is>
          <t>单案后验</t>
        </is>
      </c>
      <c r="B5" s="2" t="inlineStr">
        <is>
          <t>冻结参数</t>
        </is>
      </c>
      <c r="C5" s="2" t="inlineStr">
        <is>
          <t>当前案件软证据</t>
        </is>
      </c>
      <c r="D5" s="2" t="inlineStr">
        <is>
          <t>网络推理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6" t="inlineStr">
        <is>
          <t>由程序计算</t>
        </is>
      </c>
      <c r="J5" s="2" t="inlineStr">
        <is>
          <t>运行案件时不修改参数。它与上面用于估计群体参数的Beta后验不是同一个概念。</t>
        </is>
      </c>
    </row>
  </sheetData>
  <autoFilter ref="A1:J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0639B"/>
    <outlinePr summaryBelow="1" summaryRight="1"/>
    <pageSetUpPr/>
  </sheetPr>
  <dimension ref="A1:D9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23" customWidth="1" min="3" max="3"/>
    <col width="35" customWidth="1" min="4" max="4"/>
  </cols>
  <sheetData>
    <row r="1" ht="34" customHeight="1">
      <c r="A1" s="1" t="inlineStr">
        <is>
          <t>顺序</t>
        </is>
      </c>
      <c r="B1" s="1" t="inlineStr">
        <is>
          <t>人工操作</t>
        </is>
      </c>
      <c r="C1" s="1" t="inlineStr">
        <is>
          <t>检查点</t>
        </is>
      </c>
      <c r="D1" s="1" t="inlineStr">
        <is>
          <t>错误做法</t>
        </is>
      </c>
    </row>
    <row r="2">
      <c r="A2" s="2" t="n">
        <v>1</v>
      </c>
      <c r="B2" s="2" t="inlineStr">
        <is>
          <t>冻结数据批次，确认未知、排除和同源记录已处理。</t>
        </is>
      </c>
      <c r="C2" s="2" t="inlineStr">
        <is>
          <t>批次口径、起止日期、纳入/排除条件已记录。</t>
        </is>
      </c>
      <c r="D2" s="2" t="inlineStr">
        <is>
          <t>边收集边覆盖线上参数。</t>
        </is>
      </c>
    </row>
    <row r="3">
      <c r="A3" s="2" t="n">
        <v>2</v>
      </c>
      <c r="B3" s="2" t="inlineStr">
        <is>
          <t>在根节点统计、来源表现统计和CPD样本记录中完成汇总。</t>
        </is>
      </c>
      <c r="C3" s="2" t="inlineStr">
        <is>
          <t>分母不含未知；同源只计一次。</t>
        </is>
      </c>
      <c r="D3" s="2" t="inlineStr">
        <is>
          <t>把未知当假，或把十张同源截图计十次。</t>
        </is>
      </c>
    </row>
    <row r="4">
      <c r="A4" s="2" t="n">
        <v>3</v>
      </c>
      <c r="B4" s="2" t="inlineStr">
        <is>
          <t>root prior使用Beta后验形成候选；intercept/weight由离线逻辑回归形成候选。</t>
        </is>
      </c>
      <c r="C4" s="2" t="inlineStr">
        <is>
          <t>候选值、训练样本量、方法写入候选参数。</t>
        </is>
      </c>
      <c r="D4" s="2" t="inlineStr">
        <is>
          <t>用角色正确率直接替换weight。</t>
        </is>
      </c>
    </row>
    <row r="5">
      <c r="A5" s="2" t="n">
        <v>4</v>
      </c>
      <c r="B5" s="2" t="inlineStr">
        <is>
          <t>复制原模型JSON为新版本文件，不覆盖旧文件。</t>
        </is>
      </c>
      <c r="C5" s="2" t="inlineStr">
        <is>
          <t>目标版本、目标文件、替代版本明确。</t>
        </is>
      </c>
      <c r="D5" s="2" t="inlineStr">
        <is>
          <t>直接修改当前已发布JSON。</t>
        </is>
      </c>
    </row>
    <row r="6">
      <c r="A6" s="2" t="n">
        <v>5</v>
      </c>
      <c r="B6" s="2" t="inlineStr">
        <is>
          <t>只写入已批准字段：prior、intercept或对应weights[parent]。</t>
        </is>
      </c>
      <c r="C6" s="2" t="inlineStr">
        <is>
          <t>数值范围、方向和JSON结构通过校验。</t>
        </is>
      </c>
      <c r="D6" s="2" t="inlineStr">
        <is>
          <t>修改registry边、required_inputs或法律门槛。</t>
        </is>
      </c>
    </row>
    <row r="7">
      <c r="A7" s="2" t="n">
        <v>6</v>
      </c>
      <c r="B7" s="2" t="inlineStr">
        <is>
          <t>更新version和calibration_status，运行模型校验、全量测试和六类回放。</t>
        </is>
      </c>
      <c r="C7" s="2" t="inlineStr">
        <is>
          <t>训练集外的验证结果优于或不劣于旧版。</t>
        </is>
      </c>
      <c r="D7" s="2" t="inlineStr">
        <is>
          <t>只看训练数据结果。</t>
        </is>
      </c>
    </row>
    <row r="8">
      <c r="A8" s="2" t="n">
        <v>7</v>
      </c>
      <c r="B8" s="2" t="inlineStr">
        <is>
          <t>记录参数哈希、审批、隐私检查、发布包和回滚包。</t>
        </is>
      </c>
      <c r="C8" s="2" t="inlineStr">
        <is>
          <t>模型发布记录所有必填项完成。</t>
        </is>
      </c>
      <c r="D8" s="2" t="inlineStr">
        <is>
          <t>没有回滚包就发布。</t>
        </is>
      </c>
    </row>
    <row r="9">
      <c r="A9" s="2" t="n">
        <v>8</v>
      </c>
      <c r="B9" s="2" t="inlineStr">
        <is>
          <t>部署后只监测，不在线学习；达到下一批次后再次离线校准。</t>
        </is>
      </c>
      <c r="C9" s="2" t="inlineStr">
        <is>
          <t>单案运行不会改变参数。</t>
        </is>
      </c>
      <c r="D9" s="2" t="inlineStr">
        <is>
          <t>每处理一个案件自动更新参数。</t>
        </is>
      </c>
    </row>
  </sheetData>
  <autoFilter ref="A1:D9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99999"/>
    <outlinePr summaryBelow="1" summaryRight="1"/>
    <pageSetUpPr/>
  </sheetPr>
  <dimension ref="A1:M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1" customWidth="1" min="6" max="6"/>
    <col width="12" customWidth="1" min="7" max="7"/>
    <col width="12" customWidth="1" min="8" max="8"/>
    <col width="12" customWidth="1" min="9" max="9"/>
    <col width="26" customWidth="1" min="10" max="10"/>
    <col width="12" customWidth="1" min="11" max="11"/>
    <col width="12" customWidth="1" min="12" max="12"/>
    <col width="12" customWidth="1" min="13" max="13"/>
  </cols>
  <sheetData>
    <row r="1" ht="34" customHeight="1">
      <c r="A1" s="1" t="inlineStr">
        <is>
          <t>真值标签</t>
        </is>
      </c>
      <c r="B1" s="1" t="inlineStr">
        <is>
          <t>来源立场</t>
        </is>
      </c>
      <c r="C1" s="1" t="inlineStr">
        <is>
          <t>是否</t>
        </is>
      </c>
      <c r="D1" s="1" t="inlineStr">
        <is>
          <t>复核状态</t>
        </is>
      </c>
      <c r="E1" s="1" t="inlineStr">
        <is>
          <t>来源类别</t>
        </is>
      </c>
      <c r="F1" s="1" t="inlineStr">
        <is>
          <t>来源角色</t>
        </is>
      </c>
      <c r="G1" s="1" t="inlineStr">
        <is>
          <t>来源统计指标</t>
        </is>
      </c>
      <c r="H1" s="1" t="inlineStr">
        <is>
          <t>数据用途</t>
        </is>
      </c>
      <c r="I1" s="1" t="inlineStr">
        <is>
          <t>参数决策</t>
        </is>
      </c>
      <c r="J1" s="1" t="inlineStr">
        <is>
          <t>校准状态</t>
        </is>
      </c>
      <c r="K1" s="1" t="inlineStr">
        <is>
          <t>审批状态</t>
        </is>
      </c>
      <c r="L1" s="1" t="inlineStr">
        <is>
          <t>隐私检查</t>
        </is>
      </c>
      <c r="M1" s="1" t="inlineStr">
        <is>
          <t>权威复核状态</t>
        </is>
      </c>
    </row>
    <row r="2">
      <c r="A2" s="2" t="inlineStr">
        <is>
          <t>真</t>
        </is>
      </c>
      <c r="B2" s="2" t="inlineStr">
        <is>
          <t>真</t>
        </is>
      </c>
      <c r="C2" s="2" t="inlineStr">
        <is>
          <t>是</t>
        </is>
      </c>
      <c r="D2" s="2" t="inlineStr">
        <is>
          <t>未开始</t>
        </is>
      </c>
      <c r="E2" s="2" t="inlineStr">
        <is>
          <t>statement</t>
        </is>
      </c>
      <c r="F2" s="2" t="inlineStr">
        <is>
          <t>reporting_person</t>
        </is>
      </c>
      <c r="G2" s="2" t="inlineStr">
        <is>
          <t>肯定主张正确率</t>
        </is>
      </c>
      <c r="H2" s="2" t="inlineStr">
        <is>
          <t>训练</t>
        </is>
      </c>
      <c r="I2" s="2" t="inlineStr">
        <is>
          <t>不采用</t>
        </is>
      </c>
      <c r="J2" s="2" t="inlineStr">
        <is>
          <t>expert_prior_unvalidated</t>
        </is>
      </c>
      <c r="K2" s="2" t="inlineStr">
        <is>
          <t>草稿</t>
        </is>
      </c>
      <c r="L2" s="2" t="inlineStr">
        <is>
          <t>未完成</t>
        </is>
      </c>
      <c r="M2" s="2" t="inlineStr">
        <is>
          <t>待核验</t>
        </is>
      </c>
    </row>
    <row r="3">
      <c r="A3" s="2" t="inlineStr">
        <is>
          <t>假</t>
        </is>
      </c>
      <c r="B3" s="2" t="inlineStr">
        <is>
          <t>假</t>
        </is>
      </c>
      <c r="C3" s="2" t="inlineStr">
        <is>
          <t>否</t>
        </is>
      </c>
      <c r="D3" s="2" t="inlineStr">
        <is>
          <t>待复核</t>
        </is>
      </c>
      <c r="E3" s="2" t="inlineStr">
        <is>
          <t>evidence_image</t>
        </is>
      </c>
      <c r="F3" s="2" t="inlineStr">
        <is>
          <t>alleged_actor</t>
        </is>
      </c>
      <c r="G3" s="2" t="inlineStr">
        <is>
          <t>否定主张正确率</t>
        </is>
      </c>
      <c r="H3" s="2" t="inlineStr">
        <is>
          <t>验证</t>
        </is>
      </c>
      <c r="I3" s="2" t="inlineStr">
        <is>
          <t>仅作试点候选</t>
        </is>
      </c>
      <c r="J3" s="2" t="inlineStr">
        <is>
          <t>pilot_uncalibrated</t>
        </is>
      </c>
      <c r="K3" s="2" t="inlineStr">
        <is>
          <t>待审批</t>
        </is>
      </c>
      <c r="L3" s="2" t="inlineStr">
        <is>
          <t>通过</t>
        </is>
      </c>
      <c r="M3" s="2" t="inlineStr">
        <is>
          <t>有效</t>
        </is>
      </c>
    </row>
    <row r="4">
      <c r="A4" s="2" t="inlineStr">
        <is>
          <t>未知</t>
        </is>
      </c>
      <c r="B4" s="2" t="inlineStr">
        <is>
          <t>未知</t>
        </is>
      </c>
      <c r="C4" s="2" t="n"/>
      <c r="D4" s="2" t="inlineStr">
        <is>
          <t>一致</t>
        </is>
      </c>
      <c r="E4" s="2" t="inlineStr">
        <is>
          <t>report_image</t>
        </is>
      </c>
      <c r="F4" s="2" t="inlineStr">
        <is>
          <t>witness</t>
        </is>
      </c>
      <c r="G4" s="2" t="inlineStr">
        <is>
          <t>灵敏度</t>
        </is>
      </c>
      <c r="H4" s="2" t="inlineStr">
        <is>
          <t>测试</t>
        </is>
      </c>
      <c r="I4" s="2" t="inlineStr">
        <is>
          <t>进入独立验证</t>
        </is>
      </c>
      <c r="J4" s="2" t="inlineStr">
        <is>
          <t>validated</t>
        </is>
      </c>
      <c r="K4" s="2" t="inlineStr">
        <is>
          <t>已批准</t>
        </is>
      </c>
      <c r="L4" s="2" t="inlineStr">
        <is>
          <t>不通过</t>
        </is>
      </c>
      <c r="M4" s="2" t="inlineStr">
        <is>
          <t>有争议</t>
        </is>
      </c>
    </row>
    <row r="5">
      <c r="A5" s="2" t="n"/>
      <c r="B5" s="2" t="n"/>
      <c r="C5" s="2" t="n"/>
      <c r="D5" s="2" t="inlineStr">
        <is>
          <t>有分歧</t>
        </is>
      </c>
      <c r="E5" s="2" t="inlineStr">
        <is>
          <t>official_record</t>
        </is>
      </c>
      <c r="F5" s="2" t="inlineStr">
        <is>
          <t>official</t>
        </is>
      </c>
      <c r="G5" s="2" t="inlineStr">
        <is>
          <t>特异度</t>
        </is>
      </c>
      <c r="H5" s="2" t="n"/>
      <c r="I5" s="2" t="inlineStr">
        <is>
          <t>批准发布</t>
        </is>
      </c>
      <c r="J5" s="2" t="n"/>
      <c r="K5" s="2" t="inlineStr">
        <is>
          <t>已拒绝</t>
        </is>
      </c>
      <c r="L5" s="2" t="n"/>
      <c r="M5" s="2" t="inlineStr">
        <is>
          <t>已失效</t>
        </is>
      </c>
    </row>
    <row r="6">
      <c r="A6" s="2" t="n"/>
      <c r="B6" s="2" t="n"/>
      <c r="C6" s="2" t="n"/>
      <c r="D6" s="2" t="inlineStr">
        <is>
          <t>已裁决</t>
        </is>
      </c>
      <c r="E6" s="2" t="inlineStr">
        <is>
          <t>forensic_report</t>
        </is>
      </c>
      <c r="F6" s="2" t="inlineStr">
        <is>
          <t>expert</t>
        </is>
      </c>
      <c r="G6" s="2" t="n"/>
      <c r="H6" s="2" t="n"/>
      <c r="I6" s="2" t="n"/>
      <c r="J6" s="2" t="n"/>
      <c r="K6" s="2" t="n"/>
      <c r="L6" s="2" t="n"/>
      <c r="M6" s="2" t="inlineStr">
        <is>
          <t>已替代</t>
        </is>
      </c>
    </row>
    <row r="7">
      <c r="A7" s="2" t="n"/>
      <c r="B7" s="2" t="n"/>
      <c r="C7" s="2" t="n"/>
      <c r="D7" s="2" t="n"/>
      <c r="E7" s="2" t="inlineStr">
        <is>
          <t>transaction_record</t>
        </is>
      </c>
      <c r="F7" s="2" t="inlineStr">
        <is>
          <t>neutral_third_party</t>
        </is>
      </c>
      <c r="G7" s="2" t="n"/>
      <c r="H7" s="2" t="n"/>
      <c r="I7" s="2" t="n"/>
      <c r="J7" s="2" t="n"/>
      <c r="K7" s="2" t="n"/>
      <c r="L7" s="2" t="n"/>
      <c r="M7" s="2" t="inlineStr">
        <is>
          <t>不适用</t>
        </is>
      </c>
    </row>
    <row r="8">
      <c r="A8" s="2" t="n"/>
      <c r="B8" s="2" t="n"/>
      <c r="C8" s="2" t="n"/>
      <c r="D8" s="2" t="n"/>
      <c r="E8" s="2" t="inlineStr">
        <is>
          <t>other</t>
        </is>
      </c>
      <c r="F8" s="2" t="inlineStr">
        <is>
          <t>unknown</t>
        </is>
      </c>
      <c r="G8" s="2" t="n"/>
      <c r="H8" s="2" t="n"/>
      <c r="I8" s="2" t="n"/>
      <c r="J8" s="2" t="n"/>
      <c r="K8" s="2" t="n"/>
      <c r="L8" s="2" t="n"/>
      <c r="M8" s="2" t="n"/>
    </row>
  </sheetData>
  <autoFilter ref="A1:M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Va1ha11a_demo</dc:creator>
  <dc:title>贝叶斯参数采集与人工更新模板</dc:title>
  <dc:subject>真实数据采集、统计构建、候选参数和离线审批</dc:subject>
  <dcterms:created xsi:type="dcterms:W3CDTF">2026-07-13T00:00:00Z</dcterms:created>
  <dcterms:modified xsi:type="dcterms:W3CDTF">2026-07-13T00:00:00Z</dcterms:modified>
</cp:coreProperties>
</file>